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Dashboard_LoS" sheetId="2" state="visible" r:id="rId4"/>
    <sheet name="Dashboard_Industry" sheetId="3" state="visible" r:id="rId5"/>
    <sheet name="Priority_Accounts" sheetId="4" state="visible" r:id="rId6"/>
    <sheet name="DQ_Scorecard" sheetId="5" state="visible" r:id="rId7"/>
    <sheet name="Owner_Hygiene" sheetId="6" state="visible" r:id="rId8"/>
    <sheet name="Feedback" sheetId="7" state="visible" r:id="rId9"/>
    <sheet name="Events" sheetId="8" state="visible" r:id="rId10"/>
    <sheet name="Inputs" sheetId="9" state="visible" r:id="rId11"/>
    <sheet name="Opps" sheetId="10" state="visible" r:id="rId12"/>
    <sheet name="Accounts" sheetId="11" state="visible" r:id="rId13"/>
    <sheet name="Activities" sheetId="12" state="visible" r:id="rId14"/>
    <sheet name="Owners" sheetId="13" state="visible" r:id="rId15"/>
    <sheet name="Followups" sheetId="14" state="visible" r:id="rId16"/>
    <sheet name="Checks" sheetId="15" state="visible" r:id="rId17"/>
  </sheets>
  <definedNames>
    <definedName function="false" hidden="true" localSheetId="13" name="_xlnm._FilterDatabase" vbProcedure="false">Followups!$A$4:$H$390</definedName>
    <definedName function="false" hidden="true" localSheetId="9" name="_xlnm._FilterDatabase" vbProcedure="false">Opps!$A$4:$AH$954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<sst xmlns="http://schemas.openxmlformats.org/spreadsheetml/2006/main" count="20326" uniqueCount="5112">
  <si>
    <t xml:space="preserve">Pipeline and Presence: CRM and marketing-intelligence model</t>
  </si>
  <si>
    <t xml:space="preserve">SIMULATED data for a fictional professional-services firm in Nairobi. No real client, firm or staff data is used.</t>
  </si>
  <si>
    <t xml:space="preserve">Purpose</t>
  </si>
  <si>
    <t xml:space="preserve">Reconstructs the dashboards, data-quality checks and follow-ups that a Clients and Markets support associate would run from Salesforce, with every number a live formula.</t>
  </si>
  <si>
    <t xml:space="preserve">Read first</t>
  </si>
  <si>
    <t xml:space="preserve">Dashboard_LoS and DQ_Scorecard. Then Priority_Accounts, Dashboard_Industry, Owner_Hygiene, Feedback and Events.</t>
  </si>
  <si>
    <t xml:space="preserve">Inputs</t>
  </si>
  <si>
    <t xml:space="preserve">Inputs sheet: as-of date, stale threshold, FY27 dates, stage probabilities and simulated targets. Change them and every sheet updates.</t>
  </si>
  <si>
    <t xml:space="preserve">Data</t>
  </si>
  <si>
    <t xml:space="preserve">Opps, Accounts, Activities and Owners are the simulated Salesforce export. Opps columns O onward are formula flags.</t>
  </si>
  <si>
    <t xml:space="preserve">Followups</t>
  </si>
  <si>
    <t xml:space="preserve">Static list generated by analysis/audit.py for owner chasing.</t>
  </si>
  <si>
    <t xml:space="preserve">Checks</t>
  </si>
  <si>
    <t xml:space="preserve">The workbook is reconciled to an independent Python audit.</t>
  </si>
  <si>
    <t xml:space="preserve">Colour code</t>
  </si>
  <si>
    <t xml:space="preserve">Blue = input or raw data. Black = formula. Green = link to another sheet. Yellow fill = key output.</t>
  </si>
  <si>
    <t xml:space="preserve">Tags</t>
  </si>
  <si>
    <t xml:space="preserve">[E] = computed in Python (normalised name key, feedback theme tags).</t>
  </si>
  <si>
    <t xml:space="preserve">Line of Service dashboard (KES millions)</t>
  </si>
  <si>
    <t xml:space="preserve">Reconstructs the monthly BD-meeting dashboard: pipeline, FY27 coverage, win rate, cycle time and data quality. Targets are simulated.</t>
  </si>
  <si>
    <t xml:space="preserve">Line of service</t>
  </si>
  <si>
    <t xml:space="preserve">Open opps</t>
  </si>
  <si>
    <t xml:space="preserve">Open pipeline (KES m)</t>
  </si>
  <si>
    <t xml:space="preserve">Weighted pipeline (KES m)</t>
  </si>
  <si>
    <t xml:space="preserve">FY27-closing weighted (KES m)</t>
  </si>
  <si>
    <t xml:space="preserve">FY27 target (KES m)</t>
  </si>
  <si>
    <t xml:space="preserve">Won FY27 YTD (KES m)</t>
  </si>
  <si>
    <t xml:space="preserve">Remaining to target (KES m)</t>
  </si>
  <si>
    <t xml:space="preserve">Coverage (x)</t>
  </si>
  <si>
    <t xml:space="preserve">Closed, look-back</t>
  </si>
  <si>
    <t xml:space="preserve">Won, look-back</t>
  </si>
  <si>
    <t xml:space="preserve">Win rate</t>
  </si>
  <si>
    <t xml:space="preserve">Avg cycle, won (days)</t>
  </si>
  <si>
    <t xml:space="preserve">Open opps data-clean</t>
  </si>
  <si>
    <t xml:space="preserve">Total</t>
  </si>
  <si>
    <t xml:space="preserve">Coverage = weighted pipeline expected to close in FY27 / (target - won year to date). Below 1.0x means the weighted pipeline alone cannot reach the target.</t>
  </si>
  <si>
    <t xml:space="preserve">Industry group dashboard (KES millions)</t>
  </si>
  <si>
    <t xml:space="preserve">Industry comes from the account record; accounts without an industry fall into 'Unassigned' until fixed.</t>
  </si>
  <si>
    <t xml:space="preserve">Industry</t>
  </si>
  <si>
    <t xml:space="preserve">Share of weighted</t>
  </si>
  <si>
    <t xml:space="preserve">Agribusiness</t>
  </si>
  <si>
    <t xml:space="preserve">Consumer &amp; Retail</t>
  </si>
  <si>
    <t xml:space="preserve">Energy &amp; Resources</t>
  </si>
  <si>
    <t xml:space="preserve">Financial Services</t>
  </si>
  <si>
    <t xml:space="preserve">Health</t>
  </si>
  <si>
    <t xml:space="preserve">Public Sector &amp; Development</t>
  </si>
  <si>
    <t xml:space="preserve">Real Estate &amp; Infrastructure</t>
  </si>
  <si>
    <t xml:space="preserve">Technology, Media &amp; Telecom</t>
  </si>
  <si>
    <t xml:space="preserve">Unassigned</t>
  </si>
  <si>
    <t xml:space="preserve">Priority accounts: pipeline and recency of contact</t>
  </si>
  <si>
    <t xml:space="preserve">Priority list is an input. Open opportunities and last touch are live formulas.</t>
  </si>
  <si>
    <t xml:space="preserve">Account ID</t>
  </si>
  <si>
    <t xml:space="preserve">Account</t>
  </si>
  <si>
    <t xml:space="preserve">Driver</t>
  </si>
  <si>
    <t xml:space="preserve">Last touchpoint</t>
  </si>
  <si>
    <t xml:space="preserve">Days since touch</t>
  </si>
  <si>
    <t xml:space="preserve">Needs attention?</t>
  </si>
  <si>
    <t xml:space="preserve">A0001</t>
  </si>
  <si>
    <t xml:space="preserve">A0002</t>
  </si>
  <si>
    <t xml:space="preserve">A0003</t>
  </si>
  <si>
    <t xml:space="preserve">A0004</t>
  </si>
  <si>
    <t xml:space="preserve">A0005</t>
  </si>
  <si>
    <t xml:space="preserve">A0006</t>
  </si>
  <si>
    <t xml:space="preserve">A0007</t>
  </si>
  <si>
    <t xml:space="preserve">A0008</t>
  </si>
  <si>
    <t xml:space="preserve">A0009</t>
  </si>
  <si>
    <t xml:space="preserve">A0010</t>
  </si>
  <si>
    <t xml:space="preserve">A0011</t>
  </si>
  <si>
    <t xml:space="preserve">A0012</t>
  </si>
  <si>
    <t xml:space="preserve">A0013</t>
  </si>
  <si>
    <t xml:space="preserve">A0014</t>
  </si>
  <si>
    <t xml:space="preserve">A0015</t>
  </si>
  <si>
    <t xml:space="preserve">A0016</t>
  </si>
  <si>
    <t xml:space="preserve">A0017</t>
  </si>
  <si>
    <t xml:space="preserve">A0018</t>
  </si>
  <si>
    <t xml:space="preserve">A0019</t>
  </si>
  <si>
    <t xml:space="preserve">A0020</t>
  </si>
  <si>
    <t xml:space="preserve">A0021</t>
  </si>
  <si>
    <t xml:space="preserve">A0022</t>
  </si>
  <si>
    <t xml:space="preserve">A0023</t>
  </si>
  <si>
    <t xml:space="preserve">A0024</t>
  </si>
  <si>
    <t xml:space="preserve">A0025</t>
  </si>
  <si>
    <t xml:space="preserve">A0026</t>
  </si>
  <si>
    <t xml:space="preserve">A0027</t>
  </si>
  <si>
    <t xml:space="preserve">A0028</t>
  </si>
  <si>
    <t xml:space="preserve">A0029</t>
  </si>
  <si>
    <t xml:space="preserve">A0030</t>
  </si>
  <si>
    <t xml:space="preserve">A0031</t>
  </si>
  <si>
    <t xml:space="preserve">A0032</t>
  </si>
  <si>
    <t xml:space="preserve">A0033</t>
  </si>
  <si>
    <t xml:space="preserve">A0034</t>
  </si>
  <si>
    <t xml:space="preserve">A0035</t>
  </si>
  <si>
    <t xml:space="preserve">A0036</t>
  </si>
  <si>
    <t xml:space="preserve">A0037</t>
  </si>
  <si>
    <t xml:space="preserve">A0038</t>
  </si>
  <si>
    <t xml:space="preserve">A0039</t>
  </si>
  <si>
    <t xml:space="preserve">A0040</t>
  </si>
  <si>
    <t xml:space="preserve">Priority accounts</t>
  </si>
  <si>
    <t xml:space="preserve">With at least one open opportunity</t>
  </si>
  <si>
    <t xml:space="preserve">Touched in the last 90 days</t>
  </si>
  <si>
    <t xml:space="preserve">Needing attention (no open opp, or no touch in 90 days)</t>
  </si>
  <si>
    <t xml:space="preserve">Salesforce data-quality scorecard</t>
  </si>
  <si>
    <t xml:space="preserve">Eight opportunity rules and two account rules. Open-opportunity clean rate is the headline measure.</t>
  </si>
  <si>
    <t xml:space="preserve">Rule</t>
  </si>
  <si>
    <t xml:space="preserve">Applies to</t>
  </si>
  <si>
    <t xml:space="preserve">Failing</t>
  </si>
  <si>
    <t xml:space="preserve">Population</t>
  </si>
  <si>
    <t xml:space="preserve">Failure rate</t>
  </si>
  <si>
    <t xml:space="preserve">What the owner should do</t>
  </si>
  <si>
    <t xml:space="preserve">Amount missing or zero</t>
  </si>
  <si>
    <t xml:space="preserve">all opportunities</t>
  </si>
  <si>
    <t xml:space="preserve">Add an estimated amount</t>
  </si>
  <si>
    <t xml:space="preserve">No owner assigned</t>
  </si>
  <si>
    <t xml:space="preserve">Assign an owner</t>
  </si>
  <si>
    <t xml:space="preserve">Owner has left or is inactive</t>
  </si>
  <si>
    <t xml:space="preserve">open</t>
  </si>
  <si>
    <t xml:space="preserve">Reassign the opportunity</t>
  </si>
  <si>
    <t xml:space="preserve">Open with close date in the past</t>
  </si>
  <si>
    <t xml:space="preserve">Update the close date or close it</t>
  </si>
  <si>
    <t xml:space="preserve">No activity for more than the stale threshold</t>
  </si>
  <si>
    <t xml:space="preserve">Log an activity or confirm status</t>
  </si>
  <si>
    <t xml:space="preserve">Probability does not match stage</t>
  </si>
  <si>
    <t xml:space="preserve">Correct the probability</t>
  </si>
  <si>
    <t xml:space="preserve">No next step recorded</t>
  </si>
  <si>
    <t xml:space="preserve">Record the next step</t>
  </si>
  <si>
    <t xml:space="preserve">Lost without a reason</t>
  </si>
  <si>
    <t xml:space="preserve">closed lost</t>
  </si>
  <si>
    <t xml:space="preserve">Add the lost reason</t>
  </si>
  <si>
    <t xml:space="preserve">Account: missing industry</t>
  </si>
  <si>
    <t xml:space="preserve">Account: part of a duplicate pair</t>
  </si>
  <si>
    <t xml:space="preserve">Open opportunities with no data issue</t>
  </si>
  <si>
    <t xml:space="preserve">Open opportunities with at least one issue</t>
  </si>
  <si>
    <t xml:space="preserve">Issue count to chase (all rules, all opportunities)</t>
  </si>
  <si>
    <t xml:space="preserve">Owner hygiene: who has opportunities to fix</t>
  </si>
  <si>
    <t xml:space="preserve">Use this to prepare the follow-up calls and the Salesforce clinics. Open opportunities only.</t>
  </si>
  <si>
    <t xml:space="preserve">Owner ID</t>
  </si>
  <si>
    <t xml:space="preserve">Name</t>
  </si>
  <si>
    <t xml:space="preserve">Grade</t>
  </si>
  <si>
    <t xml:space="preserve">Active?</t>
  </si>
  <si>
    <t xml:space="preserve">Opps with an issue</t>
  </si>
  <si>
    <t xml:space="preserve">Clean rate</t>
  </si>
  <si>
    <t xml:space="preserve">Issues to fix</t>
  </si>
  <si>
    <t xml:space="preserve">(no owner)</t>
  </si>
  <si>
    <t xml:space="preserve">Client feedback consolidation (simulated survey)</t>
  </si>
  <si>
    <t xml:space="preserve">Theme tags come from keyword matching in Python [E]. Summary tables are live formulas.</t>
  </si>
  <si>
    <t xml:space="preserve">Feedback ID</t>
  </si>
  <si>
    <t xml:space="preserve">Survey date</t>
  </si>
  <si>
    <t xml:space="preserve">Rating (1-5)</t>
  </si>
  <si>
    <t xml:space="preserve">Comment</t>
  </si>
  <si>
    <t xml:space="preserve">Follow-up status</t>
  </si>
  <si>
    <t xml:space="preserve">Theme [E]</t>
  </si>
  <si>
    <t xml:space="preserve">Sentiment</t>
  </si>
  <si>
    <t xml:space="preserve">Responses</t>
  </si>
  <si>
    <t xml:space="preserve">Average rating</t>
  </si>
  <si>
    <t xml:space="preserve">% positive</t>
  </si>
  <si>
    <t xml:space="preserve">% negative</t>
  </si>
  <si>
    <t xml:space="preserve">F0001</t>
  </si>
  <si>
    <t xml:space="preserve">A0307</t>
  </si>
  <si>
    <t xml:space="preserve">Deals</t>
  </si>
  <si>
    <t xml:space="preserve">Quick to respond and always available when we need guidance.</t>
  </si>
  <si>
    <t xml:space="preserve">Closed</t>
  </si>
  <si>
    <t xml:space="preserve">responsiveness</t>
  </si>
  <si>
    <t xml:space="preserve">Assurance</t>
  </si>
  <si>
    <t xml:space="preserve">F0002</t>
  </si>
  <si>
    <t xml:space="preserve">A0294</t>
  </si>
  <si>
    <t xml:space="preserve">Consulting</t>
  </si>
  <si>
    <t xml:space="preserve">Responded</t>
  </si>
  <si>
    <t xml:space="preserve">Tax &amp; Legal</t>
  </si>
  <si>
    <t xml:space="preserve">F0003</t>
  </si>
  <si>
    <t xml:space="preserve">The client portal made sharing documents simple.</t>
  </si>
  <si>
    <t xml:space="preserve">digital</t>
  </si>
  <si>
    <t xml:space="preserve">F0004</t>
  </si>
  <si>
    <t xml:space="preserve">We were not told about changes to the timeline early enough.</t>
  </si>
  <si>
    <t xml:space="preserve">communication</t>
  </si>
  <si>
    <t xml:space="preserve">F0005</t>
  </si>
  <si>
    <t xml:space="preserve">A0167</t>
  </si>
  <si>
    <t xml:space="preserve">Updates were clear and regular.</t>
  </si>
  <si>
    <t xml:space="preserve">Risk</t>
  </si>
  <si>
    <t xml:space="preserve">F0006</t>
  </si>
  <si>
    <t xml:space="preserve">Advice felt generic and not tailored to our industry.</t>
  </si>
  <si>
    <t xml:space="preserve">insight</t>
  </si>
  <si>
    <t xml:space="preserve">F0007</t>
  </si>
  <si>
    <t xml:space="preserve">A0108</t>
  </si>
  <si>
    <t xml:space="preserve">All</t>
  </si>
  <si>
    <t xml:space="preserve">F0008</t>
  </si>
  <si>
    <t xml:space="preserve">A0216</t>
  </si>
  <si>
    <t xml:space="preserve">Event invitations are relevant to our work.</t>
  </si>
  <si>
    <t xml:space="preserve">Open</t>
  </si>
  <si>
    <t xml:space="preserve">Net sentiment (points, % positive - % negative)</t>
  </si>
  <si>
    <t xml:space="preserve">F0009</t>
  </si>
  <si>
    <t xml:space="preserve">A0229</t>
  </si>
  <si>
    <t xml:space="preserve">Open follow-ups</t>
  </si>
  <si>
    <t xml:space="preserve">F0010</t>
  </si>
  <si>
    <t xml:space="preserve">A0085</t>
  </si>
  <si>
    <t xml:space="preserve">Pricing was higher than we expected for the scope.</t>
  </si>
  <si>
    <t xml:space="preserve">value</t>
  </si>
  <si>
    <t xml:space="preserve">F0011</t>
  </si>
  <si>
    <t xml:space="preserve">The team brought genuinely useful sector insight.</t>
  </si>
  <si>
    <t xml:space="preserve">F0012</t>
  </si>
  <si>
    <t xml:space="preserve">A0164</t>
  </si>
  <si>
    <t xml:space="preserve">Too many separate emails from different teams.</t>
  </si>
  <si>
    <t xml:space="preserve">Theme</t>
  </si>
  <si>
    <t xml:space="preserve">Positive</t>
  </si>
  <si>
    <t xml:space="preserve">Neutral</t>
  </si>
  <si>
    <t xml:space="preserve">Negative</t>
  </si>
  <si>
    <t xml:space="preserve">F0013</t>
  </si>
  <si>
    <t xml:space="preserve">A0297</t>
  </si>
  <si>
    <t xml:space="preserve">F0014</t>
  </si>
  <si>
    <t xml:space="preserve">A0295</t>
  </si>
  <si>
    <t xml:space="preserve">F0015</t>
  </si>
  <si>
    <t xml:space="preserve">A0119</t>
  </si>
  <si>
    <t xml:space="preserve">F0016</t>
  </si>
  <si>
    <t xml:space="preserve">Fees were fair for the quality delivered.</t>
  </si>
  <si>
    <t xml:space="preserve">F0017</t>
  </si>
  <si>
    <t xml:space="preserve">A0130</t>
  </si>
  <si>
    <t xml:space="preserve">F0018</t>
  </si>
  <si>
    <t xml:space="preserve">A0268</t>
  </si>
  <si>
    <t xml:space="preserve">F0019</t>
  </si>
  <si>
    <t xml:space="preserve">A0208</t>
  </si>
  <si>
    <t xml:space="preserve">F0020</t>
  </si>
  <si>
    <t xml:space="preserve">A0092</t>
  </si>
  <si>
    <t xml:space="preserve">F0021</t>
  </si>
  <si>
    <t xml:space="preserve">A0045</t>
  </si>
  <si>
    <t xml:space="preserve">F0022</t>
  </si>
  <si>
    <t xml:space="preserve">A0220</t>
  </si>
  <si>
    <t xml:space="preserve">Clear scoping avoided surprises on cost.</t>
  </si>
  <si>
    <t xml:space="preserve">F0023</t>
  </si>
  <si>
    <t xml:space="preserve">A0277</t>
  </si>
  <si>
    <t xml:space="preserve">F0024</t>
  </si>
  <si>
    <t xml:space="preserve">A0273</t>
  </si>
  <si>
    <t xml:space="preserve">F0025</t>
  </si>
  <si>
    <t xml:space="preserve">A0226</t>
  </si>
  <si>
    <t xml:space="preserve">One point of contact made everything easier.</t>
  </si>
  <si>
    <t xml:space="preserve">F0026</t>
  </si>
  <si>
    <t xml:space="preserve">A0129</t>
  </si>
  <si>
    <t xml:space="preserve">F0027</t>
  </si>
  <si>
    <t xml:space="preserve">A0244</t>
  </si>
  <si>
    <t xml:space="preserve">F0028</t>
  </si>
  <si>
    <t xml:space="preserve">A0061</t>
  </si>
  <si>
    <t xml:space="preserve">F0029</t>
  </si>
  <si>
    <t xml:space="preserve">A0162</t>
  </si>
  <si>
    <t xml:space="preserve">F0030</t>
  </si>
  <si>
    <t xml:space="preserve">A0135</t>
  </si>
  <si>
    <t xml:space="preserve">F0031</t>
  </si>
  <si>
    <t xml:space="preserve">A0068</t>
  </si>
  <si>
    <t xml:space="preserve">F0032</t>
  </si>
  <si>
    <t xml:space="preserve">A0293</t>
  </si>
  <si>
    <t xml:space="preserve">F0033</t>
  </si>
  <si>
    <t xml:space="preserve">A0059</t>
  </si>
  <si>
    <t xml:space="preserve">F0034</t>
  </si>
  <si>
    <t xml:space="preserve">A0256</t>
  </si>
  <si>
    <t xml:space="preserve">F0035</t>
  </si>
  <si>
    <t xml:space="preserve">A0051</t>
  </si>
  <si>
    <t xml:space="preserve">F0036</t>
  </si>
  <si>
    <t xml:space="preserve">A0110</t>
  </si>
  <si>
    <t xml:space="preserve">F0037</t>
  </si>
  <si>
    <t xml:space="preserve">A0239</t>
  </si>
  <si>
    <t xml:space="preserve">F0038</t>
  </si>
  <si>
    <t xml:space="preserve">A0111</t>
  </si>
  <si>
    <t xml:space="preserve">F0039</t>
  </si>
  <si>
    <t xml:space="preserve">A0118</t>
  </si>
  <si>
    <t xml:space="preserve">F0040</t>
  </si>
  <si>
    <t xml:space="preserve">A0201</t>
  </si>
  <si>
    <t xml:space="preserve">F0041</t>
  </si>
  <si>
    <t xml:space="preserve">A0186</t>
  </si>
  <si>
    <t xml:space="preserve">F0042</t>
  </si>
  <si>
    <t xml:space="preserve">A0100</t>
  </si>
  <si>
    <t xml:space="preserve">Slow to come back on urgent queries.</t>
  </si>
  <si>
    <t xml:space="preserve">F0043</t>
  </si>
  <si>
    <t xml:space="preserve">A0062</t>
  </si>
  <si>
    <t xml:space="preserve">F0044</t>
  </si>
  <si>
    <t xml:space="preserve">F0045</t>
  </si>
  <si>
    <t xml:space="preserve">F0046</t>
  </si>
  <si>
    <t xml:space="preserve">A0072</t>
  </si>
  <si>
    <t xml:space="preserve">F0047</t>
  </si>
  <si>
    <t xml:space="preserve">A0044</t>
  </si>
  <si>
    <t xml:space="preserve">F0048</t>
  </si>
  <si>
    <t xml:space="preserve">A0148</t>
  </si>
  <si>
    <t xml:space="preserve">F0049</t>
  </si>
  <si>
    <t xml:space="preserve">A0300</t>
  </si>
  <si>
    <t xml:space="preserve">F0050</t>
  </si>
  <si>
    <t xml:space="preserve">A0180</t>
  </si>
  <si>
    <t xml:space="preserve">F0051</t>
  </si>
  <si>
    <t xml:space="preserve">A0194</t>
  </si>
  <si>
    <t xml:space="preserve">F0052</t>
  </si>
  <si>
    <t xml:space="preserve">A0159</t>
  </si>
  <si>
    <t xml:space="preserve">F0053</t>
  </si>
  <si>
    <t xml:space="preserve">A0204</t>
  </si>
  <si>
    <t xml:space="preserve">F0054</t>
  </si>
  <si>
    <t xml:space="preserve">A0155</t>
  </si>
  <si>
    <t xml:space="preserve">Turnaround on our requests was faster than expected.</t>
  </si>
  <si>
    <t xml:space="preserve">F0055</t>
  </si>
  <si>
    <t xml:space="preserve">A0272</t>
  </si>
  <si>
    <t xml:space="preserve">F0056</t>
  </si>
  <si>
    <t xml:space="preserve">A0199</t>
  </si>
  <si>
    <t xml:space="preserve">F0057</t>
  </si>
  <si>
    <t xml:space="preserve">A0219</t>
  </si>
  <si>
    <t xml:space="preserve">F0058</t>
  </si>
  <si>
    <t xml:space="preserve">A0312</t>
  </si>
  <si>
    <t xml:space="preserve">F0059</t>
  </si>
  <si>
    <t xml:space="preserve">F0060</t>
  </si>
  <si>
    <t xml:space="preserve">F0061</t>
  </si>
  <si>
    <t xml:space="preserve">F0062</t>
  </si>
  <si>
    <t xml:space="preserve">F0063</t>
  </si>
  <si>
    <t xml:space="preserve">A0210</t>
  </si>
  <si>
    <t xml:space="preserve">F0064</t>
  </si>
  <si>
    <t xml:space="preserve">A0236</t>
  </si>
  <si>
    <t xml:space="preserve">The thought leadership alerts help us stay ahead of regulation.</t>
  </si>
  <si>
    <t xml:space="preserve">F0065</t>
  </si>
  <si>
    <t xml:space="preserve">A0112</t>
  </si>
  <si>
    <t xml:space="preserve">F0066</t>
  </si>
  <si>
    <t xml:space="preserve">A0188</t>
  </si>
  <si>
    <t xml:space="preserve">F0067</t>
  </si>
  <si>
    <t xml:space="preserve">A0140</t>
  </si>
  <si>
    <t xml:space="preserve">F0068</t>
  </si>
  <si>
    <t xml:space="preserve">A0279</t>
  </si>
  <si>
    <t xml:space="preserve">F0069</t>
  </si>
  <si>
    <t xml:space="preserve">A0101</t>
  </si>
  <si>
    <t xml:space="preserve">F0070</t>
  </si>
  <si>
    <t xml:space="preserve">F0071</t>
  </si>
  <si>
    <t xml:space="preserve">A0142</t>
  </si>
  <si>
    <t xml:space="preserve">F0072</t>
  </si>
  <si>
    <t xml:space="preserve">F0073</t>
  </si>
  <si>
    <t xml:space="preserve">A0284</t>
  </si>
  <si>
    <t xml:space="preserve">F0074</t>
  </si>
  <si>
    <t xml:space="preserve">A0041</t>
  </si>
  <si>
    <t xml:space="preserve">F0075</t>
  </si>
  <si>
    <t xml:space="preserve">F0076</t>
  </si>
  <si>
    <t xml:space="preserve">F0077</t>
  </si>
  <si>
    <t xml:space="preserve">A0115</t>
  </si>
  <si>
    <t xml:space="preserve">F0078</t>
  </si>
  <si>
    <t xml:space="preserve">F0079</t>
  </si>
  <si>
    <t xml:space="preserve">A0151</t>
  </si>
  <si>
    <t xml:space="preserve">F0080</t>
  </si>
  <si>
    <t xml:space="preserve">A0124</t>
  </si>
  <si>
    <t xml:space="preserve">F0081</t>
  </si>
  <si>
    <t xml:space="preserve">A0288</t>
  </si>
  <si>
    <t xml:space="preserve">F0082</t>
  </si>
  <si>
    <t xml:space="preserve">A0074</t>
  </si>
  <si>
    <t xml:space="preserve">F0083</t>
  </si>
  <si>
    <t xml:space="preserve">A0178</t>
  </si>
  <si>
    <t xml:space="preserve">F0084</t>
  </si>
  <si>
    <t xml:space="preserve">F0085</t>
  </si>
  <si>
    <t xml:space="preserve">A0246</t>
  </si>
  <si>
    <t xml:space="preserve">F0086</t>
  </si>
  <si>
    <t xml:space="preserve">A0241</t>
  </si>
  <si>
    <t xml:space="preserve">F0087</t>
  </si>
  <si>
    <t xml:space="preserve">A0202</t>
  </si>
  <si>
    <t xml:space="preserve">F0088</t>
  </si>
  <si>
    <t xml:space="preserve">F0089</t>
  </si>
  <si>
    <t xml:space="preserve">F0090</t>
  </si>
  <si>
    <t xml:space="preserve">A0301</t>
  </si>
  <si>
    <t xml:space="preserve">F0091</t>
  </si>
  <si>
    <t xml:space="preserve">F0092</t>
  </si>
  <si>
    <t xml:space="preserve">F0093</t>
  </si>
  <si>
    <t xml:space="preserve">A0263</t>
  </si>
  <si>
    <t xml:space="preserve">F0094</t>
  </si>
  <si>
    <t xml:space="preserve">A0278</t>
  </si>
  <si>
    <t xml:space="preserve">F0095</t>
  </si>
  <si>
    <t xml:space="preserve">A0280</t>
  </si>
  <si>
    <t xml:space="preserve">F0096</t>
  </si>
  <si>
    <t xml:space="preserve">A0067</t>
  </si>
  <si>
    <t xml:space="preserve">F0097</t>
  </si>
  <si>
    <t xml:space="preserve">A0070</t>
  </si>
  <si>
    <t xml:space="preserve">F0098</t>
  </si>
  <si>
    <t xml:space="preserve">A0081</t>
  </si>
  <si>
    <t xml:space="preserve">F0099</t>
  </si>
  <si>
    <t xml:space="preserve">A0184</t>
  </si>
  <si>
    <t xml:space="preserve">F0100</t>
  </si>
  <si>
    <t xml:space="preserve">A0318</t>
  </si>
  <si>
    <t xml:space="preserve">F0101</t>
  </si>
  <si>
    <t xml:space="preserve">F0102</t>
  </si>
  <si>
    <t xml:space="preserve">F0103</t>
  </si>
  <si>
    <t xml:space="preserve">A0320</t>
  </si>
  <si>
    <t xml:space="preserve">F0104</t>
  </si>
  <si>
    <t xml:space="preserve">A0054</t>
  </si>
  <si>
    <t xml:space="preserve">F0105</t>
  </si>
  <si>
    <t xml:space="preserve">A0133</t>
  </si>
  <si>
    <t xml:space="preserve">F0106</t>
  </si>
  <si>
    <t xml:space="preserve">A0080</t>
  </si>
  <si>
    <t xml:space="preserve">F0107</t>
  </si>
  <si>
    <t xml:space="preserve">F0108</t>
  </si>
  <si>
    <t xml:space="preserve">A0303</t>
  </si>
  <si>
    <t xml:space="preserve">F0109</t>
  </si>
  <si>
    <t xml:space="preserve">A0141</t>
  </si>
  <si>
    <t xml:space="preserve">F0110</t>
  </si>
  <si>
    <t xml:space="preserve">F0111</t>
  </si>
  <si>
    <t xml:space="preserve">A0259</t>
  </si>
  <si>
    <t xml:space="preserve">F0112</t>
  </si>
  <si>
    <t xml:space="preserve">A0191</t>
  </si>
  <si>
    <t xml:space="preserve">F0113</t>
  </si>
  <si>
    <t xml:space="preserve">F0114</t>
  </si>
  <si>
    <t xml:space="preserve">A0309</t>
  </si>
  <si>
    <t xml:space="preserve">F0115</t>
  </si>
  <si>
    <t xml:space="preserve">A0096</t>
  </si>
  <si>
    <t xml:space="preserve">F0116</t>
  </si>
  <si>
    <t xml:space="preserve">F0117</t>
  </si>
  <si>
    <t xml:space="preserve">A0097</t>
  </si>
  <si>
    <t xml:space="preserve">F0118</t>
  </si>
  <si>
    <t xml:space="preserve">A0306</t>
  </si>
  <si>
    <t xml:space="preserve">F0119</t>
  </si>
  <si>
    <t xml:space="preserve">F0120</t>
  </si>
  <si>
    <t xml:space="preserve">F0121</t>
  </si>
  <si>
    <t xml:space="preserve">F0122</t>
  </si>
  <si>
    <t xml:space="preserve">A0082</t>
  </si>
  <si>
    <t xml:space="preserve">F0123</t>
  </si>
  <si>
    <t xml:space="preserve">A0283</t>
  </si>
  <si>
    <t xml:space="preserve">F0124</t>
  </si>
  <si>
    <t xml:space="preserve">A0116</t>
  </si>
  <si>
    <t xml:space="preserve">F0125</t>
  </si>
  <si>
    <t xml:space="preserve">F0126</t>
  </si>
  <si>
    <t xml:space="preserve">A0087</t>
  </si>
  <si>
    <t xml:space="preserve">F0127</t>
  </si>
  <si>
    <t xml:space="preserve">A0198</t>
  </si>
  <si>
    <t xml:space="preserve">F0128</t>
  </si>
  <si>
    <t xml:space="preserve">A0121</t>
  </si>
  <si>
    <t xml:space="preserve">F0129</t>
  </si>
  <si>
    <t xml:space="preserve">F0130</t>
  </si>
  <si>
    <t xml:space="preserve">A0319</t>
  </si>
  <si>
    <t xml:space="preserve">F0131</t>
  </si>
  <si>
    <t xml:space="preserve">A0285</t>
  </si>
  <si>
    <t xml:space="preserve">F0132</t>
  </si>
  <si>
    <t xml:space="preserve">A0302</t>
  </si>
  <si>
    <t xml:space="preserve">F0133</t>
  </si>
  <si>
    <t xml:space="preserve">F0134</t>
  </si>
  <si>
    <t xml:space="preserve">F0135</t>
  </si>
  <si>
    <t xml:space="preserve">F0136</t>
  </si>
  <si>
    <t xml:space="preserve">A0251</t>
  </si>
  <si>
    <t xml:space="preserve">F0137</t>
  </si>
  <si>
    <t xml:space="preserve">A0176</t>
  </si>
  <si>
    <t xml:space="preserve">F0138</t>
  </si>
  <si>
    <t xml:space="preserve">A0088</t>
  </si>
  <si>
    <t xml:space="preserve">F0139</t>
  </si>
  <si>
    <t xml:space="preserve">A0049</t>
  </si>
  <si>
    <t xml:space="preserve">F0140</t>
  </si>
  <si>
    <t xml:space="preserve">A0233</t>
  </si>
  <si>
    <t xml:space="preserve">F0141</t>
  </si>
  <si>
    <t xml:space="preserve">A0266</t>
  </si>
  <si>
    <t xml:space="preserve">F0142</t>
  </si>
  <si>
    <t xml:space="preserve">A0136</t>
  </si>
  <si>
    <t xml:space="preserve">F0143</t>
  </si>
  <si>
    <t xml:space="preserve">F0144</t>
  </si>
  <si>
    <t xml:space="preserve">F0145</t>
  </si>
  <si>
    <t xml:space="preserve">F0146</t>
  </si>
  <si>
    <t xml:space="preserve">A0113</t>
  </si>
  <si>
    <t xml:space="preserve">F0147</t>
  </si>
  <si>
    <t xml:space="preserve">A0209</t>
  </si>
  <si>
    <t xml:space="preserve">F0148</t>
  </si>
  <si>
    <t xml:space="preserve">A0103</t>
  </si>
  <si>
    <t xml:space="preserve">F0149</t>
  </si>
  <si>
    <t xml:space="preserve">A0250</t>
  </si>
  <si>
    <t xml:space="preserve">F0150</t>
  </si>
  <si>
    <t xml:space="preserve">F0151</t>
  </si>
  <si>
    <t xml:space="preserve">F0152</t>
  </si>
  <si>
    <t xml:space="preserve">A0149</t>
  </si>
  <si>
    <t xml:space="preserve">F0153</t>
  </si>
  <si>
    <t xml:space="preserve">A0104</t>
  </si>
  <si>
    <t xml:space="preserve">F0154</t>
  </si>
  <si>
    <t xml:space="preserve">F0155</t>
  </si>
  <si>
    <t xml:space="preserve">F0156</t>
  </si>
  <si>
    <t xml:space="preserve">A0270</t>
  </si>
  <si>
    <t xml:space="preserve">F0157</t>
  </si>
  <si>
    <t xml:space="preserve">A0122</t>
  </si>
  <si>
    <t xml:space="preserve">F0158</t>
  </si>
  <si>
    <t xml:space="preserve">F0159</t>
  </si>
  <si>
    <t xml:space="preserve">F0160</t>
  </si>
  <si>
    <t xml:space="preserve">A0193</t>
  </si>
  <si>
    <t xml:space="preserve">F0161</t>
  </si>
  <si>
    <t xml:space="preserve">F0162</t>
  </si>
  <si>
    <t xml:space="preserve">F0163</t>
  </si>
  <si>
    <t xml:space="preserve">F0164</t>
  </si>
  <si>
    <t xml:space="preserve">F0165</t>
  </si>
  <si>
    <t xml:space="preserve">A0196</t>
  </si>
  <si>
    <t xml:space="preserve">F0166</t>
  </si>
  <si>
    <t xml:space="preserve">A0267</t>
  </si>
  <si>
    <t xml:space="preserve">F0167</t>
  </si>
  <si>
    <t xml:space="preserve">A0075</t>
  </si>
  <si>
    <t xml:space="preserve">F0168</t>
  </si>
  <si>
    <t xml:space="preserve">A0232</t>
  </si>
  <si>
    <t xml:space="preserve">F0169</t>
  </si>
  <si>
    <t xml:space="preserve">A0166</t>
  </si>
  <si>
    <t xml:space="preserve">F0170</t>
  </si>
  <si>
    <t xml:space="preserve">F0171</t>
  </si>
  <si>
    <t xml:space="preserve">F0172</t>
  </si>
  <si>
    <t xml:space="preserve">A0304</t>
  </si>
  <si>
    <t xml:space="preserve">F0173</t>
  </si>
  <si>
    <t xml:space="preserve">A0296</t>
  </si>
  <si>
    <t xml:space="preserve">F0174</t>
  </si>
  <si>
    <t xml:space="preserve">A0231</t>
  </si>
  <si>
    <t xml:space="preserve">F0175</t>
  </si>
  <si>
    <t xml:space="preserve">A0165</t>
  </si>
  <si>
    <t xml:space="preserve">F0176</t>
  </si>
  <si>
    <t xml:space="preserve">F0177</t>
  </si>
  <si>
    <t xml:space="preserve">A0235</t>
  </si>
  <si>
    <t xml:space="preserve">F0178</t>
  </si>
  <si>
    <t xml:space="preserve">F0179</t>
  </si>
  <si>
    <t xml:space="preserve">A0262</t>
  </si>
  <si>
    <t xml:space="preserve">F0180</t>
  </si>
  <si>
    <t xml:space="preserve">Event support: funnel by event (simulated)</t>
  </si>
  <si>
    <t xml:space="preserve">Invited to registered to attended to opportunities created.</t>
  </si>
  <si>
    <t xml:space="preserve">Event</t>
  </si>
  <si>
    <t xml:space="preserve">Date</t>
  </si>
  <si>
    <t xml:space="preserve">Invited</t>
  </si>
  <si>
    <t xml:space="preserve">Registered</t>
  </si>
  <si>
    <t xml:space="preserve">Attended</t>
  </si>
  <si>
    <t xml:space="preserve">Opps created</t>
  </si>
  <si>
    <t xml:space="preserve">Registration rate</t>
  </si>
  <si>
    <t xml:space="preserve">Attendance rate</t>
  </si>
  <si>
    <t xml:space="preserve">Opps per 10 attendees</t>
  </si>
  <si>
    <t xml:space="preserve">Banking &amp; Fintech Roundtable</t>
  </si>
  <si>
    <t xml:space="preserve">Budget Breakfast: Tax Changes Briefing</t>
  </si>
  <si>
    <t xml:space="preserve">All industries</t>
  </si>
  <si>
    <t xml:space="preserve">Energy Transition Forum</t>
  </si>
  <si>
    <t xml:space="preserve">Public Sector Finance Clinic</t>
  </si>
  <si>
    <t xml:space="preserve">Health Leaders Dinner</t>
  </si>
  <si>
    <t xml:space="preserve">Annual Industry Conference (planned)</t>
  </si>
  <si>
    <t xml:space="preserve">Held events (excl. planned)</t>
  </si>
  <si>
    <t xml:space="preserve">The last row is the planned annual conference: see comms/event_pack.md for the run-of-show, checklist and success measures.</t>
  </si>
  <si>
    <t xml:space="preserve">Blue = input. All dashboards read these cells. Data is SIMULATED (see README).</t>
  </si>
  <si>
    <t xml:space="preserve">As-of date</t>
  </si>
  <si>
    <t xml:space="preserve">Stale threshold (days without activity)</t>
  </si>
  <si>
    <t xml:space="preserve">FY27 start</t>
  </si>
  <si>
    <t xml:space="preserve">FY27 end</t>
  </si>
  <si>
    <t xml:space="preserve">Look-back for win rate (days)</t>
  </si>
  <si>
    <t xml:space="preserve">Stage</t>
  </si>
  <si>
    <t xml:space="preserve">Default probability %</t>
  </si>
  <si>
    <t xml:space="preserve">Prospecting</t>
  </si>
  <si>
    <t xml:space="preserve">Qualification</t>
  </si>
  <si>
    <t xml:space="preserve">Proposal</t>
  </si>
  <si>
    <t xml:space="preserve">Negotiation</t>
  </si>
  <si>
    <t xml:space="preserve">Closed Won</t>
  </si>
  <si>
    <t xml:space="preserve">Closed Lost</t>
  </si>
  <si>
    <t xml:space="preserve">FY27 BD target (KES m) [simulated]</t>
  </si>
  <si>
    <t xml:space="preserve">Targets are simulated planning inputs, not real firm targets.</t>
  </si>
  <si>
    <t xml:space="preserve">Opportunities: raw export plus live data-quality flags</t>
  </si>
  <si>
    <t xml:space="preserve">Columns A-N are the simulated Salesforce export. Columns O onward are formulas.</t>
  </si>
  <si>
    <t xml:space="preserve">Opp ID</t>
  </si>
  <si>
    <t xml:space="preserve">Opportunity</t>
  </si>
  <si>
    <t xml:space="preserve">Amount (KES)</t>
  </si>
  <si>
    <t xml:space="preserve">Probability %</t>
  </si>
  <si>
    <t xml:space="preserve">Created</t>
  </si>
  <si>
    <t xml:space="preserve">Close date</t>
  </si>
  <si>
    <t xml:space="preserve">Last activity</t>
  </si>
  <si>
    <t xml:space="preserve">Lead source</t>
  </si>
  <si>
    <t xml:space="preserve">Next step</t>
  </si>
  <si>
    <t xml:space="preserve">Lost reason</t>
  </si>
  <si>
    <t xml:space="preserve">Open?</t>
  </si>
  <si>
    <t xml:space="preserve">Tier</t>
  </si>
  <si>
    <t xml:space="preserve">Stage probability %</t>
  </si>
  <si>
    <t xml:space="preserve">Weighted (KES)</t>
  </si>
  <si>
    <t xml:space="preserve">Days since activity</t>
  </si>
  <si>
    <t xml:space="preserve">Flag: no amount</t>
  </si>
  <si>
    <t xml:space="preserve">Flag: no owner</t>
  </si>
  <si>
    <t xml:space="preserve">Flag: owner left</t>
  </si>
  <si>
    <t xml:space="preserve">Flag: close date passed</t>
  </si>
  <si>
    <t xml:space="preserve">Flag: stale</t>
  </si>
  <si>
    <t xml:space="preserve">Flag: probability off</t>
  </si>
  <si>
    <t xml:space="preserve">Flag: no next step</t>
  </si>
  <si>
    <t xml:space="preserve">Flag: lost no reason</t>
  </si>
  <si>
    <t xml:space="preserve">Flags</t>
  </si>
  <si>
    <t xml:space="preserve">Clean?</t>
  </si>
  <si>
    <t xml:space="preserve">Closes in FY27 (open)</t>
  </si>
  <si>
    <t xml:space="preserve">Won FY27 YTD</t>
  </si>
  <si>
    <t xml:space="preserve">Closed in look-back</t>
  </si>
  <si>
    <t xml:space="preserve">Cycle days</t>
  </si>
  <si>
    <t xml:space="preserve">O00001</t>
  </si>
  <si>
    <t xml:space="preserve">Umoja Capital | Assurance | transformation</t>
  </si>
  <si>
    <t xml:space="preserve">U017</t>
  </si>
  <si>
    <t xml:space="preserve">Cold outreach</t>
  </si>
  <si>
    <t xml:space="preserve">Await tender outcome</t>
  </si>
  <si>
    <t xml:space="preserve">O00002</t>
  </si>
  <si>
    <t xml:space="preserve">A0102</t>
  </si>
  <si>
    <t xml:space="preserve">Pwani Capital | Assurance | transformation</t>
  </si>
  <si>
    <t xml:space="preserve">U026</t>
  </si>
  <si>
    <t xml:space="preserve">Digital</t>
  </si>
  <si>
    <t xml:space="preserve">Follow-up call</t>
  </si>
  <si>
    <t xml:space="preserve">O00003</t>
  </si>
  <si>
    <t xml:space="preserve">Baobab Power | Consulting | readiness</t>
  </si>
  <si>
    <t xml:space="preserve">U021</t>
  </si>
  <si>
    <t xml:space="preserve">No decision</t>
  </si>
  <si>
    <t xml:space="preserve">O00004</t>
  </si>
  <si>
    <t xml:space="preserve">A0152</t>
  </si>
  <si>
    <t xml:space="preserve">Lakeview Sacco | Deals | transformation</t>
  </si>
  <si>
    <t xml:space="preserve">U024</t>
  </si>
  <si>
    <t xml:space="preserve">Existing client</t>
  </si>
  <si>
    <t xml:space="preserve">O00005</t>
  </si>
  <si>
    <t xml:space="preserve">A0137</t>
  </si>
  <si>
    <t xml:space="preserve">Amani Networks | Tax &amp; Legal | review</t>
  </si>
  <si>
    <t xml:space="preserve">U025</t>
  </si>
  <si>
    <t xml:space="preserve">O00006</t>
  </si>
  <si>
    <t xml:space="preserve">Baobab Capital | Deals | annual</t>
  </si>
  <si>
    <t xml:space="preserve">U014</t>
  </si>
  <si>
    <t xml:space="preserve">Thought leadership</t>
  </si>
  <si>
    <t xml:space="preserve">Partner meeting</t>
  </si>
  <si>
    <t xml:space="preserve">O00007</t>
  </si>
  <si>
    <t xml:space="preserve">Mara Foods | Assurance | review</t>
  </si>
  <si>
    <t xml:space="preserve">U004</t>
  </si>
  <si>
    <t xml:space="preserve">Price</t>
  </si>
  <si>
    <t xml:space="preserve">O00008</t>
  </si>
  <si>
    <t xml:space="preserve">Savanna Construction | Consulting | due diligence</t>
  </si>
  <si>
    <t xml:space="preserve">U019</t>
  </si>
  <si>
    <t xml:space="preserve">Send proposal</t>
  </si>
  <si>
    <t xml:space="preserve">O00009</t>
  </si>
  <si>
    <t xml:space="preserve">Kibo Sacco | Consulting | readiness</t>
  </si>
  <si>
    <t xml:space="preserve">U006</t>
  </si>
  <si>
    <t xml:space="preserve">O00010</t>
  </si>
  <si>
    <t xml:space="preserve">Jambo Tea Estates | Risk | advisory</t>
  </si>
  <si>
    <t xml:space="preserve">O00011</t>
  </si>
  <si>
    <t xml:space="preserve">Amani Commission | Tax &amp; Legal | due diligence</t>
  </si>
  <si>
    <t xml:space="preserve">Referral</t>
  </si>
  <si>
    <t xml:space="preserve">Incumbent retained</t>
  </si>
  <si>
    <t xml:space="preserve">O00012</t>
  </si>
  <si>
    <t xml:space="preserve">Safari Growers | Tax &amp; Legal | compliance</t>
  </si>
  <si>
    <t xml:space="preserve">Scope workshop</t>
  </si>
  <si>
    <t xml:space="preserve">O00013</t>
  </si>
  <si>
    <t xml:space="preserve">A0249</t>
  </si>
  <si>
    <t xml:space="preserve">Nyota Petroleum | Consulting | compliance</t>
  </si>
  <si>
    <t xml:space="preserve">O00014</t>
  </si>
  <si>
    <t xml:space="preserve">Lakeview Bank | Risk | transformation</t>
  </si>
  <si>
    <t xml:space="preserve">Pricing review</t>
  </si>
  <si>
    <t xml:space="preserve">O00015</t>
  </si>
  <si>
    <t xml:space="preserve">Pwani Media | Consulting | due diligence</t>
  </si>
  <si>
    <t xml:space="preserve">U011</t>
  </si>
  <si>
    <t xml:space="preserve">O00016</t>
  </si>
  <si>
    <t xml:space="preserve">Simba Diagnostics | Tax &amp; Legal | review</t>
  </si>
  <si>
    <t xml:space="preserve">O00017</t>
  </si>
  <si>
    <t xml:space="preserve">Kilimanjaro Capital | Tax &amp; Legal | review</t>
  </si>
  <si>
    <t xml:space="preserve">O00018</t>
  </si>
  <si>
    <t xml:space="preserve">Nyota Asset Managers | Tax &amp; Legal | support</t>
  </si>
  <si>
    <t xml:space="preserve">O00019</t>
  </si>
  <si>
    <t xml:space="preserve">Baobab Energy | Assurance | transformation</t>
  </si>
  <si>
    <t xml:space="preserve">O00020</t>
  </si>
  <si>
    <t xml:space="preserve">Zuri Asset Managers | Tax &amp; Legal | compliance</t>
  </si>
  <si>
    <t xml:space="preserve">U007</t>
  </si>
  <si>
    <t xml:space="preserve">O00021</t>
  </si>
  <si>
    <t xml:space="preserve">A0138</t>
  </si>
  <si>
    <t xml:space="preserve">Baobab Development Fund | Tax &amp; Legal | support</t>
  </si>
  <si>
    <t xml:space="preserve">U016</t>
  </si>
  <si>
    <t xml:space="preserve">O00022</t>
  </si>
  <si>
    <t xml:space="preserve">Acacia Hospital | Tax &amp; Legal | review</t>
  </si>
  <si>
    <t xml:space="preserve">U003</t>
  </si>
  <si>
    <t xml:space="preserve">O00023</t>
  </si>
  <si>
    <t xml:space="preserve">Lakeview Hotels | Consulting | review</t>
  </si>
  <si>
    <t xml:space="preserve">O00024</t>
  </si>
  <si>
    <t xml:space="preserve">A0077</t>
  </si>
  <si>
    <t xml:space="preserve">Umoja Foods | Consulting | support</t>
  </si>
  <si>
    <t xml:space="preserve">U009</t>
  </si>
  <si>
    <t xml:space="preserve">O00025</t>
  </si>
  <si>
    <t xml:space="preserve">Highland Foundation | Assurance | readiness</t>
  </si>
  <si>
    <t xml:space="preserve">O00026</t>
  </si>
  <si>
    <t xml:space="preserve">Mto Cloud | Consulting | annual</t>
  </si>
  <si>
    <t xml:space="preserve">U008</t>
  </si>
  <si>
    <t xml:space="preserve">O00027</t>
  </si>
  <si>
    <t xml:space="preserve">Rift Cloud | Risk | advisory</t>
  </si>
  <si>
    <t xml:space="preserve">U002</t>
  </si>
  <si>
    <t xml:space="preserve">O00028</t>
  </si>
  <si>
    <t xml:space="preserve">A0134</t>
  </si>
  <si>
    <t xml:space="preserve">Pwani Geothermal | Deals | due diligence</t>
  </si>
  <si>
    <t xml:space="preserve">O00029</t>
  </si>
  <si>
    <t xml:space="preserve">Lakeview Hotels | Consulting | advisory</t>
  </si>
  <si>
    <t xml:space="preserve">O00030</t>
  </si>
  <si>
    <t xml:space="preserve">A0065</t>
  </si>
  <si>
    <t xml:space="preserve">Baobab Telecom | Tax &amp; Legal | advisory</t>
  </si>
  <si>
    <t xml:space="preserve">U020</t>
  </si>
  <si>
    <t xml:space="preserve">O00031</t>
  </si>
  <si>
    <t xml:space="preserve">Zuri Asset Managers | Deals | transformation</t>
  </si>
  <si>
    <t xml:space="preserve">U027</t>
  </si>
  <si>
    <t xml:space="preserve">O00032</t>
  </si>
  <si>
    <t xml:space="preserve">A0091</t>
  </si>
  <si>
    <t xml:space="preserve">Lakeview County Government | Tax &amp; Legal | advisory</t>
  </si>
  <si>
    <t xml:space="preserve">O00033</t>
  </si>
  <si>
    <t xml:space="preserve">Baobab Power | Consulting | due diligence</t>
  </si>
  <si>
    <t xml:space="preserve">O00034</t>
  </si>
  <si>
    <t xml:space="preserve">Pwani Power | Assurance | readiness</t>
  </si>
  <si>
    <t xml:space="preserve">O00035</t>
  </si>
  <si>
    <t xml:space="preserve">A0330</t>
  </si>
  <si>
    <t xml:space="preserve">Acacia Hospital | Tax &amp; Legal | compliance</t>
  </si>
  <si>
    <t xml:space="preserve">U022</t>
  </si>
  <si>
    <t xml:space="preserve">O00036</t>
  </si>
  <si>
    <t xml:space="preserve">Baobab Infrastructure | Deals | compliance</t>
  </si>
  <si>
    <t xml:space="preserve">O00037</t>
  </si>
  <si>
    <t xml:space="preserve">A0086</t>
  </si>
  <si>
    <t xml:space="preserve">Zuri Infrastructure | Tax &amp; Legal | advisory</t>
  </si>
  <si>
    <t xml:space="preserve">O00038</t>
  </si>
  <si>
    <t xml:space="preserve">Twiga Power | Deals | due diligence</t>
  </si>
  <si>
    <t xml:space="preserve">U018</t>
  </si>
  <si>
    <t xml:space="preserve">O00039</t>
  </si>
  <si>
    <t xml:space="preserve">A0083</t>
  </si>
  <si>
    <t xml:space="preserve">Lakeview Foods | Tax &amp; Legal | annual</t>
  </si>
  <si>
    <t xml:space="preserve">O00040</t>
  </si>
  <si>
    <t xml:space="preserve">Savanna Sacco | Deals | annual</t>
  </si>
  <si>
    <t xml:space="preserve">U001</t>
  </si>
  <si>
    <t xml:space="preserve">O00041</t>
  </si>
  <si>
    <t xml:space="preserve">Baobab Power | Consulting | annual</t>
  </si>
  <si>
    <t xml:space="preserve">O00042</t>
  </si>
  <si>
    <t xml:space="preserve">A0046</t>
  </si>
  <si>
    <t xml:space="preserve">Nyota Telecom | Assurance | compliance</t>
  </si>
  <si>
    <t xml:space="preserve">Scope change</t>
  </si>
  <si>
    <t xml:space="preserve">O00043</t>
  </si>
  <si>
    <t xml:space="preserve">A0203</t>
  </si>
  <si>
    <t xml:space="preserve">Jambo Capital | Risk | advisory</t>
  </si>
  <si>
    <t xml:space="preserve">O00044</t>
  </si>
  <si>
    <t xml:space="preserve">A0095</t>
  </si>
  <si>
    <t xml:space="preserve">Equator Supermarkets | Consulting | annual</t>
  </si>
  <si>
    <t xml:space="preserve">U005</t>
  </si>
  <si>
    <t xml:space="preserve">O00045</t>
  </si>
  <si>
    <t xml:space="preserve">A0326</t>
  </si>
  <si>
    <t xml:space="preserve">Savanna Power | Tax &amp; Legal | support</t>
  </si>
  <si>
    <t xml:space="preserve">O00046</t>
  </si>
  <si>
    <t xml:space="preserve">A0066</t>
  </si>
  <si>
    <t xml:space="preserve">Pwani Hospital | Tax &amp; Legal | transformation</t>
  </si>
  <si>
    <t xml:space="preserve">O00047</t>
  </si>
  <si>
    <t xml:space="preserve">Acacia Hospital | Tax &amp; Legal | due diligence</t>
  </si>
  <si>
    <t xml:space="preserve">Competitor</t>
  </si>
  <si>
    <t xml:space="preserve">O00048</t>
  </si>
  <si>
    <t xml:space="preserve">A0255</t>
  </si>
  <si>
    <t xml:space="preserve">Savanna Capital | Tax &amp; Legal | support</t>
  </si>
  <si>
    <t xml:space="preserve">U010</t>
  </si>
  <si>
    <t xml:space="preserve">O00049</t>
  </si>
  <si>
    <t xml:space="preserve">Highland Development Fund | Assurance | review</t>
  </si>
  <si>
    <t xml:space="preserve">O00050</t>
  </si>
  <si>
    <t xml:space="preserve">Amani Authority | Assurance | transformation</t>
  </si>
  <si>
    <t xml:space="preserve">Independence conflict</t>
  </si>
  <si>
    <t xml:space="preserve">O00051</t>
  </si>
  <si>
    <t xml:space="preserve">Nile Networks | Tax &amp; Legal | transformation</t>
  </si>
  <si>
    <t xml:space="preserve">O00052</t>
  </si>
  <si>
    <t xml:space="preserve">Harambee Foundation | Assurance | due diligence</t>
  </si>
  <si>
    <t xml:space="preserve">O00053</t>
  </si>
  <si>
    <t xml:space="preserve">Jambo Capital | Deals | readiness</t>
  </si>
  <si>
    <t xml:space="preserve">U023</t>
  </si>
  <si>
    <t xml:space="preserve">O00054</t>
  </si>
  <si>
    <t xml:space="preserve">Equator Petroleum | Deals | transformation</t>
  </si>
  <si>
    <t xml:space="preserve">O00055</t>
  </si>
  <si>
    <t xml:space="preserve">Baobab Agri | Tax &amp; Legal | annual</t>
  </si>
  <si>
    <t xml:space="preserve">O00056</t>
  </si>
  <si>
    <t xml:space="preserve">Lakeview Development Fund | Assurance | compliance</t>
  </si>
  <si>
    <t xml:space="preserve">O00057</t>
  </si>
  <si>
    <t xml:space="preserve">Baobab Energy | Tax &amp; Legal | advisory</t>
  </si>
  <si>
    <t xml:space="preserve">O00058</t>
  </si>
  <si>
    <t xml:space="preserve">Amani Insurance | Tax &amp; Legal | compliance</t>
  </si>
  <si>
    <t xml:space="preserve">O00059</t>
  </si>
  <si>
    <t xml:space="preserve">Jua Beverages | Consulting | compliance</t>
  </si>
  <si>
    <t xml:space="preserve">O00060</t>
  </si>
  <si>
    <t xml:space="preserve">A0107</t>
  </si>
  <si>
    <t xml:space="preserve">Highland Supermarkets | Assurance | compliance</t>
  </si>
  <si>
    <t xml:space="preserve">O00061</t>
  </si>
  <si>
    <t xml:space="preserve">Highland Supermarkets | Risk | review</t>
  </si>
  <si>
    <t xml:space="preserve">O00062</t>
  </si>
  <si>
    <t xml:space="preserve">A0042</t>
  </si>
  <si>
    <t xml:space="preserve">Amani Media | Assurance | compliance</t>
  </si>
  <si>
    <t xml:space="preserve">O00063</t>
  </si>
  <si>
    <t xml:space="preserve">Jambo Tea Estates | Consulting | due diligence</t>
  </si>
  <si>
    <t xml:space="preserve">O00064</t>
  </si>
  <si>
    <t xml:space="preserve">A0183</t>
  </si>
  <si>
    <t xml:space="preserve">Simba County Government | Consulting | support</t>
  </si>
  <si>
    <t xml:space="preserve">O00065</t>
  </si>
  <si>
    <t xml:space="preserve">A0050</t>
  </si>
  <si>
    <t xml:space="preserve">Mara Commission | Deals | transformation</t>
  </si>
  <si>
    <t xml:space="preserve">O00066</t>
  </si>
  <si>
    <t xml:space="preserve">Lakeview Hotels | Consulting | compliance</t>
  </si>
  <si>
    <t xml:space="preserve">O00067</t>
  </si>
  <si>
    <t xml:space="preserve">Pwani Asset Managers | Tax &amp; Legal | support</t>
  </si>
  <si>
    <t xml:space="preserve">O00068</t>
  </si>
  <si>
    <t xml:space="preserve">A0150</t>
  </si>
  <si>
    <t xml:space="preserve">Umoja Hospital | Risk | transformation</t>
  </si>
  <si>
    <t xml:space="preserve">U015</t>
  </si>
  <si>
    <t xml:space="preserve">O00069</t>
  </si>
  <si>
    <t xml:space="preserve">Nile Networks | Consulting | advisory</t>
  </si>
  <si>
    <t xml:space="preserve">O00070</t>
  </si>
  <si>
    <t xml:space="preserve">Umoja Capital | Tax &amp; Legal | compliance</t>
  </si>
  <si>
    <t xml:space="preserve">O00071</t>
  </si>
  <si>
    <t xml:space="preserve">Twiga Agri | Consulting | review</t>
  </si>
  <si>
    <t xml:space="preserve">O00072</t>
  </si>
  <si>
    <t xml:space="preserve">A0064</t>
  </si>
  <si>
    <t xml:space="preserve">Twiga Insurance | Risk | due diligence</t>
  </si>
  <si>
    <t xml:space="preserve">O00073</t>
  </si>
  <si>
    <t xml:space="preserve">Kilimanjaro Capital | Deals | due diligence</t>
  </si>
  <si>
    <t xml:space="preserve">O00074</t>
  </si>
  <si>
    <t xml:space="preserve">Zuri Hotels | Consulting | annual</t>
  </si>
  <si>
    <t xml:space="preserve">O00075</t>
  </si>
  <si>
    <t xml:space="preserve">A0098</t>
  </si>
  <si>
    <t xml:space="preserve">Twiga Networks | Consulting | readiness</t>
  </si>
  <si>
    <t xml:space="preserve">O00076</t>
  </si>
  <si>
    <t xml:space="preserve">Highland Networks | Assurance | review</t>
  </si>
  <si>
    <t xml:space="preserve">O00077</t>
  </si>
  <si>
    <t xml:space="preserve">Nile County Government | Deals | annual</t>
  </si>
  <si>
    <t xml:space="preserve">O00078</t>
  </si>
  <si>
    <t xml:space="preserve">Tembo Capital | Tax &amp; Legal | due diligence</t>
  </si>
  <si>
    <t xml:space="preserve">O00079</t>
  </si>
  <si>
    <t xml:space="preserve">Amani Insurance | Deals | compliance</t>
  </si>
  <si>
    <t xml:space="preserve">O00080</t>
  </si>
  <si>
    <t xml:space="preserve">A0245</t>
  </si>
  <si>
    <t xml:space="preserve">Mara Retail | Risk | annual</t>
  </si>
  <si>
    <t xml:space="preserve">O00081</t>
  </si>
  <si>
    <t xml:space="preserve">Kilimanjaro Capital | Assurance | compliance</t>
  </si>
  <si>
    <t xml:space="preserve">O00082</t>
  </si>
  <si>
    <t xml:space="preserve">A0052</t>
  </si>
  <si>
    <t xml:space="preserve">Highland Telecom | Tax &amp; Legal | support</t>
  </si>
  <si>
    <t xml:space="preserve">O00083</t>
  </si>
  <si>
    <t xml:space="preserve">A0158</t>
  </si>
  <si>
    <t xml:space="preserve">Kibo Digital | Risk | support</t>
  </si>
  <si>
    <t xml:space="preserve">O00084</t>
  </si>
  <si>
    <t xml:space="preserve">Tembo Microfinance | Consulting | due diligence</t>
  </si>
  <si>
    <t xml:space="preserve">O00085</t>
  </si>
  <si>
    <t xml:space="preserve">A0048</t>
  </si>
  <si>
    <t xml:space="preserve">Safari Pharma | Tax &amp; Legal | support</t>
  </si>
  <si>
    <t xml:space="preserve">O00086</t>
  </si>
  <si>
    <t xml:space="preserve">Twiga Horticulture | Tax &amp; Legal | advisory</t>
  </si>
  <si>
    <t xml:space="preserve">O00087</t>
  </si>
  <si>
    <t xml:space="preserve">O00088</t>
  </si>
  <si>
    <t xml:space="preserve">A0109</t>
  </si>
  <si>
    <t xml:space="preserve">Mara Asset Managers | Tax &amp; Legal | due diligence</t>
  </si>
  <si>
    <t xml:space="preserve">O00089</t>
  </si>
  <si>
    <t xml:space="preserve">Kilimanjaro Capital | Assurance | readiness</t>
  </si>
  <si>
    <t xml:space="preserve">O00090</t>
  </si>
  <si>
    <t xml:space="preserve">A0291</t>
  </si>
  <si>
    <t xml:space="preserve">Simba Sacco | Consulting | due diligence</t>
  </si>
  <si>
    <t xml:space="preserve">O00091</t>
  </si>
  <si>
    <t xml:space="preserve">Umoja Foods | Tax &amp; Legal | annual</t>
  </si>
  <si>
    <t xml:space="preserve">O00092</t>
  </si>
  <si>
    <t xml:space="preserve">Safari Microfinance | Tax &amp; Legal | review</t>
  </si>
  <si>
    <t xml:space="preserve">O00093</t>
  </si>
  <si>
    <t xml:space="preserve">Kilimanjaro Capital | Deals | transformation</t>
  </si>
  <si>
    <t xml:space="preserve">O00094</t>
  </si>
  <si>
    <t xml:space="preserve">Savanna Development Fund | Risk | advisory</t>
  </si>
  <si>
    <t xml:space="preserve">O00095</t>
  </si>
  <si>
    <t xml:space="preserve">Jambo Petroleum | Tax &amp; Legal | due diligence</t>
  </si>
  <si>
    <t xml:space="preserve">O00096</t>
  </si>
  <si>
    <t xml:space="preserve">Harambee Energy | Tax &amp; Legal | readiness</t>
  </si>
  <si>
    <t xml:space="preserve">O00097</t>
  </si>
  <si>
    <t xml:space="preserve">Lakeview Bank | Risk | annual</t>
  </si>
  <si>
    <t xml:space="preserve">U028</t>
  </si>
  <si>
    <t xml:space="preserve">O00098</t>
  </si>
  <si>
    <t xml:space="preserve">A0207</t>
  </si>
  <si>
    <t xml:space="preserve">Mto Growers | Tax &amp; Legal | advisory</t>
  </si>
  <si>
    <t xml:space="preserve">O00099</t>
  </si>
  <si>
    <t xml:space="preserve">Lakeview Digital | Consulting | due diligence</t>
  </si>
  <si>
    <t xml:space="preserve">O00100</t>
  </si>
  <si>
    <t xml:space="preserve">Nile Microfinance | Consulting | transformation</t>
  </si>
  <si>
    <t xml:space="preserve">O00101</t>
  </si>
  <si>
    <t xml:space="preserve">Acacia Microfinance | Consulting | annual</t>
  </si>
  <si>
    <t xml:space="preserve">O00102</t>
  </si>
  <si>
    <t xml:space="preserve">Jambo Tea Estates | Consulting | transformation</t>
  </si>
  <si>
    <t xml:space="preserve">O00103</t>
  </si>
  <si>
    <t xml:space="preserve">A0321</t>
  </si>
  <si>
    <t xml:space="preserve">Acacia Microfinance | Consulting | support</t>
  </si>
  <si>
    <t xml:space="preserve">O00104</t>
  </si>
  <si>
    <t xml:space="preserve">A0173</t>
  </si>
  <si>
    <t xml:space="preserve">Kilimanjaro County Government | Assurance | compliance</t>
  </si>
  <si>
    <t xml:space="preserve">O00105</t>
  </si>
  <si>
    <t xml:space="preserve">Umoja Capital | Consulting | due diligence</t>
  </si>
  <si>
    <t xml:space="preserve">O00106</t>
  </si>
  <si>
    <t xml:space="preserve">A0242</t>
  </si>
  <si>
    <t xml:space="preserve">Zuri Mining | Tax &amp; Legal | review</t>
  </si>
  <si>
    <t xml:space="preserve">O00107</t>
  </si>
  <si>
    <t xml:space="preserve">A0274</t>
  </si>
  <si>
    <t xml:space="preserve">Amani Development Fund | Assurance | compliance</t>
  </si>
  <si>
    <t xml:space="preserve">O00108</t>
  </si>
  <si>
    <t xml:space="preserve">A0053</t>
  </si>
  <si>
    <t xml:space="preserve">Jambo Insurance | Assurance | annual</t>
  </si>
  <si>
    <t xml:space="preserve">U013</t>
  </si>
  <si>
    <t xml:space="preserve">O00109</t>
  </si>
  <si>
    <t xml:space="preserve">Safari Microfinance | Consulting | due diligence</t>
  </si>
  <si>
    <t xml:space="preserve">O00110</t>
  </si>
  <si>
    <t xml:space="preserve">Jambo Petroleum | Tax &amp; Legal | readiness</t>
  </si>
  <si>
    <t xml:space="preserve">O00111</t>
  </si>
  <si>
    <t xml:space="preserve">Lakeview Digital | Tax &amp; Legal | readiness</t>
  </si>
  <si>
    <t xml:space="preserve">O00112</t>
  </si>
  <si>
    <t xml:space="preserve">Harambee Capital | Consulting | compliance</t>
  </si>
  <si>
    <t xml:space="preserve">O00113</t>
  </si>
  <si>
    <t xml:space="preserve">Zuri Hotels | Consulting | transformation</t>
  </si>
  <si>
    <t xml:space="preserve">O00114</t>
  </si>
  <si>
    <t xml:space="preserve">Twiga Power | Assurance | review</t>
  </si>
  <si>
    <t xml:space="preserve">O00115</t>
  </si>
  <si>
    <t xml:space="preserve">Simba County Government | Tax &amp; Legal | support</t>
  </si>
  <si>
    <t xml:space="preserve">O00116</t>
  </si>
  <si>
    <t xml:space="preserve">Equator Energy | Tax &amp; Legal | due diligence</t>
  </si>
  <si>
    <t xml:space="preserve">O00117</t>
  </si>
  <si>
    <t xml:space="preserve">A0271</t>
  </si>
  <si>
    <t xml:space="preserve">Highland Dairy | Consulting | compliance</t>
  </si>
  <si>
    <t xml:space="preserve">U012</t>
  </si>
  <si>
    <t xml:space="preserve">O00118</t>
  </si>
  <si>
    <t xml:space="preserve">Twiga Agri | Consulting | due diligence</t>
  </si>
  <si>
    <t xml:space="preserve">O00119</t>
  </si>
  <si>
    <t xml:space="preserve">Lakeview Foods | Consulting | readiness</t>
  </si>
  <si>
    <t xml:space="preserve">O00120</t>
  </si>
  <si>
    <t xml:space="preserve">A0195</t>
  </si>
  <si>
    <t xml:space="preserve">Amani Growers | Tax &amp; Legal | compliance</t>
  </si>
  <si>
    <t xml:space="preserve">O00121</t>
  </si>
  <si>
    <t xml:space="preserve">Mara Hotels | Assurance | compliance</t>
  </si>
  <si>
    <t xml:space="preserve">O00122</t>
  </si>
  <si>
    <t xml:space="preserve">Simba Growers | Consulting | due diligence</t>
  </si>
  <si>
    <t xml:space="preserve">O00123</t>
  </si>
  <si>
    <t xml:space="preserve">Jua Beverages | Consulting | annual</t>
  </si>
  <si>
    <t xml:space="preserve">O00124</t>
  </si>
  <si>
    <t xml:space="preserve">Lakeview Development Fund | Tax &amp; Legal | due diligence</t>
  </si>
  <si>
    <t xml:space="preserve">O00125</t>
  </si>
  <si>
    <t xml:space="preserve">O00126</t>
  </si>
  <si>
    <t xml:space="preserve">Safari Insurance | Assurance | compliance</t>
  </si>
  <si>
    <t xml:space="preserve">O00127</t>
  </si>
  <si>
    <t xml:space="preserve">Amani Mining | Deals | support</t>
  </si>
  <si>
    <t xml:space="preserve">O00128</t>
  </si>
  <si>
    <t xml:space="preserve">Umoja Capital | Tax &amp; Legal | readiness</t>
  </si>
  <si>
    <t xml:space="preserve">O00129</t>
  </si>
  <si>
    <t xml:space="preserve">Harambee Foundation | Consulting | annual</t>
  </si>
  <si>
    <t xml:space="preserve">O00130</t>
  </si>
  <si>
    <t xml:space="preserve">A0055</t>
  </si>
  <si>
    <t xml:space="preserve">Kibo Commission | Tax &amp; Legal | annual</t>
  </si>
  <si>
    <t xml:space="preserve">O00131</t>
  </si>
  <si>
    <t xml:space="preserve">Umoja Foods | Risk | transformation</t>
  </si>
  <si>
    <t xml:space="preserve">O00132</t>
  </si>
  <si>
    <t xml:space="preserve">Baobab Infrastructure | Tax &amp; Legal | readiness</t>
  </si>
  <si>
    <t xml:space="preserve">O00133</t>
  </si>
  <si>
    <t xml:space="preserve">Acacia Media | Tax &amp; Legal | advisory</t>
  </si>
  <si>
    <t xml:space="preserve">O00134</t>
  </si>
  <si>
    <t xml:space="preserve">Zuri Infrastructure | Deals | support</t>
  </si>
  <si>
    <t xml:space="preserve">O00135</t>
  </si>
  <si>
    <t xml:space="preserve">Twiga Agri | Tax &amp; Legal | transformation</t>
  </si>
  <si>
    <t xml:space="preserve">O00136</t>
  </si>
  <si>
    <t xml:space="preserve">A0126</t>
  </si>
  <si>
    <t xml:space="preserve">Umoja Insurance | Tax &amp; Legal | annual</t>
  </si>
  <si>
    <t xml:space="preserve">O00137</t>
  </si>
  <si>
    <t xml:space="preserve">Pwani Media | Consulting | support</t>
  </si>
  <si>
    <t xml:space="preserve">O00138</t>
  </si>
  <si>
    <t xml:space="preserve">Simba Commission | Consulting | due diligence</t>
  </si>
  <si>
    <t xml:space="preserve">O00139</t>
  </si>
  <si>
    <t xml:space="preserve">Kibo Microfinance | Assurance | readiness</t>
  </si>
  <si>
    <t xml:space="preserve">O00140</t>
  </si>
  <si>
    <t xml:space="preserve">Twiga Telecom | Deals | transformation</t>
  </si>
  <si>
    <t xml:space="preserve">O00141</t>
  </si>
  <si>
    <t xml:space="preserve">Kilimanjaro County Government | Deals | support</t>
  </si>
  <si>
    <t xml:space="preserve">O00142</t>
  </si>
  <si>
    <t xml:space="preserve">Mto Cloud | Deals | transformation</t>
  </si>
  <si>
    <t xml:space="preserve">O00143</t>
  </si>
  <si>
    <t xml:space="preserve">Simba Telecom | Tax &amp; Legal | annual</t>
  </si>
  <si>
    <t xml:space="preserve">O00144</t>
  </si>
  <si>
    <t xml:space="preserve">A0143</t>
  </si>
  <si>
    <t xml:space="preserve">Jambo Infrastructure | Consulting | advisory</t>
  </si>
  <si>
    <t xml:space="preserve">O00145</t>
  </si>
  <si>
    <t xml:space="preserve">A0114</t>
  </si>
  <si>
    <t xml:space="preserve">Lakeview Insurance | Consulting | due diligence</t>
  </si>
  <si>
    <t xml:space="preserve">O00146</t>
  </si>
  <si>
    <t xml:space="preserve">A0189</t>
  </si>
  <si>
    <t xml:space="preserve">Simba Power | Consulting | annual</t>
  </si>
  <si>
    <t xml:space="preserve">O00147</t>
  </si>
  <si>
    <t xml:space="preserve">A0093</t>
  </si>
  <si>
    <t xml:space="preserve">Baobab County Government | Risk | advisory</t>
  </si>
  <si>
    <t xml:space="preserve">O00148</t>
  </si>
  <si>
    <t xml:space="preserve">Mara Foods | Consulting | due diligence</t>
  </si>
  <si>
    <t xml:space="preserve">O00149</t>
  </si>
  <si>
    <t xml:space="preserve">Acacia Hospital | Assurance | review</t>
  </si>
  <si>
    <t xml:space="preserve">O00150</t>
  </si>
  <si>
    <t xml:space="preserve">A0094</t>
  </si>
  <si>
    <t xml:space="preserve">Harambee Development Fund | Deals | transformation</t>
  </si>
  <si>
    <t xml:space="preserve">O00151</t>
  </si>
  <si>
    <t xml:space="preserve">A0253</t>
  </si>
  <si>
    <t xml:space="preserve">Umoja Cloud | Consulting | readiness</t>
  </si>
  <si>
    <t xml:space="preserve">O00152</t>
  </si>
  <si>
    <t xml:space="preserve">Kibo Microfinance | Consulting | review</t>
  </si>
  <si>
    <t xml:space="preserve">O00153</t>
  </si>
  <si>
    <t xml:space="preserve">A0056</t>
  </si>
  <si>
    <t xml:space="preserve">Amani Petroleum | Tax &amp; Legal | due diligence</t>
  </si>
  <si>
    <t xml:space="preserve">O00154</t>
  </si>
  <si>
    <t xml:space="preserve">A0099</t>
  </si>
  <si>
    <t xml:space="preserve">Equator Bank | Tax &amp; Legal | advisory</t>
  </si>
  <si>
    <t xml:space="preserve">O00155</t>
  </si>
  <si>
    <t xml:space="preserve">A0261</t>
  </si>
  <si>
    <t xml:space="preserve">Safari Development Fund | Assurance | compliance</t>
  </si>
  <si>
    <t xml:space="preserve">O00156</t>
  </si>
  <si>
    <t xml:space="preserve">Twiga Horticulture | Consulting | transformation</t>
  </si>
  <si>
    <t xml:space="preserve">O00157</t>
  </si>
  <si>
    <t xml:space="preserve">Nile Beverages | Consulting | due diligence</t>
  </si>
  <si>
    <t xml:space="preserve">O00158</t>
  </si>
  <si>
    <t xml:space="preserve">A0169</t>
  </si>
  <si>
    <t xml:space="preserve">Umoja Retail | Deals | review</t>
  </si>
  <si>
    <t xml:space="preserve">O00159</t>
  </si>
  <si>
    <t xml:space="preserve">A0157</t>
  </si>
  <si>
    <t xml:space="preserve">Nile Insurance | Tax &amp; Legal | advisory</t>
  </si>
  <si>
    <t xml:space="preserve">O00160</t>
  </si>
  <si>
    <t xml:space="preserve">Zuri Media | Consulting | readiness</t>
  </si>
  <si>
    <t xml:space="preserve">O00161</t>
  </si>
  <si>
    <t xml:space="preserve">Tembo Housing | Deals | review</t>
  </si>
  <si>
    <t xml:space="preserve">O00162</t>
  </si>
  <si>
    <t xml:space="preserve">Mara Petroleum | Consulting | readiness</t>
  </si>
  <si>
    <t xml:space="preserve">O00163</t>
  </si>
  <si>
    <t xml:space="preserve">Simba Commission | Assurance | compliance</t>
  </si>
  <si>
    <t xml:space="preserve">O00164</t>
  </si>
  <si>
    <t xml:space="preserve">Lakeview Bank | Assurance | annual</t>
  </si>
  <si>
    <t xml:space="preserve">O00165</t>
  </si>
  <si>
    <t xml:space="preserve">Zuri Hospital | Assurance | due diligence</t>
  </si>
  <si>
    <t xml:space="preserve">O00166</t>
  </si>
  <si>
    <t xml:space="preserve">A0292</t>
  </si>
  <si>
    <t xml:space="preserve">Zuri Petroleum | Risk | transformation</t>
  </si>
  <si>
    <t xml:space="preserve">O00167</t>
  </si>
  <si>
    <t xml:space="preserve">Kilimanjaro Media | Consulting | due diligence</t>
  </si>
  <si>
    <t xml:space="preserve">O00168</t>
  </si>
  <si>
    <t xml:space="preserve">Twiga Power | Tax &amp; Legal | support</t>
  </si>
  <si>
    <t xml:space="preserve">O00169</t>
  </si>
  <si>
    <t xml:space="preserve">Jambo Petroleum | Consulting | due diligence</t>
  </si>
  <si>
    <t xml:space="preserve">O00170</t>
  </si>
  <si>
    <t xml:space="preserve">Equator Digital | Consulting | advisory</t>
  </si>
  <si>
    <t xml:space="preserve">O00171</t>
  </si>
  <si>
    <t xml:space="preserve">O00172</t>
  </si>
  <si>
    <t xml:space="preserve">A0168</t>
  </si>
  <si>
    <t xml:space="preserve">Zuri Dairy | Assurance | transformation</t>
  </si>
  <si>
    <t xml:space="preserve">O00173</t>
  </si>
  <si>
    <t xml:space="preserve">Tembo Microfinance | Deals | compliance</t>
  </si>
  <si>
    <t xml:space="preserve">O00174</t>
  </si>
  <si>
    <t xml:space="preserve">Amani Authority | Consulting | annual</t>
  </si>
  <si>
    <t xml:space="preserve">O00175</t>
  </si>
  <si>
    <t xml:space="preserve">Pwani Asset Managers | Assurance | review</t>
  </si>
  <si>
    <t xml:space="preserve">O00176</t>
  </si>
  <si>
    <t xml:space="preserve">A0269</t>
  </si>
  <si>
    <t xml:space="preserve">Mara Power | Tax &amp; Legal | readiness</t>
  </si>
  <si>
    <t xml:space="preserve">O00177</t>
  </si>
  <si>
    <t xml:space="preserve">Amani Development Fund | Tax &amp; Legal | due diligence</t>
  </si>
  <si>
    <t xml:space="preserve">O00178</t>
  </si>
  <si>
    <t xml:space="preserve">Mara Media | Tax &amp; Legal | advisory</t>
  </si>
  <si>
    <t xml:space="preserve">O00179</t>
  </si>
  <si>
    <t xml:space="preserve">Kibo Pharma | Tax &amp; Legal | support</t>
  </si>
  <si>
    <t xml:space="preserve">O00180</t>
  </si>
  <si>
    <t xml:space="preserve">Twiga Power | Deals | transformation</t>
  </si>
  <si>
    <t xml:space="preserve">O00181</t>
  </si>
  <si>
    <t xml:space="preserve">Lakeview Bank | Tax &amp; Legal | compliance</t>
  </si>
  <si>
    <t xml:space="preserve">O00182</t>
  </si>
  <si>
    <t xml:space="preserve">A0060</t>
  </si>
  <si>
    <t xml:space="preserve">Simba Development Fund | Consulting | support</t>
  </si>
  <si>
    <t xml:space="preserve">O00183</t>
  </si>
  <si>
    <t xml:space="preserve">A0079</t>
  </si>
  <si>
    <t xml:space="preserve">Equator Sacco | Deals | annual</t>
  </si>
  <si>
    <t xml:space="preserve">O00184</t>
  </si>
  <si>
    <t xml:space="preserve">A0187</t>
  </si>
  <si>
    <t xml:space="preserve">Kibo Energy | Assurance | readiness</t>
  </si>
  <si>
    <t xml:space="preserve">O00185</t>
  </si>
  <si>
    <t xml:space="preserve">Nile Sacco | Consulting | readiness</t>
  </si>
  <si>
    <t xml:space="preserve">O00186</t>
  </si>
  <si>
    <t xml:space="preserve">Twiga Horticulture | Tax &amp; Legal | support</t>
  </si>
  <si>
    <t xml:space="preserve">O00187</t>
  </si>
  <si>
    <t xml:space="preserve">Nyota Tea Estates | Assurance | support</t>
  </si>
  <si>
    <t xml:space="preserve">O00188</t>
  </si>
  <si>
    <t xml:space="preserve">Jua Retail | Deals | compliance</t>
  </si>
  <si>
    <t xml:space="preserve">O00189</t>
  </si>
  <si>
    <t xml:space="preserve">Jambo Dairy | Deals | transformation</t>
  </si>
  <si>
    <t xml:space="preserve">O00190</t>
  </si>
  <si>
    <t xml:space="preserve">Harambee Capital | Assurance | readiness</t>
  </si>
  <si>
    <t xml:space="preserve">O00191</t>
  </si>
  <si>
    <t xml:space="preserve">Nile Networks | Consulting | compliance</t>
  </si>
  <si>
    <t xml:space="preserve">O00192</t>
  </si>
  <si>
    <t xml:space="preserve">Zuri Supermarkets | Consulting | support</t>
  </si>
  <si>
    <t xml:space="preserve">O00193</t>
  </si>
  <si>
    <t xml:space="preserve">Harambee County Government | Consulting | support</t>
  </si>
  <si>
    <t xml:space="preserve">O00194</t>
  </si>
  <si>
    <t xml:space="preserve">Safari Digital | Deals | advisory</t>
  </si>
  <si>
    <t xml:space="preserve">O00195</t>
  </si>
  <si>
    <t xml:space="preserve">Pwani Asset Managers | Tax &amp; Legal | compliance</t>
  </si>
  <si>
    <t xml:space="preserve">O00196</t>
  </si>
  <si>
    <t xml:space="preserve">Twiga Sacco | Assurance | advisory</t>
  </si>
  <si>
    <t xml:space="preserve">O00197</t>
  </si>
  <si>
    <t xml:space="preserve">Pwani Asset Managers | Risk | compliance</t>
  </si>
  <si>
    <t xml:space="preserve">O00198</t>
  </si>
  <si>
    <t xml:space="preserve">A0248</t>
  </si>
  <si>
    <t xml:space="preserve">Nile Retail | Consulting | review</t>
  </si>
  <si>
    <t xml:space="preserve">O00199</t>
  </si>
  <si>
    <t xml:space="preserve">Savanna Media | Deals | due diligence</t>
  </si>
  <si>
    <t xml:space="preserve">O00200</t>
  </si>
  <si>
    <t xml:space="preserve">Lakeview County Government | Consulting | advisory</t>
  </si>
  <si>
    <t xml:space="preserve">O00201</t>
  </si>
  <si>
    <t xml:space="preserve">Nyota Foods | Consulting | transformation</t>
  </si>
  <si>
    <t xml:space="preserve">O00202</t>
  </si>
  <si>
    <t xml:space="preserve">Nile Microfinance | Consulting | advisory</t>
  </si>
  <si>
    <t xml:space="preserve">O00203</t>
  </si>
  <si>
    <t xml:space="preserve">Kibo Commission | Tax &amp; Legal | transformation</t>
  </si>
  <si>
    <t xml:space="preserve">O00204</t>
  </si>
  <si>
    <t xml:space="preserve">Acacia Mining | Tax &amp; Legal | review</t>
  </si>
  <si>
    <t xml:space="preserve">O00205</t>
  </si>
  <si>
    <t xml:space="preserve">A0153</t>
  </si>
  <si>
    <t xml:space="preserve">Kilimanjaro Growers | Tax &amp; Legal | support</t>
  </si>
  <si>
    <t xml:space="preserve">O00206</t>
  </si>
  <si>
    <t xml:space="preserve">Twiga Horticulture | Deals | support</t>
  </si>
  <si>
    <t xml:space="preserve">O00207</t>
  </si>
  <si>
    <t xml:space="preserve">Kibo Pharma | Assurance | compliance</t>
  </si>
  <si>
    <t xml:space="preserve">O00208</t>
  </si>
  <si>
    <t xml:space="preserve">A0205</t>
  </si>
  <si>
    <t xml:space="preserve">Equator Asset Managers | Tax &amp; Legal | compliance</t>
  </si>
  <si>
    <t xml:space="preserve">O00209</t>
  </si>
  <si>
    <t xml:space="preserve">Kilimanjaro Capital | Tax &amp; Legal | advisory</t>
  </si>
  <si>
    <t xml:space="preserve">O00210</t>
  </si>
  <si>
    <t xml:space="preserve">Baobab Agri | Risk | transformation</t>
  </si>
  <si>
    <t xml:space="preserve">O00211</t>
  </si>
  <si>
    <t xml:space="preserve">A0323</t>
  </si>
  <si>
    <t xml:space="preserve">Baobab Sacco | Tax &amp; Legal | annual</t>
  </si>
  <si>
    <t xml:space="preserve">O00212</t>
  </si>
  <si>
    <t xml:space="preserve">A0197</t>
  </si>
  <si>
    <t xml:space="preserve">Tembo Pharma | Tax &amp; Legal | support</t>
  </si>
  <si>
    <t xml:space="preserve">O00213</t>
  </si>
  <si>
    <t xml:space="preserve">Pwani Hospital | Consulting | compliance</t>
  </si>
  <si>
    <t xml:space="preserve">O00214</t>
  </si>
  <si>
    <t xml:space="preserve">Pwani Geothermal | Tax &amp; Legal | advisory</t>
  </si>
  <si>
    <t xml:space="preserve">O00215</t>
  </si>
  <si>
    <t xml:space="preserve">Twiga Sacco | Consulting | advisory</t>
  </si>
  <si>
    <t xml:space="preserve">O00216</t>
  </si>
  <si>
    <t xml:space="preserve">Pwani Hospital | Consulting | support</t>
  </si>
  <si>
    <t xml:space="preserve">O00217</t>
  </si>
  <si>
    <t xml:space="preserve">Twiga Dairy | Consulting | readiness</t>
  </si>
  <si>
    <t xml:space="preserve">O00218</t>
  </si>
  <si>
    <t xml:space="preserve">Jua Beverages | Tax &amp; Legal | transformation</t>
  </si>
  <si>
    <t xml:space="preserve">O00219</t>
  </si>
  <si>
    <t xml:space="preserve">Umoja Development Fund | Risk | advisory</t>
  </si>
  <si>
    <t xml:space="preserve">O00220</t>
  </si>
  <si>
    <t xml:space="preserve">Nile Networks | Deals | annual</t>
  </si>
  <si>
    <t xml:space="preserve">O00221</t>
  </si>
  <si>
    <t xml:space="preserve">Twiga Agri | Tax &amp; Legal | support</t>
  </si>
  <si>
    <t xml:space="preserve">O00222</t>
  </si>
  <si>
    <t xml:space="preserve">Pwani Power | Assurance | annual</t>
  </si>
  <si>
    <t xml:space="preserve">O00223</t>
  </si>
  <si>
    <t xml:space="preserve">Mara Foods | Tax &amp; Legal | annual</t>
  </si>
  <si>
    <t xml:space="preserve">O00224</t>
  </si>
  <si>
    <t xml:space="preserve">Mto Cloud | Consulting | readiness</t>
  </si>
  <si>
    <t xml:space="preserve">O00225</t>
  </si>
  <si>
    <t xml:space="preserve">Safari Growers | Tax &amp; Legal | advisory</t>
  </si>
  <si>
    <t xml:space="preserve">O00226</t>
  </si>
  <si>
    <t xml:space="preserve">A0310</t>
  </si>
  <si>
    <t xml:space="preserve">Mara Beverages | Deals | annual</t>
  </si>
  <si>
    <t xml:space="preserve">O00227</t>
  </si>
  <si>
    <t xml:space="preserve">Harambee Authority | Assurance | compliance</t>
  </si>
  <si>
    <t xml:space="preserve">O00228</t>
  </si>
  <si>
    <t xml:space="preserve">Kilimanjaro Growers | Deals | advisory</t>
  </si>
  <si>
    <t xml:space="preserve">O00229</t>
  </si>
  <si>
    <t xml:space="preserve">Highland Telecom | Tax &amp; Legal | compliance</t>
  </si>
  <si>
    <t xml:space="preserve">O00230</t>
  </si>
  <si>
    <t xml:space="preserve">Nile Retail | Assurance | compliance</t>
  </si>
  <si>
    <t xml:space="preserve">O00231</t>
  </si>
  <si>
    <t xml:space="preserve">Zuri Media | Consulting | advisory</t>
  </si>
  <si>
    <t xml:space="preserve">O00232</t>
  </si>
  <si>
    <t xml:space="preserve">A0071</t>
  </si>
  <si>
    <t xml:space="preserve">Jambo Agri | Deals | support</t>
  </si>
  <si>
    <t xml:space="preserve">O00233</t>
  </si>
  <si>
    <t xml:space="preserve">A0089</t>
  </si>
  <si>
    <t xml:space="preserve">Harambee Supermarkets | Consulting | review</t>
  </si>
  <si>
    <t xml:space="preserve">O00234</t>
  </si>
  <si>
    <t xml:space="preserve">Lakeview Sacco | Deals | compliance</t>
  </si>
  <si>
    <t xml:space="preserve">O00235</t>
  </si>
  <si>
    <t xml:space="preserve">Kibo Microfinance | Consulting | advisory</t>
  </si>
  <si>
    <t xml:space="preserve">O00236</t>
  </si>
  <si>
    <t xml:space="preserve">A0316</t>
  </si>
  <si>
    <t xml:space="preserve">Harambee Sacco | Consulting | compliance</t>
  </si>
  <si>
    <t xml:space="preserve">O00237</t>
  </si>
  <si>
    <t xml:space="preserve">A0228</t>
  </si>
  <si>
    <t xml:space="preserve">Mto Microfinance | Risk | review</t>
  </si>
  <si>
    <t xml:space="preserve">O00238</t>
  </si>
  <si>
    <t xml:space="preserve">Rift Capital | Tax &amp; Legal | readiness</t>
  </si>
  <si>
    <t xml:space="preserve">O00239</t>
  </si>
  <si>
    <t xml:space="preserve">A0179</t>
  </si>
  <si>
    <t xml:space="preserve">Lakeview Foundation | Consulting | advisory</t>
  </si>
  <si>
    <t xml:space="preserve">O00240</t>
  </si>
  <si>
    <t xml:space="preserve">Amani Authority | Consulting | review</t>
  </si>
  <si>
    <t xml:space="preserve">O00241</t>
  </si>
  <si>
    <t xml:space="preserve">Jambo Tea Estates | Tax &amp; Legal | compliance</t>
  </si>
  <si>
    <t xml:space="preserve">O00242</t>
  </si>
  <si>
    <t xml:space="preserve">A0185</t>
  </si>
  <si>
    <t xml:space="preserve">Tembo Foods | Tax &amp; Legal | readiness</t>
  </si>
  <si>
    <t xml:space="preserve">O00243</t>
  </si>
  <si>
    <t xml:space="preserve">Zuri Asset Managers | Tax &amp; Legal | support</t>
  </si>
  <si>
    <t xml:space="preserve">O00244</t>
  </si>
  <si>
    <t xml:space="preserve">Pwani Media | Deals | readiness</t>
  </si>
  <si>
    <t xml:space="preserve">O00245</t>
  </si>
  <si>
    <t xml:space="preserve">Highland Development Fund | Tax &amp; Legal | compliance</t>
  </si>
  <si>
    <t xml:space="preserve">O00246</t>
  </si>
  <si>
    <t xml:space="preserve">Umoja Asset Managers | Consulting | advisory</t>
  </si>
  <si>
    <t xml:space="preserve">O00247</t>
  </si>
  <si>
    <t xml:space="preserve">A0225</t>
  </si>
  <si>
    <t xml:space="preserve">Acacia Bank | Deals | readiness</t>
  </si>
  <si>
    <t xml:space="preserve">O00248</t>
  </si>
  <si>
    <t xml:space="preserve">Umoja Insurance | Assurance | readiness</t>
  </si>
  <si>
    <t xml:space="preserve">O00249</t>
  </si>
  <si>
    <t xml:space="preserve">Kibo Sacco | Consulting | support</t>
  </si>
  <si>
    <t xml:space="preserve">O00250</t>
  </si>
  <si>
    <t xml:space="preserve">A0275</t>
  </si>
  <si>
    <t xml:space="preserve">Nile Supermarkets | Tax &amp; Legal | annual</t>
  </si>
  <si>
    <t xml:space="preserve">O00251</t>
  </si>
  <si>
    <t xml:space="preserve">Mara Horticulture | Tax &amp; Legal | review</t>
  </si>
  <si>
    <t xml:space="preserve">O00252</t>
  </si>
  <si>
    <t xml:space="preserve">Pwani Media | Tax &amp; Legal | support</t>
  </si>
  <si>
    <t xml:space="preserve">O00253</t>
  </si>
  <si>
    <t xml:space="preserve">A0076</t>
  </si>
  <si>
    <t xml:space="preserve">Mto Retail | Consulting | readiness</t>
  </si>
  <si>
    <t xml:space="preserve">O00254</t>
  </si>
  <si>
    <t xml:space="preserve">Amani Media | Consulting | transformation</t>
  </si>
  <si>
    <t xml:space="preserve">O00255</t>
  </si>
  <si>
    <t xml:space="preserve">Kilimanjaro Capital | Consulting | review</t>
  </si>
  <si>
    <t xml:space="preserve">O00256</t>
  </si>
  <si>
    <t xml:space="preserve">A0211</t>
  </si>
  <si>
    <t xml:space="preserve">Kibo Capital | Tax &amp; Legal | readiness</t>
  </si>
  <si>
    <t xml:space="preserve">O00257</t>
  </si>
  <si>
    <t xml:space="preserve">Lakeview Digital | Assurance | advisory</t>
  </si>
  <si>
    <t xml:space="preserve">O00258</t>
  </si>
  <si>
    <t xml:space="preserve">A0063</t>
  </si>
  <si>
    <t xml:space="preserve">Simba Supermarkets | Tax &amp; Legal | review</t>
  </si>
  <si>
    <t xml:space="preserve">O00259</t>
  </si>
  <si>
    <t xml:space="preserve">Simba County Government | Tax &amp; Legal | readiness</t>
  </si>
  <si>
    <t xml:space="preserve">O00260</t>
  </si>
  <si>
    <t xml:space="preserve">Twiga Horticulture | Deals | advisory</t>
  </si>
  <si>
    <t xml:space="preserve">O00261</t>
  </si>
  <si>
    <t xml:space="preserve">Lakeview Development Fund | Consulting | compliance</t>
  </si>
  <si>
    <t xml:space="preserve">O00262</t>
  </si>
  <si>
    <t xml:space="preserve">Nyota Foods | Tax &amp; Legal | advisory</t>
  </si>
  <si>
    <t xml:space="preserve">O00263</t>
  </si>
  <si>
    <t xml:space="preserve">Mto Retail | Tax &amp; Legal | due diligence</t>
  </si>
  <si>
    <t xml:space="preserve">O00264</t>
  </si>
  <si>
    <t xml:space="preserve">Zuri Media | Assurance | advisory</t>
  </si>
  <si>
    <t xml:space="preserve">O00265</t>
  </si>
  <si>
    <t xml:space="preserve">Tembo Capital | Risk | advisory</t>
  </si>
  <si>
    <t xml:space="preserve">O00266</t>
  </si>
  <si>
    <t xml:space="preserve">Twiga Commission | Assurance | support</t>
  </si>
  <si>
    <t xml:space="preserve">O00267</t>
  </si>
  <si>
    <t xml:space="preserve">A0057</t>
  </si>
  <si>
    <t xml:space="preserve">Mto Supermarkets | Tax &amp; Legal | advisory</t>
  </si>
  <si>
    <t xml:space="preserve">O00268</t>
  </si>
  <si>
    <t xml:space="preserve">Kilimanjaro Digital | Tax &amp; Legal | transformation</t>
  </si>
  <si>
    <t xml:space="preserve">O00269</t>
  </si>
  <si>
    <t xml:space="preserve">A0139</t>
  </si>
  <si>
    <t xml:space="preserve">Umoja Microfinance | Assurance | advisory</t>
  </si>
  <si>
    <t xml:space="preserve">O00270</t>
  </si>
  <si>
    <t xml:space="preserve">A0127</t>
  </si>
  <si>
    <t xml:space="preserve">Amani Asset Managers | Tax &amp; Legal | compliance</t>
  </si>
  <si>
    <t xml:space="preserve">O00271</t>
  </si>
  <si>
    <t xml:space="preserve">Mara Hotels | Consulting | transformation</t>
  </si>
  <si>
    <t xml:space="preserve">O00272</t>
  </si>
  <si>
    <t xml:space="preserve">Kibo Sacco | Tax &amp; Legal | compliance</t>
  </si>
  <si>
    <t xml:space="preserve">O00273</t>
  </si>
  <si>
    <t xml:space="preserve">O00274</t>
  </si>
  <si>
    <t xml:space="preserve">Twiga Asset Managers | Assurance | readiness</t>
  </si>
  <si>
    <t xml:space="preserve">O00275</t>
  </si>
  <si>
    <t xml:space="preserve">Safari Microfinance | Consulting | annual</t>
  </si>
  <si>
    <t xml:space="preserve">O00276</t>
  </si>
  <si>
    <t xml:space="preserve">Amani Digital | Assurance | due diligence</t>
  </si>
  <si>
    <t xml:space="preserve">O00277</t>
  </si>
  <si>
    <t xml:space="preserve">Amani Insurance | Consulting | transformation</t>
  </si>
  <si>
    <t xml:space="preserve">O00278</t>
  </si>
  <si>
    <t xml:space="preserve">Jambo Capital | Deals | advisory</t>
  </si>
  <si>
    <t xml:space="preserve">O00279</t>
  </si>
  <si>
    <t xml:space="preserve">Baobab Power | Assurance | transformation</t>
  </si>
  <si>
    <t xml:space="preserve">O00280</t>
  </si>
  <si>
    <t xml:space="preserve">Umoja Capital | Tax &amp; Legal | support</t>
  </si>
  <si>
    <t xml:space="preserve">O00281</t>
  </si>
  <si>
    <t xml:space="preserve">Zuri Media | Tax &amp; Legal | transformation</t>
  </si>
  <si>
    <t xml:space="preserve">O00282</t>
  </si>
  <si>
    <t xml:space="preserve">Mto Media | Deals | due diligence</t>
  </si>
  <si>
    <t xml:space="preserve">O00283</t>
  </si>
  <si>
    <t xml:space="preserve">Baobab Energy | Tax &amp; Legal | compliance</t>
  </si>
  <si>
    <t xml:space="preserve">O00284</t>
  </si>
  <si>
    <t xml:space="preserve">Equator Sacco | Tax &amp; Legal | review</t>
  </si>
  <si>
    <t xml:space="preserve">O00285</t>
  </si>
  <si>
    <t xml:space="preserve">A0290</t>
  </si>
  <si>
    <t xml:space="preserve">Mto Networks | Assurance | support</t>
  </si>
  <si>
    <t xml:space="preserve">O00286</t>
  </si>
  <si>
    <t xml:space="preserve">Pwani Mining | Risk | advisory</t>
  </si>
  <si>
    <t xml:space="preserve">O00287</t>
  </si>
  <si>
    <t xml:space="preserve">O00288</t>
  </si>
  <si>
    <t xml:space="preserve">Simba Development Fund | Assurance | support</t>
  </si>
  <si>
    <t xml:space="preserve">O00289</t>
  </si>
  <si>
    <t xml:space="preserve">Rift Cloud | Risk | readiness</t>
  </si>
  <si>
    <t xml:space="preserve">O00290</t>
  </si>
  <si>
    <t xml:space="preserve">Kilimanjaro Capital | Tax &amp; Legal | transformation</t>
  </si>
  <si>
    <t xml:space="preserve">O00291</t>
  </si>
  <si>
    <t xml:space="preserve">Amani Authority | Assurance | advisory</t>
  </si>
  <si>
    <t xml:space="preserve">O00292</t>
  </si>
  <si>
    <t xml:space="preserve">Amani Networks | Assurance | compliance</t>
  </si>
  <si>
    <t xml:space="preserve">O00293</t>
  </si>
  <si>
    <t xml:space="preserve">Highland Networks | Deals | support</t>
  </si>
  <si>
    <t xml:space="preserve">O00294</t>
  </si>
  <si>
    <t xml:space="preserve">Equator Agri | Consulting | due diligence</t>
  </si>
  <si>
    <t xml:space="preserve">O00295</t>
  </si>
  <si>
    <t xml:space="preserve">Amani Media | Assurance | transformation</t>
  </si>
  <si>
    <t xml:space="preserve">O00296</t>
  </si>
  <si>
    <t xml:space="preserve">Kibo Microfinance | Consulting | readiness</t>
  </si>
  <si>
    <t xml:space="preserve">O00297</t>
  </si>
  <si>
    <t xml:space="preserve">A0286</t>
  </si>
  <si>
    <t xml:space="preserve">Jambo Asset Managers | Assurance | annual</t>
  </si>
  <si>
    <t xml:space="preserve">O00298</t>
  </si>
  <si>
    <t xml:space="preserve">A0212</t>
  </si>
  <si>
    <t xml:space="preserve">Amani Tea Estates | Consulting | transformation</t>
  </si>
  <si>
    <t xml:space="preserve">O00299</t>
  </si>
  <si>
    <t xml:space="preserve">Amani Media | Assurance | support</t>
  </si>
  <si>
    <t xml:space="preserve">O00300</t>
  </si>
  <si>
    <t xml:space="preserve">Equator Energy | Assurance | due diligence</t>
  </si>
  <si>
    <t xml:space="preserve">O00301</t>
  </si>
  <si>
    <t xml:space="preserve">Jambo Dairy | Tax &amp; Legal | compliance</t>
  </si>
  <si>
    <t xml:space="preserve">O00302</t>
  </si>
  <si>
    <t xml:space="preserve">A0105</t>
  </si>
  <si>
    <t xml:space="preserve">Pwani Digital | Tax &amp; Legal | annual</t>
  </si>
  <si>
    <t xml:space="preserve">O00303</t>
  </si>
  <si>
    <t xml:space="preserve">A0106</t>
  </si>
  <si>
    <t xml:space="preserve">Tembo Dairy | Deals | advisory</t>
  </si>
  <si>
    <t xml:space="preserve">O00304</t>
  </si>
  <si>
    <t xml:space="preserve">Twiga Horticulture | Tax &amp; Legal | readiness</t>
  </si>
  <si>
    <t xml:space="preserve">O00305</t>
  </si>
  <si>
    <t xml:space="preserve">Baobab Development Fund | Assurance | advisory</t>
  </si>
  <si>
    <t xml:space="preserve">O00306</t>
  </si>
  <si>
    <t xml:space="preserve">Pwani Media | Tax &amp; Legal | due diligence</t>
  </si>
  <si>
    <t xml:space="preserve">O00307</t>
  </si>
  <si>
    <t xml:space="preserve">Savanna Sacco | Tax &amp; Legal | transformation</t>
  </si>
  <si>
    <t xml:space="preserve">O00308</t>
  </si>
  <si>
    <t xml:space="preserve">Nile Sacco | Deals | due diligence</t>
  </si>
  <si>
    <t xml:space="preserve">O00309</t>
  </si>
  <si>
    <t xml:space="preserve">Amani Tea Estates | Assurance | annual</t>
  </si>
  <si>
    <t xml:space="preserve">O00310</t>
  </si>
  <si>
    <t xml:space="preserve">Jua Beverages | Assurance | readiness</t>
  </si>
  <si>
    <t xml:space="preserve">O00311</t>
  </si>
  <si>
    <t xml:space="preserve">A0311</t>
  </si>
  <si>
    <t xml:space="preserve">Simba Asset Managers | Assurance | due diligence</t>
  </si>
  <si>
    <t xml:space="preserve">O00312</t>
  </si>
  <si>
    <t xml:space="preserve">Zuri Media | Assurance | transformation</t>
  </si>
  <si>
    <t xml:space="preserve">O00313</t>
  </si>
  <si>
    <t xml:space="preserve">Mara Retail | Deals | due diligence</t>
  </si>
  <si>
    <t xml:space="preserve">O00314</t>
  </si>
  <si>
    <t xml:space="preserve">Mara Asset Managers | Assurance | due diligence</t>
  </si>
  <si>
    <t xml:space="preserve">O00315</t>
  </si>
  <si>
    <t xml:space="preserve">Baobab Infrastructure | Assurance | review</t>
  </si>
  <si>
    <t xml:space="preserve">O00316</t>
  </si>
  <si>
    <t xml:space="preserve">O00317</t>
  </si>
  <si>
    <t xml:space="preserve">Equator Energy | Deals | support</t>
  </si>
  <si>
    <t xml:space="preserve">O00318</t>
  </si>
  <si>
    <t xml:space="preserve">Acacia Infrastructure | Deals | readiness</t>
  </si>
  <si>
    <t xml:space="preserve">O00319</t>
  </si>
  <si>
    <t xml:space="preserve">Twiga Horticulture | Deals | due diligence</t>
  </si>
  <si>
    <t xml:space="preserve">O00320</t>
  </si>
  <si>
    <t xml:space="preserve">A0058</t>
  </si>
  <si>
    <t xml:space="preserve">Rift Energy | Risk | annual</t>
  </si>
  <si>
    <t xml:space="preserve">O00321</t>
  </si>
  <si>
    <t xml:space="preserve">Harambee Microfinance | Deals | support</t>
  </si>
  <si>
    <t xml:space="preserve">O00322</t>
  </si>
  <si>
    <t xml:space="preserve">Zuri Dairy | Assurance | support</t>
  </si>
  <si>
    <t xml:space="preserve">O00323</t>
  </si>
  <si>
    <t xml:space="preserve">Simba Growers | Deals | compliance</t>
  </si>
  <si>
    <t xml:space="preserve">O00324</t>
  </si>
  <si>
    <t xml:space="preserve">A0161</t>
  </si>
  <si>
    <t xml:space="preserve">Equator Diagnostics | Tax &amp; Legal | transformation</t>
  </si>
  <si>
    <t xml:space="preserve">O00325</t>
  </si>
  <si>
    <t xml:space="preserve">A0190</t>
  </si>
  <si>
    <t xml:space="preserve">Tembo Authority | Tax &amp; Legal | due diligence</t>
  </si>
  <si>
    <t xml:space="preserve">O00326</t>
  </si>
  <si>
    <t xml:space="preserve">Jua Beverages | Consulting | support</t>
  </si>
  <si>
    <t xml:space="preserve">O00327</t>
  </si>
  <si>
    <t xml:space="preserve">Umoja Insurance | Consulting | annual</t>
  </si>
  <si>
    <t xml:space="preserve">O00328</t>
  </si>
  <si>
    <t xml:space="preserve">Amani Insurance | Consulting | readiness</t>
  </si>
  <si>
    <t xml:space="preserve">O00329</t>
  </si>
  <si>
    <t xml:space="preserve">A0214</t>
  </si>
  <si>
    <t xml:space="preserve">Acacia Authority | Tax &amp; Legal | review</t>
  </si>
  <si>
    <t xml:space="preserve">O00330</t>
  </si>
  <si>
    <t xml:space="preserve">Mto Media | Risk | transformation</t>
  </si>
  <si>
    <t xml:space="preserve">O00331</t>
  </si>
  <si>
    <t xml:space="preserve">A0289</t>
  </si>
  <si>
    <t xml:space="preserve">Rift Bank | Consulting | readiness</t>
  </si>
  <si>
    <t xml:space="preserve">O00332</t>
  </si>
  <si>
    <t xml:space="preserve">Harambee Foods | Tax &amp; Legal | advisory</t>
  </si>
  <si>
    <t xml:space="preserve">O00333</t>
  </si>
  <si>
    <t xml:space="preserve">A0090</t>
  </si>
  <si>
    <t xml:space="preserve">Lakeview Agri | Assurance | readiness</t>
  </si>
  <si>
    <t xml:space="preserve">O00334</t>
  </si>
  <si>
    <t xml:space="preserve">Baobab Energy | Tax &amp; Legal | support</t>
  </si>
  <si>
    <t xml:space="preserve">O00335</t>
  </si>
  <si>
    <t xml:space="preserve">Nyota Mining | Consulting | due diligence</t>
  </si>
  <si>
    <t xml:space="preserve">O00336</t>
  </si>
  <si>
    <t xml:space="preserve">Jambo Tea Estates | Assurance | support</t>
  </si>
  <si>
    <t xml:space="preserve">O00337</t>
  </si>
  <si>
    <t xml:space="preserve">Safari Growers | Deals | compliance</t>
  </si>
  <si>
    <t xml:space="preserve">O00338</t>
  </si>
  <si>
    <t xml:space="preserve">Harambee Capital | Assurance | compliance</t>
  </si>
  <si>
    <t xml:space="preserve">O00339</t>
  </si>
  <si>
    <t xml:space="preserve">Amani Growers | Consulting | annual</t>
  </si>
  <si>
    <t xml:space="preserve">O00340</t>
  </si>
  <si>
    <t xml:space="preserve">Harambee Capital | Tax &amp; Legal | support</t>
  </si>
  <si>
    <t xml:space="preserve">O00341</t>
  </si>
  <si>
    <t xml:space="preserve">Lakeview Bank | Consulting | review</t>
  </si>
  <si>
    <t xml:space="preserve">O00342</t>
  </si>
  <si>
    <t xml:space="preserve">Amani Digital | Tax &amp; Legal | annual</t>
  </si>
  <si>
    <t xml:space="preserve">O00343</t>
  </si>
  <si>
    <t xml:space="preserve">Umoja Retail | Assurance | advisory</t>
  </si>
  <si>
    <t xml:space="preserve">O00344</t>
  </si>
  <si>
    <t xml:space="preserve">Acacia Hospital | Deals | readiness</t>
  </si>
  <si>
    <t xml:space="preserve">O00345</t>
  </si>
  <si>
    <t xml:space="preserve">Kilimanjaro Growers | Tax &amp; Legal | advisory</t>
  </si>
  <si>
    <t xml:space="preserve">O00346</t>
  </si>
  <si>
    <t xml:space="preserve">Pwani Power | Risk | advisory</t>
  </si>
  <si>
    <t xml:space="preserve">O00347</t>
  </si>
  <si>
    <t xml:space="preserve">A0177</t>
  </si>
  <si>
    <t xml:space="preserve">Nyota Dairy | Deals | compliance</t>
  </si>
  <si>
    <t xml:space="preserve">O00348</t>
  </si>
  <si>
    <t xml:space="preserve">Safari Microfinance | Assurance | compliance</t>
  </si>
  <si>
    <t xml:space="preserve">O00349</t>
  </si>
  <si>
    <t xml:space="preserve">Simba Supermarkets | Consulting | support</t>
  </si>
  <si>
    <t xml:space="preserve">O00350</t>
  </si>
  <si>
    <t xml:space="preserve">Lakeview Bank | Deals | advisory</t>
  </si>
  <si>
    <t xml:space="preserve">O00351</t>
  </si>
  <si>
    <t xml:space="preserve">Rift Capital | Tax &amp; Legal | compliance</t>
  </si>
  <si>
    <t xml:space="preserve">O00352</t>
  </si>
  <si>
    <t xml:space="preserve">Nile Networks | Deals | due diligence</t>
  </si>
  <si>
    <t xml:space="preserve">O00353</t>
  </si>
  <si>
    <t xml:space="preserve">A0146</t>
  </si>
  <si>
    <t xml:space="preserve">Pwani Tea Estates | Tax &amp; Legal | readiness</t>
  </si>
  <si>
    <t xml:space="preserve">O00354</t>
  </si>
  <si>
    <t xml:space="preserve">Mara Hotels | Tax &amp; Legal | readiness</t>
  </si>
  <si>
    <t xml:space="preserve">O00355</t>
  </si>
  <si>
    <t xml:space="preserve">Equator Supermarkets | Assurance | readiness</t>
  </si>
  <si>
    <t xml:space="preserve">O00356</t>
  </si>
  <si>
    <t xml:space="preserve">Acacia Hospital | Tax &amp; Legal | advisory</t>
  </si>
  <si>
    <t xml:space="preserve">O00357</t>
  </si>
  <si>
    <t xml:space="preserve">Harambee Cloud | Tax &amp; Legal | transformation</t>
  </si>
  <si>
    <t xml:space="preserve">O00358</t>
  </si>
  <si>
    <t xml:space="preserve">Highland Foods | Tax &amp; Legal | advisory</t>
  </si>
  <si>
    <t xml:space="preserve">O00359</t>
  </si>
  <si>
    <t xml:space="preserve">Twiga Power | Tax &amp; Legal | compliance</t>
  </si>
  <si>
    <t xml:space="preserve">O00360</t>
  </si>
  <si>
    <t xml:space="preserve">Lakeview Development Fund | Assurance | transformation</t>
  </si>
  <si>
    <t xml:space="preserve">O00361</t>
  </si>
  <si>
    <t xml:space="preserve">Kilimanjaro County Government | Tax &amp; Legal | annual</t>
  </si>
  <si>
    <t xml:space="preserve">O00362</t>
  </si>
  <si>
    <t xml:space="preserve">A0305</t>
  </si>
  <si>
    <t xml:space="preserve">Kilimanjaro Telecom | Risk | transformation</t>
  </si>
  <si>
    <t xml:space="preserve">O00363</t>
  </si>
  <si>
    <t xml:space="preserve">Kilimanjaro Capital | Assurance | advisory</t>
  </si>
  <si>
    <t xml:space="preserve">O00364</t>
  </si>
  <si>
    <t xml:space="preserve">Amani Authority | Consulting | support</t>
  </si>
  <si>
    <t xml:space="preserve">O00365</t>
  </si>
  <si>
    <t xml:space="preserve">A0147</t>
  </si>
  <si>
    <t xml:space="preserve">Kibo Hotels | Consulting | transformation</t>
  </si>
  <si>
    <t xml:space="preserve">O00366</t>
  </si>
  <si>
    <t xml:space="preserve">Zuri Hotels | Risk | support</t>
  </si>
  <si>
    <t xml:space="preserve">O00367</t>
  </si>
  <si>
    <t xml:space="preserve">Nyota Petroleum | Assurance | advisory</t>
  </si>
  <si>
    <t xml:space="preserve">O00368</t>
  </si>
  <si>
    <t xml:space="preserve">Pwani Mining | Assurance | readiness</t>
  </si>
  <si>
    <t xml:space="preserve">O00369</t>
  </si>
  <si>
    <t xml:space="preserve">Safari Microfinance | Tax &amp; Legal | support</t>
  </si>
  <si>
    <t xml:space="preserve">O00370</t>
  </si>
  <si>
    <t xml:space="preserve">Zuri Asset Managers | Consulting | transformation</t>
  </si>
  <si>
    <t xml:space="preserve">O00371</t>
  </si>
  <si>
    <t xml:space="preserve">O00372</t>
  </si>
  <si>
    <t xml:space="preserve">Jambo Petroleum | Deals | readiness</t>
  </si>
  <si>
    <t xml:space="preserve">O00373</t>
  </si>
  <si>
    <t xml:space="preserve">Jambo Hospital | Consulting | due diligence</t>
  </si>
  <si>
    <t xml:space="preserve">O00374</t>
  </si>
  <si>
    <t xml:space="preserve">Kilimanjaro Media | Tax &amp; Legal | compliance</t>
  </si>
  <si>
    <t xml:space="preserve">O00375</t>
  </si>
  <si>
    <t xml:space="preserve">Simba Hospital | Consulting | support</t>
  </si>
  <si>
    <t xml:space="preserve">O00376</t>
  </si>
  <si>
    <t xml:space="preserve">A0243</t>
  </si>
  <si>
    <t xml:space="preserve">Kibo Supermarkets | Tax &amp; Legal | advisory</t>
  </si>
  <si>
    <t xml:space="preserve">O00377</t>
  </si>
  <si>
    <t xml:space="preserve">Umoja Capital | Consulting | advisory</t>
  </si>
  <si>
    <t xml:space="preserve">O00378</t>
  </si>
  <si>
    <t xml:space="preserve">Baobab Infrastructure | Deals | support</t>
  </si>
  <si>
    <t xml:space="preserve">O00379</t>
  </si>
  <si>
    <t xml:space="preserve">Amani Mining | Consulting | due diligence</t>
  </si>
  <si>
    <t xml:space="preserve">O00380</t>
  </si>
  <si>
    <t xml:space="preserve">Pwani Capital | Consulting | compliance</t>
  </si>
  <si>
    <t xml:space="preserve">O00381</t>
  </si>
  <si>
    <t xml:space="preserve">Mto Media | Assurance | support</t>
  </si>
  <si>
    <t xml:space="preserve">O00382</t>
  </si>
  <si>
    <t xml:space="preserve">Lakeview Sacco | Consulting | annual</t>
  </si>
  <si>
    <t xml:space="preserve">O00383</t>
  </si>
  <si>
    <t xml:space="preserve">Safari Digital | Assurance | readiness</t>
  </si>
  <si>
    <t xml:space="preserve">O00384</t>
  </si>
  <si>
    <t xml:space="preserve">Mara Petroleum | Deals | transformation</t>
  </si>
  <si>
    <t xml:space="preserve">O00385</t>
  </si>
  <si>
    <t xml:space="preserve">Umoja Insurance | Assurance | transformation</t>
  </si>
  <si>
    <t xml:space="preserve">O00386</t>
  </si>
  <si>
    <t xml:space="preserve">Kibo Supermarkets | Consulting | annual</t>
  </si>
  <si>
    <t xml:space="preserve">O00387</t>
  </si>
  <si>
    <t xml:space="preserve">Harambee Authority | Risk | compliance</t>
  </si>
  <si>
    <t xml:space="preserve">O00388</t>
  </si>
  <si>
    <t xml:space="preserve">Simba Foods | Tax &amp; Legal | readiness</t>
  </si>
  <si>
    <t xml:space="preserve">O00389</t>
  </si>
  <si>
    <t xml:space="preserve">Acacia Pharma | Tax &amp; Legal | transformation</t>
  </si>
  <si>
    <t xml:space="preserve">O00390</t>
  </si>
  <si>
    <t xml:space="preserve">Amani Agri | Consulting | support</t>
  </si>
  <si>
    <t xml:space="preserve">O00391</t>
  </si>
  <si>
    <t xml:space="preserve">Jambo Microfinance | Consulting | advisory</t>
  </si>
  <si>
    <t xml:space="preserve">O00392</t>
  </si>
  <si>
    <t xml:space="preserve">O00393</t>
  </si>
  <si>
    <t xml:space="preserve">Mara Horticulture | Assurance | compliance</t>
  </si>
  <si>
    <t xml:space="preserve">O00394</t>
  </si>
  <si>
    <t xml:space="preserve">Safari Microfinance | Risk | advisory</t>
  </si>
  <si>
    <t xml:space="preserve">O00395</t>
  </si>
  <si>
    <t xml:space="preserve">Mara Petroleum | Tax &amp; Legal | readiness</t>
  </si>
  <si>
    <t xml:space="preserve">O00396</t>
  </si>
  <si>
    <t xml:space="preserve">O00397</t>
  </si>
  <si>
    <t xml:space="preserve">A0252</t>
  </si>
  <si>
    <t xml:space="preserve">Savanna Digital | Tax &amp; Legal | annual</t>
  </si>
  <si>
    <t xml:space="preserve">O00398</t>
  </si>
  <si>
    <t xml:space="preserve">A0043</t>
  </si>
  <si>
    <t xml:space="preserve">Zuri Power | Assurance | transformation</t>
  </si>
  <si>
    <t xml:space="preserve">O00399</t>
  </si>
  <si>
    <t xml:space="preserve">Safari Pharma | Assurance | annual</t>
  </si>
  <si>
    <t xml:space="preserve">O00400</t>
  </si>
  <si>
    <t xml:space="preserve">Rift Capital | Consulting | due diligence</t>
  </si>
  <si>
    <t xml:space="preserve">O00401</t>
  </si>
  <si>
    <t xml:space="preserve">Jambo Insurance | Tax &amp; Legal | readiness</t>
  </si>
  <si>
    <t xml:space="preserve">O00402</t>
  </si>
  <si>
    <t xml:space="preserve">Baobab Logistics | Assurance | support</t>
  </si>
  <si>
    <t xml:space="preserve">O00403</t>
  </si>
  <si>
    <t xml:space="preserve">A0154</t>
  </si>
  <si>
    <t xml:space="preserve">Pwani Sacco | Risk | annual</t>
  </si>
  <si>
    <t xml:space="preserve">O00404</t>
  </si>
  <si>
    <t xml:space="preserve">Baobab Logistics | Consulting | due diligence</t>
  </si>
  <si>
    <t xml:space="preserve">O00405</t>
  </si>
  <si>
    <t xml:space="preserve">Mara Foods | Risk | annual</t>
  </si>
  <si>
    <t xml:space="preserve">O00406</t>
  </si>
  <si>
    <t xml:space="preserve">Umoja Foods | Deals | annual</t>
  </si>
  <si>
    <t xml:space="preserve">O00407</t>
  </si>
  <si>
    <t xml:space="preserve">A0221</t>
  </si>
  <si>
    <t xml:space="preserve">Rift Insurance | Tax &amp; Legal | transformation</t>
  </si>
  <si>
    <t xml:space="preserve">O00408</t>
  </si>
  <si>
    <t xml:space="preserve">Rift Cloud | Risk | support</t>
  </si>
  <si>
    <t xml:space="preserve">O00409</t>
  </si>
  <si>
    <t xml:space="preserve">Amani Insurance | Assurance | transformation</t>
  </si>
  <si>
    <t xml:space="preserve">O00410</t>
  </si>
  <si>
    <t xml:space="preserve">Umoja Insurance | Consulting | review</t>
  </si>
  <si>
    <t xml:space="preserve">O00411</t>
  </si>
  <si>
    <t xml:space="preserve">Kilimanjaro Media | Consulting | review</t>
  </si>
  <si>
    <t xml:space="preserve">O00412</t>
  </si>
  <si>
    <t xml:space="preserve">Amani Mining | Consulting | advisory</t>
  </si>
  <si>
    <t xml:space="preserve">O00413</t>
  </si>
  <si>
    <t xml:space="preserve">Equator Telecom | Risk | due diligence</t>
  </si>
  <si>
    <t xml:space="preserve">O00414</t>
  </si>
  <si>
    <t xml:space="preserve">Simba Growers | Consulting | annual</t>
  </si>
  <si>
    <t xml:space="preserve">O00415</t>
  </si>
  <si>
    <t xml:space="preserve">Tembo Tea Estates | Consulting | advisory</t>
  </si>
  <si>
    <t xml:space="preserve">O00416</t>
  </si>
  <si>
    <t xml:space="preserve">Nile Supermarkets | Consulting | support</t>
  </si>
  <si>
    <t xml:space="preserve">O00417</t>
  </si>
  <si>
    <t xml:space="preserve">O00418</t>
  </si>
  <si>
    <t xml:space="preserve">A0047</t>
  </si>
  <si>
    <t xml:space="preserve">Acacia Properties | Consulting | compliance</t>
  </si>
  <si>
    <t xml:space="preserve">O00419</t>
  </si>
  <si>
    <t xml:space="preserve">Pwani Capital | Tax &amp; Legal | annual</t>
  </si>
  <si>
    <t xml:space="preserve">O00420</t>
  </si>
  <si>
    <t xml:space="preserve">Amani Digital | Consulting | support</t>
  </si>
  <si>
    <t xml:space="preserve">O00421</t>
  </si>
  <si>
    <t xml:space="preserve">Mto Networks | Assurance | advisory</t>
  </si>
  <si>
    <t xml:space="preserve">O00422</t>
  </si>
  <si>
    <t xml:space="preserve">Jambo Agri | Assurance | due diligence</t>
  </si>
  <si>
    <t xml:space="preserve">O00423</t>
  </si>
  <si>
    <t xml:space="preserve">O00424</t>
  </si>
  <si>
    <t xml:space="preserve">Amani Foundation | Assurance | readiness</t>
  </si>
  <si>
    <t xml:space="preserve">O00425</t>
  </si>
  <si>
    <t xml:space="preserve">Umoja Asset Managers | Deals | advisory</t>
  </si>
  <si>
    <t xml:space="preserve">O00426</t>
  </si>
  <si>
    <t xml:space="preserve">Amani Digital | Tax &amp; Legal | compliance</t>
  </si>
  <si>
    <t xml:space="preserve">O00427</t>
  </si>
  <si>
    <t xml:space="preserve">Jambo Microfinance | Deals | advisory</t>
  </si>
  <si>
    <t xml:space="preserve">O00428</t>
  </si>
  <si>
    <t xml:space="preserve">Amani Authority | Assurance | annual</t>
  </si>
  <si>
    <t xml:space="preserve">O00429</t>
  </si>
  <si>
    <t xml:space="preserve">A0257</t>
  </si>
  <si>
    <t xml:space="preserve">Nile Digital | Deals | support</t>
  </si>
  <si>
    <t xml:space="preserve">O00430</t>
  </si>
  <si>
    <t xml:space="preserve">Jambo Microfinance | Consulting | review</t>
  </si>
  <si>
    <t xml:space="preserve">O00431</t>
  </si>
  <si>
    <t xml:space="preserve">Highland Infrastructure | Deals | support</t>
  </si>
  <si>
    <t xml:space="preserve">O00432</t>
  </si>
  <si>
    <t xml:space="preserve">Pwani Asset Managers | Consulting | compliance</t>
  </si>
  <si>
    <t xml:space="preserve">O00433</t>
  </si>
  <si>
    <t xml:space="preserve">Safari Pharma | Tax &amp; Legal | review</t>
  </si>
  <si>
    <t xml:space="preserve">O00434</t>
  </si>
  <si>
    <t xml:space="preserve">Amani Authority | Assurance | compliance</t>
  </si>
  <si>
    <t xml:space="preserve">O00435</t>
  </si>
  <si>
    <t xml:space="preserve">Nile Networks | Assurance | support</t>
  </si>
  <si>
    <t xml:space="preserve">O00436</t>
  </si>
  <si>
    <t xml:space="preserve">A0314</t>
  </si>
  <si>
    <t xml:space="preserve">Nyota Foundation | Consulting | annual</t>
  </si>
  <si>
    <t xml:space="preserve">O00437</t>
  </si>
  <si>
    <t xml:space="preserve">Twiga Telecom | Assurance | annual</t>
  </si>
  <si>
    <t xml:space="preserve">O00438</t>
  </si>
  <si>
    <t xml:space="preserve">Simba Asset Managers | Tax &amp; Legal | review</t>
  </si>
  <si>
    <t xml:space="preserve">O00439</t>
  </si>
  <si>
    <t xml:space="preserve">Highland Foods | Deals | due diligence</t>
  </si>
  <si>
    <t xml:space="preserve">O00440</t>
  </si>
  <si>
    <t xml:space="preserve">Nile Microfinance | Risk | compliance</t>
  </si>
  <si>
    <t xml:space="preserve">O00441</t>
  </si>
  <si>
    <t xml:space="preserve">Zuri Tea Estates | Consulting | support</t>
  </si>
  <si>
    <t xml:space="preserve">O00442</t>
  </si>
  <si>
    <t xml:space="preserve">Lakeview Bank | Assurance | due diligence</t>
  </si>
  <si>
    <t xml:space="preserve">O00443</t>
  </si>
  <si>
    <t xml:space="preserve">Jua Beverages | Assurance | support</t>
  </si>
  <si>
    <t xml:space="preserve">O00444</t>
  </si>
  <si>
    <t xml:space="preserve">Mto Networks | Assurance | due diligence</t>
  </si>
  <si>
    <t xml:space="preserve">O00445</t>
  </si>
  <si>
    <t xml:space="preserve">Umoja Asset Managers | Deals | due diligence</t>
  </si>
  <si>
    <t xml:space="preserve">O00446</t>
  </si>
  <si>
    <t xml:space="preserve">Jua County Government | Assurance | transformation</t>
  </si>
  <si>
    <t xml:space="preserve">O00447</t>
  </si>
  <si>
    <t xml:space="preserve">Rift Health Group | Assurance | compliance</t>
  </si>
  <si>
    <t xml:space="preserve">O00448</t>
  </si>
  <si>
    <t xml:space="preserve">Pwani Asset Managers | Assurance | compliance</t>
  </si>
  <si>
    <t xml:space="preserve">O00449</t>
  </si>
  <si>
    <t xml:space="preserve">Highland Telecom | Assurance | readiness</t>
  </si>
  <si>
    <t xml:space="preserve">O00450</t>
  </si>
  <si>
    <t xml:space="preserve">Equator Sacco | Assurance | review</t>
  </si>
  <si>
    <t xml:space="preserve">O00451</t>
  </si>
  <si>
    <t xml:space="preserve">Acacia Energy | Risk | readiness</t>
  </si>
  <si>
    <t xml:space="preserve">O00452</t>
  </si>
  <si>
    <t xml:space="preserve">Pwani Digital | Consulting | support</t>
  </si>
  <si>
    <t xml:space="preserve">O00453</t>
  </si>
  <si>
    <t xml:space="preserve">Nile Sacco | Assurance | due diligence</t>
  </si>
  <si>
    <t xml:space="preserve">O00454</t>
  </si>
  <si>
    <t xml:space="preserve">Highland Dairy | Tax &amp; Legal | advisory</t>
  </si>
  <si>
    <t xml:space="preserve">O00455</t>
  </si>
  <si>
    <t xml:space="preserve">Amani Insurance | Consulting | annual</t>
  </si>
  <si>
    <t xml:space="preserve">O00456</t>
  </si>
  <si>
    <t xml:space="preserve">A0144</t>
  </si>
  <si>
    <t xml:space="preserve">Baobab Insurance | Deals | annual</t>
  </si>
  <si>
    <t xml:space="preserve">O00457</t>
  </si>
  <si>
    <t xml:space="preserve">Baobab Energy | Tax &amp; Legal | annual</t>
  </si>
  <si>
    <t xml:space="preserve">O00458</t>
  </si>
  <si>
    <t xml:space="preserve">Baobab Energy | Consulting | readiness</t>
  </si>
  <si>
    <t xml:space="preserve">O00459</t>
  </si>
  <si>
    <t xml:space="preserve">Safari Beverages | Deals | review</t>
  </si>
  <si>
    <t xml:space="preserve">O00460</t>
  </si>
  <si>
    <t xml:space="preserve">Harambee Sacco | Tax &amp; Legal | due diligence</t>
  </si>
  <si>
    <t xml:space="preserve">O00461</t>
  </si>
  <si>
    <t xml:space="preserve">Twiga Commission | Consulting | readiness</t>
  </si>
  <si>
    <t xml:space="preserve">O00462</t>
  </si>
  <si>
    <t xml:space="preserve">Pwani Capital | Assurance | support</t>
  </si>
  <si>
    <t xml:space="preserve">O00463</t>
  </si>
  <si>
    <t xml:space="preserve">Tembo Capital | Assurance | due diligence</t>
  </si>
  <si>
    <t xml:space="preserve">O00464</t>
  </si>
  <si>
    <t xml:space="preserve">A0276</t>
  </si>
  <si>
    <t xml:space="preserve">Nyota Capital | Assurance | compliance</t>
  </si>
  <si>
    <t xml:space="preserve">O00465</t>
  </si>
  <si>
    <t xml:space="preserve">Zuri Asset Managers | Tax &amp; Legal | review</t>
  </si>
  <si>
    <t xml:space="preserve">O00466</t>
  </si>
  <si>
    <t xml:space="preserve">Nyota Asset Managers | Deals | annual</t>
  </si>
  <si>
    <t xml:space="preserve">O00467</t>
  </si>
  <si>
    <t xml:space="preserve">Pwani Digital | Deals | advisory</t>
  </si>
  <si>
    <t xml:space="preserve">O00468</t>
  </si>
  <si>
    <t xml:space="preserve">O00469</t>
  </si>
  <si>
    <t xml:space="preserve">Amani Digital | Risk | transformation</t>
  </si>
  <si>
    <t xml:space="preserve">O00470</t>
  </si>
  <si>
    <t xml:space="preserve">Lakeview Digital | Assurance | readiness</t>
  </si>
  <si>
    <t xml:space="preserve">O00471</t>
  </si>
  <si>
    <t xml:space="preserve">Safari Microfinance | Assurance | transformation</t>
  </si>
  <si>
    <t xml:space="preserve">O00472</t>
  </si>
  <si>
    <t xml:space="preserve">Kibo Capital | Consulting | readiness</t>
  </si>
  <si>
    <t xml:space="preserve">O00473</t>
  </si>
  <si>
    <t xml:space="preserve">O00474</t>
  </si>
  <si>
    <t xml:space="preserve">Baobab Power | Tax &amp; Legal | advisory</t>
  </si>
  <si>
    <t xml:space="preserve">O00475</t>
  </si>
  <si>
    <t xml:space="preserve">Safari Hotels | Assurance | transformation</t>
  </si>
  <si>
    <t xml:space="preserve">O00476</t>
  </si>
  <si>
    <t xml:space="preserve">O00477</t>
  </si>
  <si>
    <t xml:space="preserve">Equator Asset Managers | Consulting | readiness</t>
  </si>
  <si>
    <t xml:space="preserve">O00478</t>
  </si>
  <si>
    <t xml:space="preserve">Safari Insurance | Assurance | transformation</t>
  </si>
  <si>
    <t xml:space="preserve">O00479</t>
  </si>
  <si>
    <t xml:space="preserve">O00480</t>
  </si>
  <si>
    <t xml:space="preserve">Twiga Commission | Consulting | compliance</t>
  </si>
  <si>
    <t xml:space="preserve">O00481</t>
  </si>
  <si>
    <t xml:space="preserve">Lakeview Agri | Deals | annual</t>
  </si>
  <si>
    <t xml:space="preserve">O00482</t>
  </si>
  <si>
    <t xml:space="preserve">Amani Digital | Assurance | support</t>
  </si>
  <si>
    <t xml:space="preserve">O00483</t>
  </si>
  <si>
    <t xml:space="preserve">A0217</t>
  </si>
  <si>
    <t xml:space="preserve">Jua Foundation | Assurance | support</t>
  </si>
  <si>
    <t xml:space="preserve">O00484</t>
  </si>
  <si>
    <t xml:space="preserve">O00485</t>
  </si>
  <si>
    <t xml:space="preserve">Baobab Telecom | Assurance | transformation</t>
  </si>
  <si>
    <t xml:space="preserve">O00486</t>
  </si>
  <si>
    <t xml:space="preserve">Rift Bank | Consulting | support</t>
  </si>
  <si>
    <t xml:space="preserve">O00487</t>
  </si>
  <si>
    <t xml:space="preserve">Mara Commission | Tax &amp; Legal | compliance</t>
  </si>
  <si>
    <t xml:space="preserve">O00488</t>
  </si>
  <si>
    <t xml:space="preserve">Amani Insurance | Tax &amp; Legal | transformation</t>
  </si>
  <si>
    <t xml:space="preserve">O00489</t>
  </si>
  <si>
    <t xml:space="preserve">Mara Power | Deals | support</t>
  </si>
  <si>
    <t xml:space="preserve">O00490</t>
  </si>
  <si>
    <t xml:space="preserve">A0332</t>
  </si>
  <si>
    <t xml:space="preserve">Acacia Media | Consulting | transformation</t>
  </si>
  <si>
    <t xml:space="preserve">O00491</t>
  </si>
  <si>
    <t xml:space="preserve">A0069</t>
  </si>
  <si>
    <t xml:space="preserve">Twiga Development Fund | Deals | annual</t>
  </si>
  <si>
    <t xml:space="preserve">O00492</t>
  </si>
  <si>
    <t xml:space="preserve">Twiga Agri | Deals | compliance</t>
  </si>
  <si>
    <t xml:space="preserve">O00493</t>
  </si>
  <si>
    <t xml:space="preserve">A0200</t>
  </si>
  <si>
    <t xml:space="preserve">Tembo Sacco | Tax &amp; Legal | compliance</t>
  </si>
  <si>
    <t xml:space="preserve">O00494</t>
  </si>
  <si>
    <t xml:space="preserve">A0073</t>
  </si>
  <si>
    <t xml:space="preserve">Acacia Capital | Assurance | compliance</t>
  </si>
  <si>
    <t xml:space="preserve">O00495</t>
  </si>
  <si>
    <t xml:space="preserve">A0237</t>
  </si>
  <si>
    <t xml:space="preserve">Acacia Insurance | Assurance | advisory</t>
  </si>
  <si>
    <t xml:space="preserve">O00496</t>
  </si>
  <si>
    <t xml:space="preserve">Mara Networks | Tax &amp; Legal | due diligence</t>
  </si>
  <si>
    <t xml:space="preserve">O00497</t>
  </si>
  <si>
    <t xml:space="preserve">A0325</t>
  </si>
  <si>
    <t xml:space="preserve">Mara Networks | Consulting | compliance</t>
  </si>
  <si>
    <t xml:space="preserve">O00498</t>
  </si>
  <si>
    <t xml:space="preserve">Jambo Tea Estates | Tax &amp; Legal | due diligence</t>
  </si>
  <si>
    <t xml:space="preserve">O00499</t>
  </si>
  <si>
    <t xml:space="preserve">Amani Digital | Deals | compliance</t>
  </si>
  <si>
    <t xml:space="preserve">O00500</t>
  </si>
  <si>
    <t xml:space="preserve">O00501</t>
  </si>
  <si>
    <t xml:space="preserve">Mara Asset Managers | Consulting | review</t>
  </si>
  <si>
    <t xml:space="preserve">O00502</t>
  </si>
  <si>
    <t xml:space="preserve">Zuri Infrastructure | Tax &amp; Legal | annual</t>
  </si>
  <si>
    <t xml:space="preserve">O00503</t>
  </si>
  <si>
    <t xml:space="preserve">Harambee County Government | Assurance | annual</t>
  </si>
  <si>
    <t xml:space="preserve">O00504</t>
  </si>
  <si>
    <t xml:space="preserve">Pwani Media | Risk | annual</t>
  </si>
  <si>
    <t xml:space="preserve">O00505</t>
  </si>
  <si>
    <t xml:space="preserve">Lakeview County Government | Deals | review</t>
  </si>
  <si>
    <t xml:space="preserve">O00506</t>
  </si>
  <si>
    <t xml:space="preserve">Jambo Microfinance | Tax &amp; Legal | review</t>
  </si>
  <si>
    <t xml:space="preserve">O00507</t>
  </si>
  <si>
    <t xml:space="preserve">Lakeview Bank | Consulting | transformation</t>
  </si>
  <si>
    <t xml:space="preserve">O00508</t>
  </si>
  <si>
    <t xml:space="preserve">A0182</t>
  </si>
  <si>
    <t xml:space="preserve">Lakeview Beverages | Assurance | advisory</t>
  </si>
  <si>
    <t xml:space="preserve">O00509</t>
  </si>
  <si>
    <t xml:space="preserve">Zuri Asset Managers | Tax &amp; Legal | transformation</t>
  </si>
  <si>
    <t xml:space="preserve">O00510</t>
  </si>
  <si>
    <t xml:space="preserve">Nile Networks | Consulting | support</t>
  </si>
  <si>
    <t xml:space="preserve">O00511</t>
  </si>
  <si>
    <t xml:space="preserve">Savanna Capital | Tax &amp; Legal | advisory</t>
  </si>
  <si>
    <t xml:space="preserve">O00512</t>
  </si>
  <si>
    <t xml:space="preserve">Nyota Telecom | Consulting | transformation</t>
  </si>
  <si>
    <t xml:space="preserve">O00513</t>
  </si>
  <si>
    <t xml:space="preserve">Tembo Capital | Deals | annual</t>
  </si>
  <si>
    <t xml:space="preserve">O00514</t>
  </si>
  <si>
    <t xml:space="preserve">Mto Growers | Tax &amp; Legal | readiness</t>
  </si>
  <si>
    <t xml:space="preserve">O00515</t>
  </si>
  <si>
    <t xml:space="preserve">Tembo Dairy | Assurance | readiness</t>
  </si>
  <si>
    <t xml:space="preserve">O00516</t>
  </si>
  <si>
    <t xml:space="preserve">Acacia Insurance | Assurance | compliance</t>
  </si>
  <si>
    <t xml:space="preserve">O00517</t>
  </si>
  <si>
    <t xml:space="preserve">Nyota County Government | Tax &amp; Legal | due diligence</t>
  </si>
  <si>
    <t xml:space="preserve">O00518</t>
  </si>
  <si>
    <t xml:space="preserve">Acacia Microfinance | Tax &amp; Legal | annual</t>
  </si>
  <si>
    <t xml:space="preserve">O00519</t>
  </si>
  <si>
    <t xml:space="preserve">Mara Hospital | Risk | review</t>
  </si>
  <si>
    <t xml:space="preserve">O00520</t>
  </si>
  <si>
    <t xml:space="preserve">Mto Media | Deals | advisory</t>
  </si>
  <si>
    <t xml:space="preserve">O00521</t>
  </si>
  <si>
    <t xml:space="preserve">Nyota County Government | Tax &amp; Legal | compliance</t>
  </si>
  <si>
    <t xml:space="preserve">O00522</t>
  </si>
  <si>
    <t xml:space="preserve">Amani Authority | Assurance | readiness</t>
  </si>
  <si>
    <t xml:space="preserve">O00523</t>
  </si>
  <si>
    <t xml:space="preserve">Equator Petroleum | Consulting | due diligence</t>
  </si>
  <si>
    <t xml:space="preserve">O00524</t>
  </si>
  <si>
    <t xml:space="preserve">O00525</t>
  </si>
  <si>
    <t xml:space="preserve">Zuri Hotels | Risk | transformation</t>
  </si>
  <si>
    <t xml:space="preserve">O00526</t>
  </si>
  <si>
    <t xml:space="preserve">A0308</t>
  </si>
  <si>
    <t xml:space="preserve">Pwani Construction | Deals | annual</t>
  </si>
  <si>
    <t xml:space="preserve">O00527</t>
  </si>
  <si>
    <t xml:space="preserve">Kibo Digital | Tax &amp; Legal | readiness</t>
  </si>
  <si>
    <t xml:space="preserve">O00528</t>
  </si>
  <si>
    <t xml:space="preserve">Umoja Hospital | Consulting | review</t>
  </si>
  <si>
    <t xml:space="preserve">O00529</t>
  </si>
  <si>
    <t xml:space="preserve">Umoja Asset Managers | Tax &amp; Legal | advisory</t>
  </si>
  <si>
    <t xml:space="preserve">O00530</t>
  </si>
  <si>
    <t xml:space="preserve">Pwani Mining | Tax &amp; Legal | advisory</t>
  </si>
  <si>
    <t xml:space="preserve">O00531</t>
  </si>
  <si>
    <t xml:space="preserve">Simba Commission | Consulting | transformation</t>
  </si>
  <si>
    <t xml:space="preserve">O00532</t>
  </si>
  <si>
    <t xml:space="preserve">Zuri Supermarkets | Risk | advisory</t>
  </si>
  <si>
    <t xml:space="preserve">O00533</t>
  </si>
  <si>
    <t xml:space="preserve">Twiga Telecom | Risk | support</t>
  </si>
  <si>
    <t xml:space="preserve">O00534</t>
  </si>
  <si>
    <t xml:space="preserve">Twiga Agri | Assurance | compliance</t>
  </si>
  <si>
    <t xml:space="preserve">O00535</t>
  </si>
  <si>
    <t xml:space="preserve">Acacia Media | Deals | transformation</t>
  </si>
  <si>
    <t xml:space="preserve">O00536</t>
  </si>
  <si>
    <t xml:space="preserve">O00537</t>
  </si>
  <si>
    <t xml:space="preserve">A0328</t>
  </si>
  <si>
    <t xml:space="preserve">O00538</t>
  </si>
  <si>
    <t xml:space="preserve">Nile Retail | Assurance | annual</t>
  </si>
  <si>
    <t xml:space="preserve">O00539</t>
  </si>
  <si>
    <t xml:space="preserve">Nile Microfinance | Deals | readiness</t>
  </si>
  <si>
    <t xml:space="preserve">O00540</t>
  </si>
  <si>
    <t xml:space="preserve">Kilimanjaro Media | Tax &amp; Legal | advisory</t>
  </si>
  <si>
    <t xml:space="preserve">O00541</t>
  </si>
  <si>
    <t xml:space="preserve">Jambo Tea Estates | Deals | support</t>
  </si>
  <si>
    <t xml:space="preserve">O00542</t>
  </si>
  <si>
    <t xml:space="preserve">Jambo Diagnostics | Consulting | due diligence</t>
  </si>
  <si>
    <t xml:space="preserve">O00543</t>
  </si>
  <si>
    <t xml:space="preserve">Kilimanjaro Media | Tax &amp; Legal | review</t>
  </si>
  <si>
    <t xml:space="preserve">O00544</t>
  </si>
  <si>
    <t xml:space="preserve">Jambo Asset Managers | Consulting | readiness</t>
  </si>
  <si>
    <t xml:space="preserve">O00545</t>
  </si>
  <si>
    <t xml:space="preserve">Zuri Dairy | Tax &amp; Legal | compliance</t>
  </si>
  <si>
    <t xml:space="preserve">O00546</t>
  </si>
  <si>
    <t xml:space="preserve">Harambee Commission | Assurance | support</t>
  </si>
  <si>
    <t xml:space="preserve">O00547</t>
  </si>
  <si>
    <t xml:space="preserve">O00548</t>
  </si>
  <si>
    <t xml:space="preserve">Umoja Capital | Deals | readiness</t>
  </si>
  <si>
    <t xml:space="preserve">O00549</t>
  </si>
  <si>
    <t xml:space="preserve">Simba Hotels | Risk | annual</t>
  </si>
  <si>
    <t xml:space="preserve">O00550</t>
  </si>
  <si>
    <t xml:space="preserve">Amani Foundation | Consulting | readiness</t>
  </si>
  <si>
    <t xml:space="preserve">O00551</t>
  </si>
  <si>
    <t xml:space="preserve">Zuri Asset Managers | Tax &amp; Legal | readiness</t>
  </si>
  <si>
    <t xml:space="preserve">O00552</t>
  </si>
  <si>
    <t xml:space="preserve">Acacia Authority | Assurance | annual</t>
  </si>
  <si>
    <t xml:space="preserve">O00553</t>
  </si>
  <si>
    <t xml:space="preserve">Rift Insurance | Consulting | advisory</t>
  </si>
  <si>
    <t xml:space="preserve">O00554</t>
  </si>
  <si>
    <t xml:space="preserve">Kibo Digital | Consulting | annual</t>
  </si>
  <si>
    <t xml:space="preserve">O00555</t>
  </si>
  <si>
    <t xml:space="preserve">Jambo Tea Estates | Tax &amp; Legal | readiness</t>
  </si>
  <si>
    <t xml:space="preserve">O00556</t>
  </si>
  <si>
    <t xml:space="preserve">Simba Development Fund | Assurance | transformation</t>
  </si>
  <si>
    <t xml:space="preserve">O00557</t>
  </si>
  <si>
    <t xml:space="preserve">Nile Energy | Deals | due diligence</t>
  </si>
  <si>
    <t xml:space="preserve">O00558</t>
  </si>
  <si>
    <t xml:space="preserve">Equator Agri | Tax &amp; Legal | review</t>
  </si>
  <si>
    <t xml:space="preserve">O00559</t>
  </si>
  <si>
    <t xml:space="preserve">Acacia Authority | Assurance | support</t>
  </si>
  <si>
    <t xml:space="preserve">O00560</t>
  </si>
  <si>
    <t xml:space="preserve">O00561</t>
  </si>
  <si>
    <t xml:space="preserve">Twiga Telecom | Consulting | advisory</t>
  </si>
  <si>
    <t xml:space="preserve">O00562</t>
  </si>
  <si>
    <t xml:space="preserve">Baobab Infrastructure | Consulting | readiness</t>
  </si>
  <si>
    <t xml:space="preserve">O00563</t>
  </si>
  <si>
    <t xml:space="preserve">Pwani Microfinance | Deals | readiness</t>
  </si>
  <si>
    <t xml:space="preserve">O00564</t>
  </si>
  <si>
    <t xml:space="preserve">Highland Networks | Deals | transformation</t>
  </si>
  <si>
    <t xml:space="preserve">O00565</t>
  </si>
  <si>
    <t xml:space="preserve">A0264</t>
  </si>
  <si>
    <t xml:space="preserve">Zuri Telecom | Assurance | due diligence</t>
  </si>
  <si>
    <t xml:space="preserve">O00566</t>
  </si>
  <si>
    <t xml:space="preserve">A0156</t>
  </si>
  <si>
    <t xml:space="preserve">Nyota Media | Risk | due diligence</t>
  </si>
  <si>
    <t xml:space="preserve">O00567</t>
  </si>
  <si>
    <t xml:space="preserve">Nile Supermarkets | Tax &amp; Legal | review</t>
  </si>
  <si>
    <t xml:space="preserve">O00568</t>
  </si>
  <si>
    <t xml:space="preserve">Zuri Infrastructure | Risk | review</t>
  </si>
  <si>
    <t xml:space="preserve">O00569</t>
  </si>
  <si>
    <t xml:space="preserve">Mara Commission | Tax &amp; Legal | support</t>
  </si>
  <si>
    <t xml:space="preserve">O00570</t>
  </si>
  <si>
    <t xml:space="preserve">Tembo Capital | Assurance | advisory</t>
  </si>
  <si>
    <t xml:space="preserve">O00571</t>
  </si>
  <si>
    <t xml:space="preserve">Zuri Housing | Consulting | support</t>
  </si>
  <si>
    <t xml:space="preserve">O00572</t>
  </si>
  <si>
    <t xml:space="preserve">Acacia Hospital | Assurance | readiness</t>
  </si>
  <si>
    <t xml:space="preserve">O00573</t>
  </si>
  <si>
    <t xml:space="preserve">Lakeview Sacco | Assurance | due diligence</t>
  </si>
  <si>
    <t xml:space="preserve">O00574</t>
  </si>
  <si>
    <t xml:space="preserve">Equator Petroleum | Tax &amp; Legal | advisory</t>
  </si>
  <si>
    <t xml:space="preserve">O00575</t>
  </si>
  <si>
    <t xml:space="preserve">Rift Capital | Consulting | transformation</t>
  </si>
  <si>
    <t xml:space="preserve">O00576</t>
  </si>
  <si>
    <t xml:space="preserve">Jambo Microfinance | Consulting | support</t>
  </si>
  <si>
    <t xml:space="preserve">O00577</t>
  </si>
  <si>
    <t xml:space="preserve">Baobab County Government | Deals | advisory</t>
  </si>
  <si>
    <t xml:space="preserve">O00578</t>
  </si>
  <si>
    <t xml:space="preserve">O00579</t>
  </si>
  <si>
    <t xml:space="preserve">Tembo Capital | Consulting | advisory</t>
  </si>
  <si>
    <t xml:space="preserve">O00580</t>
  </si>
  <si>
    <t xml:space="preserve">Mara Media | Risk | review</t>
  </si>
  <si>
    <t xml:space="preserve">O00581</t>
  </si>
  <si>
    <t xml:space="preserve">Jambo Microfinance | Assurance | compliance</t>
  </si>
  <si>
    <t xml:space="preserve">O00582</t>
  </si>
  <si>
    <t xml:space="preserve">Lakeview Telecom | Assurance | annual</t>
  </si>
  <si>
    <t xml:space="preserve">O00583</t>
  </si>
  <si>
    <t xml:space="preserve">Tembo Dairy | Deals | annual</t>
  </si>
  <si>
    <t xml:space="preserve">O00584</t>
  </si>
  <si>
    <t xml:space="preserve">Safari Growers | Tax &amp; Legal | review</t>
  </si>
  <si>
    <t xml:space="preserve">O00585</t>
  </si>
  <si>
    <t xml:space="preserve">Acacia Mining | Tax &amp; Legal | due diligence</t>
  </si>
  <si>
    <t xml:space="preserve">O00586</t>
  </si>
  <si>
    <t xml:space="preserve">Umoja Cloud | Assurance | due diligence</t>
  </si>
  <si>
    <t xml:space="preserve">O00587</t>
  </si>
  <si>
    <t xml:space="preserve">Jambo Construction | Consulting | due diligence</t>
  </si>
  <si>
    <t xml:space="preserve">O00588</t>
  </si>
  <si>
    <t xml:space="preserve">Highland Telecom | Consulting | compliance</t>
  </si>
  <si>
    <t xml:space="preserve">O00589</t>
  </si>
  <si>
    <t xml:space="preserve">Kibo Sacco | Assurance | advisory</t>
  </si>
  <si>
    <t xml:space="preserve">O00590</t>
  </si>
  <si>
    <t xml:space="preserve">Pwani Asset Managers | Assurance | annual</t>
  </si>
  <si>
    <t xml:space="preserve">O00591</t>
  </si>
  <si>
    <t xml:space="preserve">Nile Geothermal | Consulting | support</t>
  </si>
  <si>
    <t xml:space="preserve">O00592</t>
  </si>
  <si>
    <t xml:space="preserve">Pwani Digital | Assurance | compliance</t>
  </si>
  <si>
    <t xml:space="preserve">O00593</t>
  </si>
  <si>
    <t xml:space="preserve">Amani Agri | Risk | readiness</t>
  </si>
  <si>
    <t xml:space="preserve">O00594</t>
  </si>
  <si>
    <t xml:space="preserve">Baobab Energy | Risk | support</t>
  </si>
  <si>
    <t xml:space="preserve">O00595</t>
  </si>
  <si>
    <t xml:space="preserve">Lakeview Agri | Consulting | due diligence</t>
  </si>
  <si>
    <t xml:space="preserve">O00596</t>
  </si>
  <si>
    <t xml:space="preserve">Baobab Capital | Tax &amp; Legal | compliance</t>
  </si>
  <si>
    <t xml:space="preserve">O00597</t>
  </si>
  <si>
    <t xml:space="preserve">Rift Capital | Consulting | review</t>
  </si>
  <si>
    <t xml:space="preserve">O00598</t>
  </si>
  <si>
    <t xml:space="preserve">Nile Networks | Consulting | readiness</t>
  </si>
  <si>
    <t xml:space="preserve">O00599</t>
  </si>
  <si>
    <t xml:space="preserve">Safari Digital | Assurance | transformation</t>
  </si>
  <si>
    <t xml:space="preserve">O00600</t>
  </si>
  <si>
    <t xml:space="preserve">Mara Foods | Consulting | annual</t>
  </si>
  <si>
    <t xml:space="preserve">O00601</t>
  </si>
  <si>
    <t xml:space="preserve">O00602</t>
  </si>
  <si>
    <t xml:space="preserve">Baobab County Government | Consulting | support</t>
  </si>
  <si>
    <t xml:space="preserve">O00603</t>
  </si>
  <si>
    <t xml:space="preserve">Safari Beverages | Tax &amp; Legal | annual</t>
  </si>
  <si>
    <t xml:space="preserve">O00604</t>
  </si>
  <si>
    <t xml:space="preserve">Equator Asset Managers | Assurance | advisory</t>
  </si>
  <si>
    <t xml:space="preserve">O00605</t>
  </si>
  <si>
    <t xml:space="preserve">Tembo Capital | Assurance | annual</t>
  </si>
  <si>
    <t xml:space="preserve">O00606</t>
  </si>
  <si>
    <t xml:space="preserve">Safari Digital | Assurance | compliance</t>
  </si>
  <si>
    <t xml:space="preserve">O00607</t>
  </si>
  <si>
    <t xml:space="preserve">A0132</t>
  </si>
  <si>
    <t xml:space="preserve">Kilimanjaro Hotels | Assurance | review</t>
  </si>
  <si>
    <t xml:space="preserve">O00608</t>
  </si>
  <si>
    <t xml:space="preserve">Jambo Dairy | Risk | annual</t>
  </si>
  <si>
    <t xml:space="preserve">O00609</t>
  </si>
  <si>
    <t xml:space="preserve">A0123</t>
  </si>
  <si>
    <t xml:space="preserve">Nile Development Fund | Deals | review</t>
  </si>
  <si>
    <t xml:space="preserve">O00610</t>
  </si>
  <si>
    <t xml:space="preserve">Twiga Development Fund | Consulting | advisory</t>
  </si>
  <si>
    <t xml:space="preserve">O00611</t>
  </si>
  <si>
    <t xml:space="preserve">Zuri Petroleum | Risk | readiness</t>
  </si>
  <si>
    <t xml:space="preserve">O00612</t>
  </si>
  <si>
    <t xml:space="preserve">Jambo Infrastructure | Tax &amp; Legal | transformation</t>
  </si>
  <si>
    <t xml:space="preserve">O00613</t>
  </si>
  <si>
    <t xml:space="preserve">Harambee Commission | Tax &amp; Legal | annual</t>
  </si>
  <si>
    <t xml:space="preserve">O00614</t>
  </si>
  <si>
    <t xml:space="preserve">Lakeview Digital | Deals | review</t>
  </si>
  <si>
    <t xml:space="preserve">O00615</t>
  </si>
  <si>
    <t xml:space="preserve">A0206</t>
  </si>
  <si>
    <t xml:space="preserve">Simba Logistics | Deals | compliance</t>
  </si>
  <si>
    <t xml:space="preserve">O00616</t>
  </si>
  <si>
    <t xml:space="preserve">Nile Retail | Tax &amp; Legal | transformation</t>
  </si>
  <si>
    <t xml:space="preserve">O00617</t>
  </si>
  <si>
    <t xml:space="preserve">Nyota Foods | Assurance | review</t>
  </si>
  <si>
    <t xml:space="preserve">O00618</t>
  </si>
  <si>
    <t xml:space="preserve">Kibo Supermarkets | Tax &amp; Legal | compliance</t>
  </si>
  <si>
    <t xml:space="preserve">O00619</t>
  </si>
  <si>
    <t xml:space="preserve">Kilimanjaro Capital | Assurance | support</t>
  </si>
  <si>
    <t xml:space="preserve">O00620</t>
  </si>
  <si>
    <t xml:space="preserve">A0227</t>
  </si>
  <si>
    <t xml:space="preserve">Amani Cloud | Assurance | review</t>
  </si>
  <si>
    <t xml:space="preserve">O00621</t>
  </si>
  <si>
    <t xml:space="preserve">Equator Bank | Consulting | transformation</t>
  </si>
  <si>
    <t xml:space="preserve">O00622</t>
  </si>
  <si>
    <t xml:space="preserve">Nile Microfinance | Risk | transformation</t>
  </si>
  <si>
    <t xml:space="preserve">O00623</t>
  </si>
  <si>
    <t xml:space="preserve">Zuri Power | Assurance | compliance</t>
  </si>
  <si>
    <t xml:space="preserve">O00624</t>
  </si>
  <si>
    <t xml:space="preserve">O00625</t>
  </si>
  <si>
    <t xml:space="preserve">Jambo Microfinance | Tax &amp; Legal | support</t>
  </si>
  <si>
    <t xml:space="preserve">O00626</t>
  </si>
  <si>
    <t xml:space="preserve">Baobab County Government | Assurance | compliance</t>
  </si>
  <si>
    <t xml:space="preserve">O00627</t>
  </si>
  <si>
    <t xml:space="preserve">Kibo Capital | Consulting | support</t>
  </si>
  <si>
    <t xml:space="preserve">O00628</t>
  </si>
  <si>
    <t xml:space="preserve">Lakeview Insurance | Tax &amp; Legal | due diligence</t>
  </si>
  <si>
    <t xml:space="preserve">O00629</t>
  </si>
  <si>
    <t xml:space="preserve">Kilimanjaro Capital | Consulting | compliance</t>
  </si>
  <si>
    <t xml:space="preserve">O00630</t>
  </si>
  <si>
    <t xml:space="preserve">Harambee Capital | Tax &amp; Legal | readiness</t>
  </si>
  <si>
    <t xml:space="preserve">O00631</t>
  </si>
  <si>
    <t xml:space="preserve">Rift Retail | Consulting | review</t>
  </si>
  <si>
    <t xml:space="preserve">O00632</t>
  </si>
  <si>
    <t xml:space="preserve">Umoja Asset Managers | Risk | advisory</t>
  </si>
  <si>
    <t xml:space="preserve">O00633</t>
  </si>
  <si>
    <t xml:space="preserve">Baobab Power | Consulting | support</t>
  </si>
  <si>
    <t xml:space="preserve">O00634</t>
  </si>
  <si>
    <t xml:space="preserve">Equator Sacco | Assurance | advisory</t>
  </si>
  <si>
    <t xml:space="preserve">O00635</t>
  </si>
  <si>
    <t xml:space="preserve">Jambo Tea Estates | Assurance | compliance</t>
  </si>
  <si>
    <t xml:space="preserve">O00636</t>
  </si>
  <si>
    <t xml:space="preserve">Zuri Asset Managers | Assurance | support</t>
  </si>
  <si>
    <t xml:space="preserve">O00637</t>
  </si>
  <si>
    <t xml:space="preserve">O00638</t>
  </si>
  <si>
    <t xml:space="preserve">Pwani Media | Consulting | annual</t>
  </si>
  <si>
    <t xml:space="preserve">O00639</t>
  </si>
  <si>
    <t xml:space="preserve">O00640</t>
  </si>
  <si>
    <t xml:space="preserve">O00641</t>
  </si>
  <si>
    <t xml:space="preserve">Mto Growers | Risk | review</t>
  </si>
  <si>
    <t xml:space="preserve">O00642</t>
  </si>
  <si>
    <t xml:space="preserve">Pwani Mining | Deals | transformation</t>
  </si>
  <si>
    <t xml:space="preserve">O00643</t>
  </si>
  <si>
    <t xml:space="preserve">Lakeview Hotels | Tax &amp; Legal | support</t>
  </si>
  <si>
    <t xml:space="preserve">O00644</t>
  </si>
  <si>
    <t xml:space="preserve">Zuri Power | Consulting | support</t>
  </si>
  <si>
    <t xml:space="preserve">O00645</t>
  </si>
  <si>
    <t xml:space="preserve">Tembo Pharma | Assurance | support</t>
  </si>
  <si>
    <t xml:space="preserve">O00646</t>
  </si>
  <si>
    <t xml:space="preserve">Mto Cloud | Consulting | compliance</t>
  </si>
  <si>
    <t xml:space="preserve">O00647</t>
  </si>
  <si>
    <t xml:space="preserve">Acacia Infrastructure | Consulting | transformation</t>
  </si>
  <si>
    <t xml:space="preserve">O00648</t>
  </si>
  <si>
    <t xml:space="preserve">Mto Microfinance | Deals | transformation</t>
  </si>
  <si>
    <t xml:space="preserve">O00649</t>
  </si>
  <si>
    <t xml:space="preserve">Zuri Asset Managers | Risk | due diligence</t>
  </si>
  <si>
    <t xml:space="preserve">O00650</t>
  </si>
  <si>
    <t xml:space="preserve">Twiga Agri | Assurance | transformation</t>
  </si>
  <si>
    <t xml:space="preserve">O00651</t>
  </si>
  <si>
    <t xml:space="preserve">Harambee Sacco | Assurance | due diligence</t>
  </si>
  <si>
    <t xml:space="preserve">O00652</t>
  </si>
  <si>
    <t xml:space="preserve">O00653</t>
  </si>
  <si>
    <t xml:space="preserve">Twiga Sacco | Tax &amp; Legal | readiness</t>
  </si>
  <si>
    <t xml:space="preserve">O00654</t>
  </si>
  <si>
    <t xml:space="preserve">Lakeview Hotels | Consulting | annual</t>
  </si>
  <si>
    <t xml:space="preserve">O00655</t>
  </si>
  <si>
    <t xml:space="preserve">O00656</t>
  </si>
  <si>
    <t xml:space="preserve">Twiga Horticulture | Tax &amp; Legal | review</t>
  </si>
  <si>
    <t xml:space="preserve">O00657</t>
  </si>
  <si>
    <t xml:space="preserve">Zuri Hospital | Deals | review</t>
  </si>
  <si>
    <t xml:space="preserve">O00658</t>
  </si>
  <si>
    <t xml:space="preserve">Amani Properties | Tax &amp; Legal | readiness</t>
  </si>
  <si>
    <t xml:space="preserve">O00659</t>
  </si>
  <si>
    <t xml:space="preserve">O00660</t>
  </si>
  <si>
    <t xml:space="preserve">Acacia Mining | Consulting | review</t>
  </si>
  <si>
    <t xml:space="preserve">O00661</t>
  </si>
  <si>
    <t xml:space="preserve">Lakeview County Government | Tax &amp; Legal | due diligence</t>
  </si>
  <si>
    <t xml:space="preserve">O00662</t>
  </si>
  <si>
    <t xml:space="preserve">Jambo Dairy | Consulting | support</t>
  </si>
  <si>
    <t xml:space="preserve">O00663</t>
  </si>
  <si>
    <t xml:space="preserve">Twiga Horticulture | Tax &amp; Legal | due diligence</t>
  </si>
  <si>
    <t xml:space="preserve">O00664</t>
  </si>
  <si>
    <t xml:space="preserve">Acacia Microfinance | Tax &amp; Legal | due diligence</t>
  </si>
  <si>
    <t xml:space="preserve">O00665</t>
  </si>
  <si>
    <t xml:space="preserve">Safari Microfinance | Tax &amp; Legal | compliance</t>
  </si>
  <si>
    <t xml:space="preserve">O00666</t>
  </si>
  <si>
    <t xml:space="preserve">Lakeview County Government | Assurance | annual</t>
  </si>
  <si>
    <t xml:space="preserve">O00667</t>
  </si>
  <si>
    <t xml:space="preserve">Equator Digital | Assurance | readiness</t>
  </si>
  <si>
    <t xml:space="preserve">O00668</t>
  </si>
  <si>
    <t xml:space="preserve">Highland Hospital | Assurance | advisory</t>
  </si>
  <si>
    <t xml:space="preserve">O00669</t>
  </si>
  <si>
    <t xml:space="preserve">Pwani Asset Managers | Tax &amp; Legal | readiness</t>
  </si>
  <si>
    <t xml:space="preserve">O00670</t>
  </si>
  <si>
    <t xml:space="preserve">A0171</t>
  </si>
  <si>
    <t xml:space="preserve">Highland Growers | Consulting | compliance</t>
  </si>
  <si>
    <t xml:space="preserve">O00671</t>
  </si>
  <si>
    <t xml:space="preserve">Baobab Logistics | Tax &amp; Legal | annual</t>
  </si>
  <si>
    <t xml:space="preserve">O00672</t>
  </si>
  <si>
    <t xml:space="preserve">Mto Networks | Consulting | transformation</t>
  </si>
  <si>
    <t xml:space="preserve">O00673</t>
  </si>
  <si>
    <t xml:space="preserve">Simba Hotels | Tax &amp; Legal | due diligence</t>
  </si>
  <si>
    <t xml:space="preserve">O00674</t>
  </si>
  <si>
    <t xml:space="preserve">Mara Hotels | Assurance | support</t>
  </si>
  <si>
    <t xml:space="preserve">O00675</t>
  </si>
  <si>
    <t xml:space="preserve">Equator Supermarkets | Tax &amp; Legal | support</t>
  </si>
  <si>
    <t xml:space="preserve">O00676</t>
  </si>
  <si>
    <t xml:space="preserve">Acacia Mining | Tax &amp; Legal | transformation</t>
  </si>
  <si>
    <t xml:space="preserve">O00677</t>
  </si>
  <si>
    <t xml:space="preserve">Kibo Microfinance | Assurance | review</t>
  </si>
  <si>
    <t xml:space="preserve">O00678</t>
  </si>
  <si>
    <t xml:space="preserve">Savanna Development Fund | Deals | review</t>
  </si>
  <si>
    <t xml:space="preserve">O00679</t>
  </si>
  <si>
    <t xml:space="preserve">Amani Petroleum | Consulting | readiness</t>
  </si>
  <si>
    <t xml:space="preserve">O00680</t>
  </si>
  <si>
    <t xml:space="preserve">Amani Insurance | Risk | readiness</t>
  </si>
  <si>
    <t xml:space="preserve">O00681</t>
  </si>
  <si>
    <t xml:space="preserve">Baobab Agri | Tax &amp; Legal | transformation</t>
  </si>
  <si>
    <t xml:space="preserve">O00682</t>
  </si>
  <si>
    <t xml:space="preserve">Harambee Supermarkets | Deals | annual</t>
  </si>
  <si>
    <t xml:space="preserve">O00683</t>
  </si>
  <si>
    <t xml:space="preserve">Zuri Infrastructure | Consulting | compliance</t>
  </si>
  <si>
    <t xml:space="preserve">O00684</t>
  </si>
  <si>
    <t xml:space="preserve">Mto Networks | Tax &amp; Legal | readiness</t>
  </si>
  <si>
    <t xml:space="preserve">O00685</t>
  </si>
  <si>
    <t xml:space="preserve">Mara Petroleum | Consulting | annual</t>
  </si>
  <si>
    <t xml:space="preserve">O00686</t>
  </si>
  <si>
    <t xml:space="preserve">Savanna Development Fund | Deals | annual</t>
  </si>
  <si>
    <t xml:space="preserve">O00687</t>
  </si>
  <si>
    <t xml:space="preserve">Nile County Government | Assurance | annual</t>
  </si>
  <si>
    <t xml:space="preserve">O00688</t>
  </si>
  <si>
    <t xml:space="preserve">Highland Hospital | Assurance | annual</t>
  </si>
  <si>
    <t xml:space="preserve">O00689</t>
  </si>
  <si>
    <t xml:space="preserve">Simba Foods | Risk | review</t>
  </si>
  <si>
    <t xml:space="preserve">O00690</t>
  </si>
  <si>
    <t xml:space="preserve">Nyota Telecom | Tax &amp; Legal | compliance</t>
  </si>
  <si>
    <t xml:space="preserve">O00691</t>
  </si>
  <si>
    <t xml:space="preserve">O00692</t>
  </si>
  <si>
    <t xml:space="preserve">Lakeview Hotels | Assurance | advisory</t>
  </si>
  <si>
    <t xml:space="preserve">O00693</t>
  </si>
  <si>
    <t xml:space="preserve">Zuri Telecom | Consulting | review</t>
  </si>
  <si>
    <t xml:space="preserve">O00694</t>
  </si>
  <si>
    <t xml:space="preserve">Mto Media | Risk | compliance</t>
  </si>
  <si>
    <t xml:space="preserve">O00695</t>
  </si>
  <si>
    <t xml:space="preserve">O00696</t>
  </si>
  <si>
    <t xml:space="preserve">Highland Retail | Assurance | compliance</t>
  </si>
  <si>
    <t xml:space="preserve">O00697</t>
  </si>
  <si>
    <t xml:space="preserve">Tembo Tea Estates | Consulting | compliance</t>
  </si>
  <si>
    <t xml:space="preserve">O00698</t>
  </si>
  <si>
    <t xml:space="preserve">Twiga Horticulture | Deals | readiness</t>
  </si>
  <si>
    <t xml:space="preserve">O00699</t>
  </si>
  <si>
    <t xml:space="preserve">Mara Bank | Deals | transformation</t>
  </si>
  <si>
    <t xml:space="preserve">O00700</t>
  </si>
  <si>
    <t xml:space="preserve">Mara Foods | Consulting | review</t>
  </si>
  <si>
    <t xml:space="preserve">O00701</t>
  </si>
  <si>
    <t xml:space="preserve">Zuri Hotels | Deals | due diligence</t>
  </si>
  <si>
    <t xml:space="preserve">O00702</t>
  </si>
  <si>
    <t xml:space="preserve">A0222</t>
  </si>
  <si>
    <t xml:space="preserve">Pwani Development Fund | Tax &amp; Legal | due diligence</t>
  </si>
  <si>
    <t xml:space="preserve">O00703</t>
  </si>
  <si>
    <t xml:space="preserve">Pwani Asset Managers | Risk | annual</t>
  </si>
  <si>
    <t xml:space="preserve">O00704</t>
  </si>
  <si>
    <t xml:space="preserve">A0192</t>
  </si>
  <si>
    <t xml:space="preserve">Safari Cloud | Tax &amp; Legal | compliance</t>
  </si>
  <si>
    <t xml:space="preserve">O00705</t>
  </si>
  <si>
    <t xml:space="preserve">Nile Microfinance | Consulting | due diligence</t>
  </si>
  <si>
    <t xml:space="preserve">O00706</t>
  </si>
  <si>
    <t xml:space="preserve">Kibo Microfinance | Tax &amp; Legal | due diligence</t>
  </si>
  <si>
    <t xml:space="preserve">O00707</t>
  </si>
  <si>
    <t xml:space="preserve">Jambo Diagnostics | Risk | readiness</t>
  </si>
  <si>
    <t xml:space="preserve">O00708</t>
  </si>
  <si>
    <t xml:space="preserve">Rift Energy | Consulting | support</t>
  </si>
  <si>
    <t xml:space="preserve">O00709</t>
  </si>
  <si>
    <t xml:space="preserve">Nile Beverages | Consulting | advisory</t>
  </si>
  <si>
    <t xml:space="preserve">O00710</t>
  </si>
  <si>
    <t xml:space="preserve">Baobab Telecom | Consulting | advisory</t>
  </si>
  <si>
    <t xml:space="preserve">O00711</t>
  </si>
  <si>
    <t xml:space="preserve">Pwani Asset Managers | Tax &amp; Legal | advisory</t>
  </si>
  <si>
    <t xml:space="preserve">O00712</t>
  </si>
  <si>
    <t xml:space="preserve">Harambee Authority | Assurance | transformation</t>
  </si>
  <si>
    <t xml:space="preserve">O00713</t>
  </si>
  <si>
    <t xml:space="preserve">A0322</t>
  </si>
  <si>
    <t xml:space="preserve">Jua County Government | Assurance | readiness</t>
  </si>
  <si>
    <t xml:space="preserve">O00714</t>
  </si>
  <si>
    <t xml:space="preserve">Pwani Mining | Deals | review</t>
  </si>
  <si>
    <t xml:space="preserve">O00715</t>
  </si>
  <si>
    <t xml:space="preserve">Simba Development Fund | Consulting | readiness</t>
  </si>
  <si>
    <t xml:space="preserve">O00716</t>
  </si>
  <si>
    <t xml:space="preserve">Harambee County Government | Assurance | due diligence</t>
  </si>
  <si>
    <t xml:space="preserve">O00717</t>
  </si>
  <si>
    <t xml:space="preserve">A0230</t>
  </si>
  <si>
    <t xml:space="preserve">Jambo Properties | Tax &amp; Legal | compliance</t>
  </si>
  <si>
    <t xml:space="preserve">O00718</t>
  </si>
  <si>
    <t xml:space="preserve">Mara Foods | Consulting | transformation</t>
  </si>
  <si>
    <t xml:space="preserve">O00719</t>
  </si>
  <si>
    <t xml:space="preserve">Mto Retail | Consulting | compliance</t>
  </si>
  <si>
    <t xml:space="preserve">O00720</t>
  </si>
  <si>
    <t xml:space="preserve">Lakeview Sacco | Consulting | readiness</t>
  </si>
  <si>
    <t xml:space="preserve">O00721</t>
  </si>
  <si>
    <t xml:space="preserve">Twiga Insurance | Tax &amp; Legal | due diligence</t>
  </si>
  <si>
    <t xml:space="preserve">O00722</t>
  </si>
  <si>
    <t xml:space="preserve">Umoja Hospital | Assurance | due diligence</t>
  </si>
  <si>
    <t xml:space="preserve">O00723</t>
  </si>
  <si>
    <t xml:space="preserve">Zuri Telecom | Deals | review</t>
  </si>
  <si>
    <t xml:space="preserve">O00724</t>
  </si>
  <si>
    <t xml:space="preserve">Lakeview Bank | Deals | support</t>
  </si>
  <si>
    <t xml:space="preserve">O00725</t>
  </si>
  <si>
    <t xml:space="preserve">Equator Bank | Assurance | annual</t>
  </si>
  <si>
    <t xml:space="preserve">O00726</t>
  </si>
  <si>
    <t xml:space="preserve">Zuri Hospital | Assurance | transformation</t>
  </si>
  <si>
    <t xml:space="preserve">O00727</t>
  </si>
  <si>
    <t xml:space="preserve">A0324</t>
  </si>
  <si>
    <t xml:space="preserve">Lakeview Energy | Consulting | transformation</t>
  </si>
  <si>
    <t xml:space="preserve">O00728</t>
  </si>
  <si>
    <t xml:space="preserve">Amani Petroleum | Assurance | due diligence</t>
  </si>
  <si>
    <t xml:space="preserve">O00729</t>
  </si>
  <si>
    <t xml:space="preserve">Pwani Asset Managers | Consulting | due diligence</t>
  </si>
  <si>
    <t xml:space="preserve">O00730</t>
  </si>
  <si>
    <t xml:space="preserve">Simba Telecom | Tax &amp; Legal | advisory</t>
  </si>
  <si>
    <t xml:space="preserve">O00731</t>
  </si>
  <si>
    <t xml:space="preserve">Lakeview Mining | Deals | advisory</t>
  </si>
  <si>
    <t xml:space="preserve">O00732</t>
  </si>
  <si>
    <t xml:space="preserve">Highland Development Fund | Consulting | compliance</t>
  </si>
  <si>
    <t xml:space="preserve">O00733</t>
  </si>
  <si>
    <t xml:space="preserve">Nile Energy | Consulting | support</t>
  </si>
  <si>
    <t xml:space="preserve">O00734</t>
  </si>
  <si>
    <t xml:space="preserve">Umoja Retail | Tax &amp; Legal | due diligence</t>
  </si>
  <si>
    <t xml:space="preserve">O00735</t>
  </si>
  <si>
    <t xml:space="preserve">A0175</t>
  </si>
  <si>
    <t xml:space="preserve">Zuri Foundation | Tax &amp; Legal | transformation</t>
  </si>
  <si>
    <t xml:space="preserve">O00736</t>
  </si>
  <si>
    <t xml:space="preserve">Acacia Hospital | Tax &amp; Legal | support</t>
  </si>
  <si>
    <t xml:space="preserve">O00737</t>
  </si>
  <si>
    <t xml:space="preserve">Harambee Authority | Consulting | readiness</t>
  </si>
  <si>
    <t xml:space="preserve">O00738</t>
  </si>
  <si>
    <t xml:space="preserve">Acacia Microfinance | Tax &amp; Legal | support</t>
  </si>
  <si>
    <t xml:space="preserve">O00739</t>
  </si>
  <si>
    <t xml:space="preserve">Safari Pharma | Risk | due diligence</t>
  </si>
  <si>
    <t xml:space="preserve">O00740</t>
  </si>
  <si>
    <t xml:space="preserve">Pwani Geothermal | Deals | advisory</t>
  </si>
  <si>
    <t xml:space="preserve">O00741</t>
  </si>
  <si>
    <t xml:space="preserve">Nyota Asset Managers | Tax &amp; Legal | review</t>
  </si>
  <si>
    <t xml:space="preserve">O00742</t>
  </si>
  <si>
    <t xml:space="preserve">Nile Microfinance | Assurance | review</t>
  </si>
  <si>
    <t xml:space="preserve">O00743</t>
  </si>
  <si>
    <t xml:space="preserve">Safari Growers | Tax &amp; Legal | transformation</t>
  </si>
  <si>
    <t xml:space="preserve">O00744</t>
  </si>
  <si>
    <t xml:space="preserve">Tembo Sacco | Tax &amp; Legal | review</t>
  </si>
  <si>
    <t xml:space="preserve">O00745</t>
  </si>
  <si>
    <t xml:space="preserve">Jambo Capital | Assurance | advisory</t>
  </si>
  <si>
    <t xml:space="preserve">O00746</t>
  </si>
  <si>
    <t xml:space="preserve">O00747</t>
  </si>
  <si>
    <t xml:space="preserve">Baobab Insurance | Assurance | review</t>
  </si>
  <si>
    <t xml:space="preserve">O00748</t>
  </si>
  <si>
    <t xml:space="preserve">Lakeview Hotels | Deals | readiness</t>
  </si>
  <si>
    <t xml:space="preserve">O00749</t>
  </si>
  <si>
    <t xml:space="preserve">Pwani Sacco | Assurance | review</t>
  </si>
  <si>
    <t xml:space="preserve">O00750</t>
  </si>
  <si>
    <t xml:space="preserve">Amani Foundation | Risk | review</t>
  </si>
  <si>
    <t xml:space="preserve">O00751</t>
  </si>
  <si>
    <t xml:space="preserve">Mto Supermarkets | Risk | support</t>
  </si>
  <si>
    <t xml:space="preserve">O00752</t>
  </si>
  <si>
    <t xml:space="preserve">O00753</t>
  </si>
  <si>
    <t xml:space="preserve">O00754</t>
  </si>
  <si>
    <t xml:space="preserve">Equator Bank | Risk | advisory</t>
  </si>
  <si>
    <t xml:space="preserve">O00755</t>
  </si>
  <si>
    <t xml:space="preserve">Zuri Dairy | Risk | review</t>
  </si>
  <si>
    <t xml:space="preserve">O00756</t>
  </si>
  <si>
    <t xml:space="preserve">Kilimanjaro Telecom | Risk | support</t>
  </si>
  <si>
    <t xml:space="preserve">O00757</t>
  </si>
  <si>
    <t xml:space="preserve">A0329</t>
  </si>
  <si>
    <t xml:space="preserve">Mara Hospital | Deals | review</t>
  </si>
  <si>
    <t xml:space="preserve">O00758</t>
  </si>
  <si>
    <t xml:space="preserve">Rift Energy | Consulting | advisory</t>
  </si>
  <si>
    <t xml:space="preserve">O00759</t>
  </si>
  <si>
    <t xml:space="preserve">Nile Sacco | Risk | review</t>
  </si>
  <si>
    <t xml:space="preserve">O00760</t>
  </si>
  <si>
    <t xml:space="preserve">Zuri Authority | Consulting | compliance</t>
  </si>
  <si>
    <t xml:space="preserve">O00761</t>
  </si>
  <si>
    <t xml:space="preserve">Umoja Capital | Tax &amp; Legal | annual</t>
  </si>
  <si>
    <t xml:space="preserve">O00762</t>
  </si>
  <si>
    <t xml:space="preserve">O00763</t>
  </si>
  <si>
    <t xml:space="preserve">O00764</t>
  </si>
  <si>
    <t xml:space="preserve">Highland Foods | Tax &amp; Legal | review</t>
  </si>
  <si>
    <t xml:space="preserve">O00765</t>
  </si>
  <si>
    <t xml:space="preserve">Rift Energy | Tax &amp; Legal | transformation</t>
  </si>
  <si>
    <t xml:space="preserve">O00766</t>
  </si>
  <si>
    <t xml:space="preserve">Highland Retail | Assurance | support</t>
  </si>
  <si>
    <t xml:space="preserve">O00767</t>
  </si>
  <si>
    <t xml:space="preserve">Tembo Pharma | Assurance | compliance</t>
  </si>
  <si>
    <t xml:space="preserve">O00768</t>
  </si>
  <si>
    <t xml:space="preserve">Jambo Diagnostics | Deals | advisory</t>
  </si>
  <si>
    <t xml:space="preserve">O00769</t>
  </si>
  <si>
    <t xml:space="preserve">Mto Supermarkets | Risk | due diligence</t>
  </si>
  <si>
    <t xml:space="preserve">O00770</t>
  </si>
  <si>
    <t xml:space="preserve">Acacia Mining | Deals | readiness</t>
  </si>
  <si>
    <t xml:space="preserve">O00771</t>
  </si>
  <si>
    <t xml:space="preserve">Amani Petroleum | Risk | readiness</t>
  </si>
  <si>
    <t xml:space="preserve">O00772</t>
  </si>
  <si>
    <t xml:space="preserve">Safari Growers | Tax &amp; Legal | readiness</t>
  </si>
  <si>
    <t xml:space="preserve">O00773</t>
  </si>
  <si>
    <t xml:space="preserve">Jambo Tea Estates | Deals | transformation</t>
  </si>
  <si>
    <t xml:space="preserve">O00774</t>
  </si>
  <si>
    <t xml:space="preserve">Jambo Agri | Tax &amp; Legal | support</t>
  </si>
  <si>
    <t xml:space="preserve">O00775</t>
  </si>
  <si>
    <t xml:space="preserve">Amani Growers | Deals | readiness</t>
  </si>
  <si>
    <t xml:space="preserve">O00776</t>
  </si>
  <si>
    <t xml:space="preserve">Simba Hospital | Tax &amp; Legal | advisory</t>
  </si>
  <si>
    <t xml:space="preserve">O00777</t>
  </si>
  <si>
    <t xml:space="preserve">Zuri Petroleum | Consulting | review</t>
  </si>
  <si>
    <t xml:space="preserve">O00778</t>
  </si>
  <si>
    <t xml:space="preserve">Jambo Microfinance | Risk | compliance</t>
  </si>
  <si>
    <t xml:space="preserve">O00779</t>
  </si>
  <si>
    <t xml:space="preserve">Tembo Microfinance | Assurance | annual</t>
  </si>
  <si>
    <t xml:space="preserve">O00780</t>
  </si>
  <si>
    <t xml:space="preserve">Kibo Construction | Tax &amp; Legal | readiness</t>
  </si>
  <si>
    <t xml:space="preserve">O00781</t>
  </si>
  <si>
    <t xml:space="preserve">Tembo Asset Managers | Assurance | transformation</t>
  </si>
  <si>
    <t xml:space="preserve">O00782</t>
  </si>
  <si>
    <t xml:space="preserve">Mto Media | Deals | support</t>
  </si>
  <si>
    <t xml:space="preserve">O00783</t>
  </si>
  <si>
    <t xml:space="preserve">Mara Foods | Assurance | compliance</t>
  </si>
  <si>
    <t xml:space="preserve">O00784</t>
  </si>
  <si>
    <t xml:space="preserve">Umoja Development Fund | Assurance | readiness</t>
  </si>
  <si>
    <t xml:space="preserve">O00785</t>
  </si>
  <si>
    <t xml:space="preserve">Harambee Capital | Deals | compliance</t>
  </si>
  <si>
    <t xml:space="preserve">O00786</t>
  </si>
  <si>
    <t xml:space="preserve">Kilimanjaro Development Fund | Assurance | support</t>
  </si>
  <si>
    <t xml:space="preserve">O00787</t>
  </si>
  <si>
    <t xml:space="preserve">Nile Beverages | Deals | compliance</t>
  </si>
  <si>
    <t xml:space="preserve">O00788</t>
  </si>
  <si>
    <t xml:space="preserve">Lakeview Bank | Tax &amp; Legal | review</t>
  </si>
  <si>
    <t xml:space="preserve">O00789</t>
  </si>
  <si>
    <t xml:space="preserve">Nile Microfinance | Consulting | annual</t>
  </si>
  <si>
    <t xml:space="preserve">O00790</t>
  </si>
  <si>
    <t xml:space="preserve">A0160</t>
  </si>
  <si>
    <t xml:space="preserve">Mto Construction | Assurance | support</t>
  </si>
  <si>
    <t xml:space="preserve">O00791</t>
  </si>
  <si>
    <t xml:space="preserve">Pwani Sacco | Assurance | transformation</t>
  </si>
  <si>
    <t xml:space="preserve">O00792</t>
  </si>
  <si>
    <t xml:space="preserve">Zuri Mining | Tax &amp; Legal | readiness</t>
  </si>
  <si>
    <t xml:space="preserve">O00793</t>
  </si>
  <si>
    <t xml:space="preserve">Pwani Hospital | Assurance | readiness</t>
  </si>
  <si>
    <t xml:space="preserve">O00794</t>
  </si>
  <si>
    <t xml:space="preserve">A0223</t>
  </si>
  <si>
    <t xml:space="preserve">Safari Housing | Assurance | support</t>
  </si>
  <si>
    <t xml:space="preserve">O00795</t>
  </si>
  <si>
    <t xml:space="preserve">Acacia Hospital | Consulting | compliance</t>
  </si>
  <si>
    <t xml:space="preserve">O00796</t>
  </si>
  <si>
    <t xml:space="preserve">Safari Pharma | Assurance | support</t>
  </si>
  <si>
    <t xml:space="preserve">O00797</t>
  </si>
  <si>
    <t xml:space="preserve">Umoja Digital | Tax &amp; Legal | review</t>
  </si>
  <si>
    <t xml:space="preserve">O00798</t>
  </si>
  <si>
    <t xml:space="preserve">Umoja Asset Managers | Consulting | annual</t>
  </si>
  <si>
    <t xml:space="preserve">O00799</t>
  </si>
  <si>
    <t xml:space="preserve">Acacia Bank | Consulting | due diligence</t>
  </si>
  <si>
    <t xml:space="preserve">O00800</t>
  </si>
  <si>
    <t xml:space="preserve">A0213</t>
  </si>
  <si>
    <t xml:space="preserve">Harambee Digital | Tax &amp; Legal | support</t>
  </si>
  <si>
    <t xml:space="preserve">O00801</t>
  </si>
  <si>
    <t xml:space="preserve">A0131</t>
  </si>
  <si>
    <t xml:space="preserve">Jua Development Fund | Assurance | compliance</t>
  </si>
  <si>
    <t xml:space="preserve">O00802</t>
  </si>
  <si>
    <t xml:space="preserve">Nile Networks | Deals | compliance</t>
  </si>
  <si>
    <t xml:space="preserve">O00803</t>
  </si>
  <si>
    <t xml:space="preserve">A0163</t>
  </si>
  <si>
    <t xml:space="preserve">Baobab Bank | Assurance | transformation</t>
  </si>
  <si>
    <t xml:space="preserve">O00804</t>
  </si>
  <si>
    <t xml:space="preserve">O00805</t>
  </si>
  <si>
    <t xml:space="preserve">Zuri Petroleum | Assurance | review</t>
  </si>
  <si>
    <t xml:space="preserve">O00806</t>
  </si>
  <si>
    <t xml:space="preserve">Mto Media | Consulting | advisory</t>
  </si>
  <si>
    <t xml:space="preserve">O00807</t>
  </si>
  <si>
    <t xml:space="preserve">O00808</t>
  </si>
  <si>
    <t xml:space="preserve">Jambo Petroleum | Tax &amp; Legal | annual</t>
  </si>
  <si>
    <t xml:space="preserve">O00809</t>
  </si>
  <si>
    <t xml:space="preserve">Simba Commission | Deals | readiness</t>
  </si>
  <si>
    <t xml:space="preserve">O00810</t>
  </si>
  <si>
    <t xml:space="preserve">Twiga Agri | Deals | review</t>
  </si>
  <si>
    <t xml:space="preserve">O00811</t>
  </si>
  <si>
    <t xml:space="preserve">Rift Insurance | Risk | transformation</t>
  </si>
  <si>
    <t xml:space="preserve">O00812</t>
  </si>
  <si>
    <t xml:space="preserve">Acacia Media | Assurance | advisory</t>
  </si>
  <si>
    <t xml:space="preserve">O00813</t>
  </si>
  <si>
    <t xml:space="preserve">O00814</t>
  </si>
  <si>
    <t xml:space="preserve">Mara Foods | Tax &amp; Legal | review</t>
  </si>
  <si>
    <t xml:space="preserve">O00815</t>
  </si>
  <si>
    <t xml:space="preserve">Zuri Infrastructure | Consulting | transformation</t>
  </si>
  <si>
    <t xml:space="preserve">O00816</t>
  </si>
  <si>
    <t xml:space="preserve">Amani Networks | Assurance | transformation</t>
  </si>
  <si>
    <t xml:space="preserve">O00817</t>
  </si>
  <si>
    <t xml:space="preserve">Pwani Construction | Tax &amp; Legal | support</t>
  </si>
  <si>
    <t xml:space="preserve">O00818</t>
  </si>
  <si>
    <t xml:space="preserve">Acacia Hospital | Deals | review</t>
  </si>
  <si>
    <t xml:space="preserve">O00819</t>
  </si>
  <si>
    <t xml:space="preserve">Harambee County Government | Risk | transformation</t>
  </si>
  <si>
    <t xml:space="preserve">O00820</t>
  </si>
  <si>
    <t xml:space="preserve">O00821</t>
  </si>
  <si>
    <t xml:space="preserve">Jambo Microfinance | Deals | readiness</t>
  </si>
  <si>
    <t xml:space="preserve">O00822</t>
  </si>
  <si>
    <t xml:space="preserve">Mara Foods | Assurance | due diligence</t>
  </si>
  <si>
    <t xml:space="preserve">O00823</t>
  </si>
  <si>
    <t xml:space="preserve">Nile Retail | Risk | readiness</t>
  </si>
  <si>
    <t xml:space="preserve">O00824</t>
  </si>
  <si>
    <t xml:space="preserve">A0170</t>
  </si>
  <si>
    <t xml:space="preserve">Mara Sacco | Assurance | review</t>
  </si>
  <si>
    <t xml:space="preserve">O00825</t>
  </si>
  <si>
    <t xml:space="preserve">Mara Petroleum | Tax &amp; Legal | compliance</t>
  </si>
  <si>
    <t xml:space="preserve">O00826</t>
  </si>
  <si>
    <t xml:space="preserve">O00827</t>
  </si>
  <si>
    <t xml:space="preserve">Mara Asset Managers | Deals | support</t>
  </si>
  <si>
    <t xml:space="preserve">O00828</t>
  </si>
  <si>
    <t xml:space="preserve">Simba Supermarkets | Tax &amp; Legal | annual</t>
  </si>
  <si>
    <t xml:space="preserve">O00829</t>
  </si>
  <si>
    <t xml:space="preserve">Amani Insurance | Consulting | support</t>
  </si>
  <si>
    <t xml:space="preserve">O00830</t>
  </si>
  <si>
    <t xml:space="preserve">Zuri Mining | Tax &amp; Legal | annual</t>
  </si>
  <si>
    <t xml:space="preserve">O00831</t>
  </si>
  <si>
    <t xml:space="preserve">Zuri Tea Estates | Assurance | support</t>
  </si>
  <si>
    <t xml:space="preserve">O00832</t>
  </si>
  <si>
    <t xml:space="preserve">Rift Sacco | Deals | annual</t>
  </si>
  <si>
    <t xml:space="preserve">O00833</t>
  </si>
  <si>
    <t xml:space="preserve">Amani Authority | Tax &amp; Legal | advisory</t>
  </si>
  <si>
    <t xml:space="preserve">O00834</t>
  </si>
  <si>
    <t xml:space="preserve">A0298</t>
  </si>
  <si>
    <t xml:space="preserve">Kilimanjaro Sacco | Tax &amp; Legal | due diligence</t>
  </si>
  <si>
    <t xml:space="preserve">O00835</t>
  </si>
  <si>
    <t xml:space="preserve">Nile Networks | Tax &amp; Legal | review</t>
  </si>
  <si>
    <t xml:space="preserve">O00836</t>
  </si>
  <si>
    <t xml:space="preserve">Harambee Microfinance | Assurance | review</t>
  </si>
  <si>
    <t xml:space="preserve">O00837</t>
  </si>
  <si>
    <t xml:space="preserve">O00838</t>
  </si>
  <si>
    <t xml:space="preserve">Twiga Horticulture | Risk | review</t>
  </si>
  <si>
    <t xml:space="preserve">O00839</t>
  </si>
  <si>
    <t xml:space="preserve">O00840</t>
  </si>
  <si>
    <t xml:space="preserve">Lakeview County Government | Tax &amp; Legal | annual</t>
  </si>
  <si>
    <t xml:space="preserve">O00841</t>
  </si>
  <si>
    <t xml:space="preserve">Savanna Development Fund | Assurance | advisory</t>
  </si>
  <si>
    <t xml:space="preserve">O00842</t>
  </si>
  <si>
    <t xml:space="preserve">Umoja Asset Managers | Tax &amp; Legal | due diligence</t>
  </si>
  <si>
    <t xml:space="preserve">O00843</t>
  </si>
  <si>
    <t xml:space="preserve">O00844</t>
  </si>
  <si>
    <t xml:space="preserve">Kilimanjaro Media | Tax &amp; Legal | readiness</t>
  </si>
  <si>
    <t xml:space="preserve">O00845</t>
  </si>
  <si>
    <t xml:space="preserve">Equator Telecom | Deals | advisory</t>
  </si>
  <si>
    <t xml:space="preserve">O00846</t>
  </si>
  <si>
    <t xml:space="preserve">Tembo Capital | Consulting | readiness</t>
  </si>
  <si>
    <t xml:space="preserve">O00847</t>
  </si>
  <si>
    <t xml:space="preserve">Kilimanjaro Capital | Tax &amp; Legal | compliance</t>
  </si>
  <si>
    <t xml:space="preserve">O00848</t>
  </si>
  <si>
    <t xml:space="preserve">Highland Telecom | Consulting | annual</t>
  </si>
  <si>
    <t xml:space="preserve">O00849</t>
  </si>
  <si>
    <t xml:space="preserve">Kilimanjaro Capital | Deals | compliance</t>
  </si>
  <si>
    <t xml:space="preserve">O00850</t>
  </si>
  <si>
    <t xml:space="preserve">Simba Foods | Deals | transformation</t>
  </si>
  <si>
    <t xml:space="preserve">O00851</t>
  </si>
  <si>
    <t xml:space="preserve">Kilimanjaro Media | Deals | annual</t>
  </si>
  <si>
    <t xml:space="preserve">O00852</t>
  </si>
  <si>
    <t xml:space="preserve">Harambee County Government | Tax &amp; Legal | transformation</t>
  </si>
  <si>
    <t xml:space="preserve">O00853</t>
  </si>
  <si>
    <t xml:space="preserve">Zuri Dairy | Consulting | transformation</t>
  </si>
  <si>
    <t xml:space="preserve">O00854</t>
  </si>
  <si>
    <t xml:space="preserve">Lakeview Foods | Tax &amp; Legal | compliance</t>
  </si>
  <si>
    <t xml:space="preserve">O00855</t>
  </si>
  <si>
    <t xml:space="preserve">Pwani Media | Assurance | advisory</t>
  </si>
  <si>
    <t xml:space="preserve">O00856</t>
  </si>
  <si>
    <t xml:space="preserve">Equator Cloud | Tax &amp; Legal | annual</t>
  </si>
  <si>
    <t xml:space="preserve">O00857</t>
  </si>
  <si>
    <t xml:space="preserve">Pwani Asset Managers | Deals | review</t>
  </si>
  <si>
    <t xml:space="preserve">O00858</t>
  </si>
  <si>
    <t xml:space="preserve">Jambo Agri | Assurance | readiness</t>
  </si>
  <si>
    <t xml:space="preserve">O00859</t>
  </si>
  <si>
    <t xml:space="preserve">Safari Microfinance | Deals | advisory</t>
  </si>
  <si>
    <t xml:space="preserve">O00860</t>
  </si>
  <si>
    <t xml:space="preserve">Harambee Sacco | Risk | review</t>
  </si>
  <si>
    <t xml:space="preserve">O00861</t>
  </si>
  <si>
    <t xml:space="preserve">Kilimanjaro Telecom | Consulting | advisory</t>
  </si>
  <si>
    <t xml:space="preserve">O00862</t>
  </si>
  <si>
    <t xml:space="preserve">Zuri Power | Deals | readiness</t>
  </si>
  <si>
    <t xml:space="preserve">O00863</t>
  </si>
  <si>
    <t xml:space="preserve">Nile Beverages | Assurance | support</t>
  </si>
  <si>
    <t xml:space="preserve">O00864</t>
  </si>
  <si>
    <t xml:space="preserve">Amani Media | Consulting | advisory</t>
  </si>
  <si>
    <t xml:space="preserve">O00865</t>
  </si>
  <si>
    <t xml:space="preserve">Zuri Foundation | Consulting | readiness</t>
  </si>
  <si>
    <t xml:space="preserve">O00866</t>
  </si>
  <si>
    <t xml:space="preserve">Mto Media | Tax &amp; Legal | support</t>
  </si>
  <si>
    <t xml:space="preserve">O00867</t>
  </si>
  <si>
    <t xml:space="preserve">O00868</t>
  </si>
  <si>
    <t xml:space="preserve">Pwani Media | Risk | support</t>
  </si>
  <si>
    <t xml:space="preserve">O00869</t>
  </si>
  <si>
    <t xml:space="preserve">Rift Capital | Consulting | annual</t>
  </si>
  <si>
    <t xml:space="preserve">O00870</t>
  </si>
  <si>
    <t xml:space="preserve">Amani Petroleum | Tax &amp; Legal | advisory</t>
  </si>
  <si>
    <t xml:space="preserve">O00871</t>
  </si>
  <si>
    <t xml:space="preserve">A0282</t>
  </si>
  <si>
    <t xml:space="preserve">Rift Foods | Tax &amp; Legal | transformation</t>
  </si>
  <si>
    <t xml:space="preserve">O00872</t>
  </si>
  <si>
    <t xml:space="preserve">A0078</t>
  </si>
  <si>
    <t xml:space="preserve">Lakeview Asset Managers | Deals | transformation</t>
  </si>
  <si>
    <t xml:space="preserve">O00873</t>
  </si>
  <si>
    <t xml:space="preserve">Lakeview Development Fund | Deals | due diligence</t>
  </si>
  <si>
    <t xml:space="preserve">O00874</t>
  </si>
  <si>
    <t xml:space="preserve">Amani Authority | Risk | advisory</t>
  </si>
  <si>
    <t xml:space="preserve">O00875</t>
  </si>
  <si>
    <t xml:space="preserve">Pwani Hospital | Assurance | review</t>
  </si>
  <si>
    <t xml:space="preserve">O00876</t>
  </si>
  <si>
    <t xml:space="preserve">Nile County Government | Consulting | advisory</t>
  </si>
  <si>
    <t xml:space="preserve">O00877</t>
  </si>
  <si>
    <t xml:space="preserve">Nile County Government | Assurance | support</t>
  </si>
  <si>
    <t xml:space="preserve">O00878</t>
  </si>
  <si>
    <t xml:space="preserve">Acacia Bank | Consulting | annual</t>
  </si>
  <si>
    <t xml:space="preserve">O00879</t>
  </si>
  <si>
    <t xml:space="preserve">Safari Microfinance | Tax &amp; Legal | due diligence</t>
  </si>
  <si>
    <t xml:space="preserve">O00880</t>
  </si>
  <si>
    <t xml:space="preserve">A0234</t>
  </si>
  <si>
    <t xml:space="preserve">Zuri Logistics | Risk | transformation</t>
  </si>
  <si>
    <t xml:space="preserve">O00881</t>
  </si>
  <si>
    <t xml:space="preserve">Umoja Digital | Deals | transformation</t>
  </si>
  <si>
    <t xml:space="preserve">O00882</t>
  </si>
  <si>
    <t xml:space="preserve">Simba Hospital | Deals | annual</t>
  </si>
  <si>
    <t xml:space="preserve">O00883</t>
  </si>
  <si>
    <t xml:space="preserve">Mara Networks | Deals | compliance</t>
  </si>
  <si>
    <t xml:space="preserve">O00884</t>
  </si>
  <si>
    <t xml:space="preserve">A0258</t>
  </si>
  <si>
    <t xml:space="preserve">Kilimanjaro Pharma | Tax &amp; Legal | readiness</t>
  </si>
  <si>
    <t xml:space="preserve">O00885</t>
  </si>
  <si>
    <t xml:space="preserve">Jambo Insurance | Risk | compliance</t>
  </si>
  <si>
    <t xml:space="preserve">O00886</t>
  </si>
  <si>
    <t xml:space="preserve">Jambo Microfinance | Assurance | transformation</t>
  </si>
  <si>
    <t xml:space="preserve">O00887</t>
  </si>
  <si>
    <t xml:space="preserve">Mto Construction | Consulting | readiness</t>
  </si>
  <si>
    <t xml:space="preserve">O00888</t>
  </si>
  <si>
    <t xml:space="preserve">Tembo Capital | Risk | review</t>
  </si>
  <si>
    <t xml:space="preserve">O00889</t>
  </si>
  <si>
    <t xml:space="preserve">O00890</t>
  </si>
  <si>
    <t xml:space="preserve">Twiga Power | Tax &amp; Legal | transformation</t>
  </si>
  <si>
    <t xml:space="preserve">O00891</t>
  </si>
  <si>
    <t xml:space="preserve">Safari Microfinance | Tax &amp; Legal | annual</t>
  </si>
  <si>
    <t xml:space="preserve">O00892</t>
  </si>
  <si>
    <t xml:space="preserve">Umoja Capital | Deals | compliance</t>
  </si>
  <si>
    <t xml:space="preserve">O00893</t>
  </si>
  <si>
    <t xml:space="preserve">Savanna Telecom | Tax &amp; Legal | due diligence</t>
  </si>
  <si>
    <t xml:space="preserve">O00894</t>
  </si>
  <si>
    <t xml:space="preserve">A0145</t>
  </si>
  <si>
    <t xml:space="preserve">Savanna Housing | Deals | readiness</t>
  </si>
  <si>
    <t xml:space="preserve">O00895</t>
  </si>
  <si>
    <t xml:space="preserve">Kilimanjaro Pharma | Consulting | support</t>
  </si>
  <si>
    <t xml:space="preserve">O00896</t>
  </si>
  <si>
    <t xml:space="preserve">Nile County Government | Risk | annual</t>
  </si>
  <si>
    <t xml:space="preserve">O00897</t>
  </si>
  <si>
    <t xml:space="preserve">Safari Cloud | Consulting | advisory</t>
  </si>
  <si>
    <t xml:space="preserve">O00898</t>
  </si>
  <si>
    <t xml:space="preserve">Highland Infrastructure | Consulting | annual</t>
  </si>
  <si>
    <t xml:space="preserve">O00899</t>
  </si>
  <si>
    <t xml:space="preserve">Kilimanjaro Digital | Consulting | compliance</t>
  </si>
  <si>
    <t xml:space="preserve">O00900</t>
  </si>
  <si>
    <t xml:space="preserve">O00901</t>
  </si>
  <si>
    <t xml:space="preserve">Amani Authority | Tax &amp; Legal | due diligence</t>
  </si>
  <si>
    <t xml:space="preserve">O00902</t>
  </si>
  <si>
    <t xml:space="preserve">Lakeview Digital | Consulting | support</t>
  </si>
  <si>
    <t xml:space="preserve">O00903</t>
  </si>
  <si>
    <t xml:space="preserve">Zuri Mining | Assurance | compliance</t>
  </si>
  <si>
    <t xml:space="preserve">O00904</t>
  </si>
  <si>
    <t xml:space="preserve">Baobab Energy | Tax &amp; Legal | review</t>
  </si>
  <si>
    <t xml:space="preserve">O00905</t>
  </si>
  <si>
    <t xml:space="preserve">Lakeview Hotels | Assurance | due diligence</t>
  </si>
  <si>
    <t xml:space="preserve">O00906</t>
  </si>
  <si>
    <t xml:space="preserve">Harambee Commission | Risk | readiness</t>
  </si>
  <si>
    <t xml:space="preserve">O00907</t>
  </si>
  <si>
    <t xml:space="preserve">Lakeview Mining | Consulting | support</t>
  </si>
  <si>
    <t xml:space="preserve">O00908</t>
  </si>
  <si>
    <t xml:space="preserve">Rift Health Group | Tax &amp; Legal | due diligence</t>
  </si>
  <si>
    <t xml:space="preserve">O00909</t>
  </si>
  <si>
    <t xml:space="preserve">Baobab Infrastructure | Consulting | due diligence</t>
  </si>
  <si>
    <t xml:space="preserve">O00910</t>
  </si>
  <si>
    <t xml:space="preserve">Kibo Microfinance | Deals | readiness</t>
  </si>
  <si>
    <t xml:space="preserve">O00911</t>
  </si>
  <si>
    <t xml:space="preserve">Acacia Insurance | Tax &amp; Legal | readiness</t>
  </si>
  <si>
    <t xml:space="preserve">O00912</t>
  </si>
  <si>
    <t xml:space="preserve">Jua Development Fund | Consulting | compliance</t>
  </si>
  <si>
    <t xml:space="preserve">O00913</t>
  </si>
  <si>
    <t xml:space="preserve">Rift Energy | Consulting | transformation</t>
  </si>
  <si>
    <t xml:space="preserve">O00914</t>
  </si>
  <si>
    <t xml:space="preserve">Nyota Telecom | Consulting | support</t>
  </si>
  <si>
    <t xml:space="preserve">O00915</t>
  </si>
  <si>
    <t xml:space="preserve">Rift Capital | Deals | support</t>
  </si>
  <si>
    <t xml:space="preserve">O00916</t>
  </si>
  <si>
    <t xml:space="preserve">Equator Cloud | Tax &amp; Legal | compliance</t>
  </si>
  <si>
    <t xml:space="preserve">O00917</t>
  </si>
  <si>
    <t xml:space="preserve">O00918</t>
  </si>
  <si>
    <t xml:space="preserve">O00919</t>
  </si>
  <si>
    <t xml:space="preserve">Mto Retail | Risk | readiness</t>
  </si>
  <si>
    <t xml:space="preserve">O00920</t>
  </si>
  <si>
    <t xml:space="preserve">O00921</t>
  </si>
  <si>
    <t xml:space="preserve">A0181</t>
  </si>
  <si>
    <t xml:space="preserve">Kilimanjaro Asset Managers | Consulting | annual</t>
  </si>
  <si>
    <t xml:space="preserve">O00922</t>
  </si>
  <si>
    <t xml:space="preserve">Amani Media | Consulting | annual</t>
  </si>
  <si>
    <t xml:space="preserve">O00923</t>
  </si>
  <si>
    <t xml:space="preserve">Acacia Authority | Deals | annual</t>
  </si>
  <si>
    <t xml:space="preserve">O00924</t>
  </si>
  <si>
    <t xml:space="preserve">Pwani Mining | Risk | readiness</t>
  </si>
  <si>
    <t xml:space="preserve">O00925</t>
  </si>
  <si>
    <t xml:space="preserve">A0265</t>
  </si>
  <si>
    <t xml:space="preserve">Amani Pharma | Tax &amp; Legal | due diligence</t>
  </si>
  <si>
    <t xml:space="preserve">O00926</t>
  </si>
  <si>
    <t xml:space="preserve">Lakeview County Government | Risk | compliance</t>
  </si>
  <si>
    <t xml:space="preserve">O00927</t>
  </si>
  <si>
    <t xml:space="preserve">Highland Foundation | Assurance | compliance</t>
  </si>
  <si>
    <t xml:space="preserve">O00928</t>
  </si>
  <si>
    <t xml:space="preserve">Nyota Telecom | Tax &amp; Legal | readiness</t>
  </si>
  <si>
    <t xml:space="preserve">O00929</t>
  </si>
  <si>
    <t xml:space="preserve">Lakeview Bank | Risk | review</t>
  </si>
  <si>
    <t xml:space="preserve">O00930</t>
  </si>
  <si>
    <t xml:space="preserve">Safari Digital | Consulting | annual</t>
  </si>
  <si>
    <t xml:space="preserve">O00931</t>
  </si>
  <si>
    <t xml:space="preserve">Baobab Energy | Risk | review</t>
  </si>
  <si>
    <t xml:space="preserve">O00932</t>
  </si>
  <si>
    <t xml:space="preserve">Zuri Media | Consulting | support</t>
  </si>
  <si>
    <t xml:space="preserve">O00933</t>
  </si>
  <si>
    <t xml:space="preserve">O00934</t>
  </si>
  <si>
    <t xml:space="preserve">Lakeview Asset Managers | Consulting | due diligence</t>
  </si>
  <si>
    <t xml:space="preserve">O00935</t>
  </si>
  <si>
    <t xml:space="preserve">Nile Geothermal | Deals | due diligence</t>
  </si>
  <si>
    <t xml:space="preserve">O00936</t>
  </si>
  <si>
    <t xml:space="preserve">Highland Development Fund | Consulting | review</t>
  </si>
  <si>
    <t xml:space="preserve">O00937</t>
  </si>
  <si>
    <t xml:space="preserve">Twiga Networks | Assurance | support</t>
  </si>
  <si>
    <t xml:space="preserve">O00938</t>
  </si>
  <si>
    <t xml:space="preserve">Umoja Foods | Deals | compliance</t>
  </si>
  <si>
    <t xml:space="preserve">O00939</t>
  </si>
  <si>
    <t xml:space="preserve">Nile Retail | Assurance | advisory</t>
  </si>
  <si>
    <t xml:space="preserve">O00940</t>
  </si>
  <si>
    <t xml:space="preserve">O00941</t>
  </si>
  <si>
    <t xml:space="preserve">Lakeview Telecom | Deals | annual</t>
  </si>
  <si>
    <t xml:space="preserve">O00942</t>
  </si>
  <si>
    <t xml:space="preserve">Nile Microfinance | Tax &amp; Legal | compliance</t>
  </si>
  <si>
    <t xml:space="preserve">O00943</t>
  </si>
  <si>
    <t xml:space="preserve">O00944</t>
  </si>
  <si>
    <t xml:space="preserve">O00945</t>
  </si>
  <si>
    <t xml:space="preserve">O00946</t>
  </si>
  <si>
    <t xml:space="preserve">Zuri Infrastructure | Assurance | annual</t>
  </si>
  <si>
    <t xml:space="preserve">O00947</t>
  </si>
  <si>
    <t xml:space="preserve">A0331</t>
  </si>
  <si>
    <t xml:space="preserve">Lakeview Supermarkets | Tax &amp; Legal | due diligence</t>
  </si>
  <si>
    <t xml:space="preserve">O00948</t>
  </si>
  <si>
    <t xml:space="preserve">Harambee Development Fund | Tax &amp; Legal | transformation</t>
  </si>
  <si>
    <t xml:space="preserve">O00949</t>
  </si>
  <si>
    <t xml:space="preserve">A0281</t>
  </si>
  <si>
    <t xml:space="preserve">Kilimanjaro Power | Assurance | advisory</t>
  </si>
  <si>
    <t xml:space="preserve">O00950</t>
  </si>
  <si>
    <t xml:space="preserve">Kilimanjaro Media | Consulting | readiness</t>
  </si>
  <si>
    <t xml:space="preserve">Accounts</t>
  </si>
  <si>
    <t xml:space="preserve">Raw export + normalised-name key [E] from Python. Duplicate flag and master ID are live formulas.</t>
  </si>
  <si>
    <t xml:space="preserve">Account name</t>
  </si>
  <si>
    <t xml:space="preserve">Industry (raw)</t>
  </si>
  <si>
    <t xml:space="preserve">Type</t>
  </si>
  <si>
    <t xml:space="preserve">City</t>
  </si>
  <si>
    <t xml:space="preserve">Account driver</t>
  </si>
  <si>
    <t xml:space="preserve">Normalised name key [E]</t>
  </si>
  <si>
    <t xml:space="preserve">Duplicate?</t>
  </si>
  <si>
    <t xml:space="preserve">Master account ID</t>
  </si>
  <si>
    <t xml:space="preserve">Industry (clean)</t>
  </si>
  <si>
    <t xml:space="preserve">Missing industry?</t>
  </si>
  <si>
    <t xml:space="preserve">Jambo Microfinance Limited</t>
  </si>
  <si>
    <t xml:space="preserve">Priority</t>
  </si>
  <si>
    <t xml:space="preserve">Listed company</t>
  </si>
  <si>
    <t xml:space="preserve">Nairobi</t>
  </si>
  <si>
    <t xml:space="preserve">jambomicrofinance</t>
  </si>
  <si>
    <t xml:space="preserve">Umoja Capital Limited</t>
  </si>
  <si>
    <t xml:space="preserve">Private company</t>
  </si>
  <si>
    <t xml:space="preserve">Mombasa</t>
  </si>
  <si>
    <t xml:space="preserve">umojacapital</t>
  </si>
  <si>
    <t xml:space="preserve">Nile Microfinance Limited</t>
  </si>
  <si>
    <t xml:space="preserve">Public sector</t>
  </si>
  <si>
    <t xml:space="preserve">nilemicrofinance</t>
  </si>
  <si>
    <t xml:space="preserve">Pwani Asset Managers Limited</t>
  </si>
  <si>
    <t xml:space="preserve">NGO / development partner</t>
  </si>
  <si>
    <t xml:space="preserve">pwaniassetmanagers</t>
  </si>
  <si>
    <t xml:space="preserve">Twiga Agri Limited</t>
  </si>
  <si>
    <t xml:space="preserve">twigaagri</t>
  </si>
  <si>
    <t xml:space="preserve">Kibo Microfinance Limited</t>
  </si>
  <si>
    <t xml:space="preserve">kibomicrofinance</t>
  </si>
  <si>
    <t xml:space="preserve">Nile County Government</t>
  </si>
  <si>
    <t xml:space="preserve">nilecountygovernment</t>
  </si>
  <si>
    <t xml:space="preserve">Tembo Capital Limited</t>
  </si>
  <si>
    <t xml:space="preserve">tembocapital</t>
  </si>
  <si>
    <t xml:space="preserve">Rift Cloud Limited</t>
  </si>
  <si>
    <t xml:space="preserve">riftcloud</t>
  </si>
  <si>
    <t xml:space="preserve">Umoja Asset Managers Limited</t>
  </si>
  <si>
    <t xml:space="preserve">Kisumu</t>
  </si>
  <si>
    <t xml:space="preserve">umojaassetmanagers</t>
  </si>
  <si>
    <t xml:space="preserve">Rift Capital Limited</t>
  </si>
  <si>
    <t xml:space="preserve">riftcapital</t>
  </si>
  <si>
    <t xml:space="preserve">Safari Microfinance Limited</t>
  </si>
  <si>
    <t xml:space="preserve">safarimicrofinance</t>
  </si>
  <si>
    <t xml:space="preserve">Kilimanjaro Capital Limited</t>
  </si>
  <si>
    <t xml:space="preserve">kilimanjarocapital</t>
  </si>
  <si>
    <t xml:space="preserve">Jua Beverages Limited</t>
  </si>
  <si>
    <t xml:space="preserve">juabeverages</t>
  </si>
  <si>
    <t xml:space="preserve">Baobab Energy Limited</t>
  </si>
  <si>
    <t xml:space="preserve">baobabenergy</t>
  </si>
  <si>
    <t xml:space="preserve">Mara Foods Limited</t>
  </si>
  <si>
    <t xml:space="preserve">marafoods</t>
  </si>
  <si>
    <t xml:space="preserve">Twiga Power Limited</t>
  </si>
  <si>
    <t xml:space="preserve">twigapower</t>
  </si>
  <si>
    <t xml:space="preserve">Lakeview Digital Limited</t>
  </si>
  <si>
    <t xml:space="preserve">lakeviewdigital</t>
  </si>
  <si>
    <t xml:space="preserve">Zuri Media Limited</t>
  </si>
  <si>
    <t xml:space="preserve">zurimedia</t>
  </si>
  <si>
    <t xml:space="preserve">Baobab Infrastructure Limited</t>
  </si>
  <si>
    <t xml:space="preserve">baobabinfrastructure</t>
  </si>
  <si>
    <t xml:space="preserve">Zuri Asset Managers Limited</t>
  </si>
  <si>
    <t xml:space="preserve">Multinational subsidiary</t>
  </si>
  <si>
    <t xml:space="preserve">Eldoret</t>
  </si>
  <si>
    <t xml:space="preserve">zuriassetmanagers</t>
  </si>
  <si>
    <t xml:space="preserve">Savanna Sacco Limited</t>
  </si>
  <si>
    <t xml:space="preserve">Nakuru</t>
  </si>
  <si>
    <t xml:space="preserve">savannasacco</t>
  </si>
  <si>
    <t xml:space="preserve">Jambo Petroleum Limited</t>
  </si>
  <si>
    <t xml:space="preserve">jambopetroleum</t>
  </si>
  <si>
    <t xml:space="preserve">Simba Commission</t>
  </si>
  <si>
    <t xml:space="preserve">simbacommission</t>
  </si>
  <si>
    <t xml:space="preserve">Lakeview Bank Limited</t>
  </si>
  <si>
    <t xml:space="preserve">lakeviewbank</t>
  </si>
  <si>
    <t xml:space="preserve">Lakeview Development Fund</t>
  </si>
  <si>
    <t xml:space="preserve">lakeviewdevelopmentfund</t>
  </si>
  <si>
    <t xml:space="preserve">Safari Growers Limited</t>
  </si>
  <si>
    <t xml:space="preserve">safarigrowers</t>
  </si>
  <si>
    <t xml:space="preserve">Lakeview Hotels Limited</t>
  </si>
  <si>
    <t xml:space="preserve">lakeviewhotels</t>
  </si>
  <si>
    <t xml:space="preserve">Acacia Mining Limited</t>
  </si>
  <si>
    <t xml:space="preserve">acaciamining</t>
  </si>
  <si>
    <t xml:space="preserve">Nile Networks Limited</t>
  </si>
  <si>
    <t xml:space="preserve">nilenetworks</t>
  </si>
  <si>
    <t xml:space="preserve">Acacia Hospital Limited</t>
  </si>
  <si>
    <t xml:space="preserve">acaciahospital</t>
  </si>
  <si>
    <t xml:space="preserve">Jambo Tea Estates Limited</t>
  </si>
  <si>
    <t xml:space="preserve">jamboteaestates</t>
  </si>
  <si>
    <t xml:space="preserve">Twiga Horticulture Limited</t>
  </si>
  <si>
    <t xml:space="preserve">twigahorticulture</t>
  </si>
  <si>
    <t xml:space="preserve">Harambee Capital Limited</t>
  </si>
  <si>
    <t xml:space="preserve">harambeecapital</t>
  </si>
  <si>
    <t xml:space="preserve">Kilimanjaro Media Limited</t>
  </si>
  <si>
    <t xml:space="preserve">kilimanjaromedia</t>
  </si>
  <si>
    <t xml:space="preserve">Amani Authority</t>
  </si>
  <si>
    <t xml:space="preserve">amaniauthority</t>
  </si>
  <si>
    <t xml:space="preserve">Zuri Hotels Limited</t>
  </si>
  <si>
    <t xml:space="preserve">zurihotels</t>
  </si>
  <si>
    <t xml:space="preserve">Pwani Media Limited</t>
  </si>
  <si>
    <t xml:space="preserve">pwanimedia</t>
  </si>
  <si>
    <t xml:space="preserve">Baobab Power Limited</t>
  </si>
  <si>
    <t xml:space="preserve">baobabpower</t>
  </si>
  <si>
    <t xml:space="preserve">Amani Insurance Limited</t>
  </si>
  <si>
    <t xml:space="preserve">amaniinsurance</t>
  </si>
  <si>
    <t xml:space="preserve">Simba Foods Limited</t>
  </si>
  <si>
    <t xml:space="preserve">Key</t>
  </si>
  <si>
    <t xml:space="preserve">simbafoods</t>
  </si>
  <si>
    <t xml:space="preserve">Amani Media Limited</t>
  </si>
  <si>
    <t xml:space="preserve">amanimedia</t>
  </si>
  <si>
    <t xml:space="preserve">Zuri Power Limited</t>
  </si>
  <si>
    <t xml:space="preserve">zuripower</t>
  </si>
  <si>
    <t xml:space="preserve">Harambee Commission</t>
  </si>
  <si>
    <t xml:space="preserve">harambeecommission</t>
  </si>
  <si>
    <t xml:space="preserve">Acacia Infrastructure Limited</t>
  </si>
  <si>
    <t xml:space="preserve">acaciainfrastructure</t>
  </si>
  <si>
    <t xml:space="preserve">Nyota Telecom Limited</t>
  </si>
  <si>
    <t xml:space="preserve">nyotatelecom</t>
  </si>
  <si>
    <t xml:space="preserve">Acacia Properties Limited</t>
  </si>
  <si>
    <t xml:space="preserve">acaciaproperties</t>
  </si>
  <si>
    <t xml:space="preserve">Safari Pharma Limited</t>
  </si>
  <si>
    <t xml:space="preserve">safaripharma</t>
  </si>
  <si>
    <t xml:space="preserve">Baobab Agri Limited</t>
  </si>
  <si>
    <t xml:space="preserve">baobabagri</t>
  </si>
  <si>
    <t xml:space="preserve">Mara Commission</t>
  </si>
  <si>
    <t xml:space="preserve">maracommission</t>
  </si>
  <si>
    <t xml:space="preserve">Kibo Sacco Limited</t>
  </si>
  <si>
    <t xml:space="preserve">kibosacco</t>
  </si>
  <si>
    <t xml:space="preserve">Highland Telecom Limited</t>
  </si>
  <si>
    <t xml:space="preserve">highlandtelecom</t>
  </si>
  <si>
    <t xml:space="preserve">Jambo Insurance Limited</t>
  </si>
  <si>
    <t xml:space="preserve">jamboinsurance</t>
  </si>
  <si>
    <t xml:space="preserve">Equator Telecom Limited</t>
  </si>
  <si>
    <t xml:space="preserve">equatortelecom</t>
  </si>
  <si>
    <t xml:space="preserve">Kibo Commission</t>
  </si>
  <si>
    <t xml:space="preserve">kibocommission</t>
  </si>
  <si>
    <t xml:space="preserve">Amani Petroleum Limited</t>
  </si>
  <si>
    <t xml:space="preserve">amanipetroleum</t>
  </si>
  <si>
    <t xml:space="preserve">Mto Supermarkets Limited</t>
  </si>
  <si>
    <t xml:space="preserve">mtosupermarkets</t>
  </si>
  <si>
    <t xml:space="preserve">Rift Energy Limited</t>
  </si>
  <si>
    <t xml:space="preserve">riftenergy</t>
  </si>
  <si>
    <t xml:space="preserve">Nile Energy Limited</t>
  </si>
  <si>
    <t xml:space="preserve">nileenergy</t>
  </si>
  <si>
    <t xml:space="preserve">Simba Development Fund</t>
  </si>
  <si>
    <t xml:space="preserve">simbadevelopmentfund</t>
  </si>
  <si>
    <t xml:space="preserve">Mara Petroleum Limited</t>
  </si>
  <si>
    <t xml:space="preserve">marapetroleum</t>
  </si>
  <si>
    <t xml:space="preserve">Safari Digital Limited</t>
  </si>
  <si>
    <t xml:space="preserve">safaridigital</t>
  </si>
  <si>
    <t xml:space="preserve">Simba Supermarkets Limited</t>
  </si>
  <si>
    <t xml:space="preserve">simbasupermarkets</t>
  </si>
  <si>
    <t xml:space="preserve">Twiga Insurance Limited</t>
  </si>
  <si>
    <t xml:space="preserve">twigainsurance</t>
  </si>
  <si>
    <t xml:space="preserve">Baobab Telecom Limited</t>
  </si>
  <si>
    <t xml:space="preserve">baobabtelecom</t>
  </si>
  <si>
    <t xml:space="preserve">Pwani Hospital Limited</t>
  </si>
  <si>
    <t xml:space="preserve">pwanihospital</t>
  </si>
  <si>
    <t xml:space="preserve">Acacia Media Limited</t>
  </si>
  <si>
    <t xml:space="preserve">acaciamedia</t>
  </si>
  <si>
    <t xml:space="preserve">Nyota Asset Managers Limited</t>
  </si>
  <si>
    <t xml:space="preserve">nyotaassetmanagers</t>
  </si>
  <si>
    <t xml:space="preserve">Twiga Development Fund</t>
  </si>
  <si>
    <t xml:space="preserve">twigadevelopmentfund</t>
  </si>
  <si>
    <t xml:space="preserve">Amani Digital Limited</t>
  </si>
  <si>
    <t xml:space="preserve">amanidigital</t>
  </si>
  <si>
    <t xml:space="preserve">Jambo Agri Limited</t>
  </si>
  <si>
    <t xml:space="preserve">jamboagri</t>
  </si>
  <si>
    <t xml:space="preserve">Twiga Asset Managers Limited</t>
  </si>
  <si>
    <t xml:space="preserve">twigaassetmanagers</t>
  </si>
  <si>
    <t xml:space="preserve">Acacia Capital Limited</t>
  </si>
  <si>
    <t xml:space="preserve">acaciacapital</t>
  </si>
  <si>
    <t xml:space="preserve">Simba Hospital Limited</t>
  </si>
  <si>
    <t xml:space="preserve">simbahospital</t>
  </si>
  <si>
    <t xml:space="preserve">Amani Properties Limited</t>
  </si>
  <si>
    <t xml:space="preserve">amaniproperties</t>
  </si>
  <si>
    <t xml:space="preserve">Mto Retail Limited</t>
  </si>
  <si>
    <t xml:space="preserve">mtoretail</t>
  </si>
  <si>
    <t xml:space="preserve">Umoja Foods Limited</t>
  </si>
  <si>
    <t xml:space="preserve">umojafoods</t>
  </si>
  <si>
    <t xml:space="preserve">Lakeview Asset Managers Limited</t>
  </si>
  <si>
    <t xml:space="preserve">lakeviewassetmanagers</t>
  </si>
  <si>
    <t xml:space="preserve">Equator Sacco Limited</t>
  </si>
  <si>
    <t xml:space="preserve">equatorsacco</t>
  </si>
  <si>
    <t xml:space="preserve">Harambee Cloud Limited</t>
  </si>
  <si>
    <t xml:space="preserve">harambeecloud</t>
  </si>
  <si>
    <t xml:space="preserve">Pwani Mining Limited</t>
  </si>
  <si>
    <t xml:space="preserve">pwanimining</t>
  </si>
  <si>
    <t xml:space="preserve">Nile Beverages Limited</t>
  </si>
  <si>
    <t xml:space="preserve">nilebeverages</t>
  </si>
  <si>
    <t xml:space="preserve">Lakeview Foods Limited</t>
  </si>
  <si>
    <t xml:space="preserve">lakeviewfoods</t>
  </si>
  <si>
    <t xml:space="preserve">A0084</t>
  </si>
  <si>
    <t xml:space="preserve">Simba Digital Limited</t>
  </si>
  <si>
    <t xml:space="preserve">simbadigital</t>
  </si>
  <si>
    <t xml:space="preserve">Acacia Microfinance Limited</t>
  </si>
  <si>
    <t xml:space="preserve">acaciamicrofinance</t>
  </si>
  <si>
    <t xml:space="preserve">Zuri Infrastructure Limited</t>
  </si>
  <si>
    <t xml:space="preserve">zuriinfrastructure</t>
  </si>
  <si>
    <t xml:space="preserve">Harambee Authority</t>
  </si>
  <si>
    <t xml:space="preserve">harambeeauthority</t>
  </si>
  <si>
    <t xml:space="preserve">Savanna Development Fund</t>
  </si>
  <si>
    <t xml:space="preserve">savannadevelopmentfund</t>
  </si>
  <si>
    <t xml:space="preserve">Harambee Supermarkets Limited</t>
  </si>
  <si>
    <t xml:space="preserve">harambeesupermarkets</t>
  </si>
  <si>
    <t xml:space="preserve">Lakeview Agri Limited</t>
  </si>
  <si>
    <t xml:space="preserve">lakeviewagri</t>
  </si>
  <si>
    <t xml:space="preserve">Lakeview County Government</t>
  </si>
  <si>
    <t xml:space="preserve">lakeviewcountygovernment</t>
  </si>
  <si>
    <t xml:space="preserve">Mara Hotels Limited</t>
  </si>
  <si>
    <t xml:space="preserve">marahotels</t>
  </si>
  <si>
    <t xml:space="preserve">Baobab County Government</t>
  </si>
  <si>
    <t xml:space="preserve">baobabcountygovernment</t>
  </si>
  <si>
    <t xml:space="preserve">Harambee Development Fund</t>
  </si>
  <si>
    <t xml:space="preserve">harambeedevelopmentfund</t>
  </si>
  <si>
    <t xml:space="preserve">Equator Supermarkets Limited</t>
  </si>
  <si>
    <t xml:space="preserve">equatorsupermarkets</t>
  </si>
  <si>
    <t xml:space="preserve">Equator Energy Limited</t>
  </si>
  <si>
    <t xml:space="preserve">equatorenergy</t>
  </si>
  <si>
    <t xml:space="preserve">Savanna Telecom Limited</t>
  </si>
  <si>
    <t xml:space="preserve">savannatelecom</t>
  </si>
  <si>
    <t xml:space="preserve">Twiga Networks Limited</t>
  </si>
  <si>
    <t xml:space="preserve">twiganetworks</t>
  </si>
  <si>
    <t xml:space="preserve">Equator Bank Limited</t>
  </si>
  <si>
    <t xml:space="preserve">equatorbank</t>
  </si>
  <si>
    <t xml:space="preserve">Mara Networks Limited</t>
  </si>
  <si>
    <t xml:space="preserve">maranetworks</t>
  </si>
  <si>
    <t xml:space="preserve">Kibo Pharma Limited</t>
  </si>
  <si>
    <t xml:space="preserve">kibopharma</t>
  </si>
  <si>
    <t xml:space="preserve">Pwani Capital Limited</t>
  </si>
  <si>
    <t xml:space="preserve">pwanicapital</t>
  </si>
  <si>
    <t xml:space="preserve">Twiga Telecom Limited</t>
  </si>
  <si>
    <t xml:space="preserve">twigatelecom</t>
  </si>
  <si>
    <t xml:space="preserve">Jambo Dairy Limited</t>
  </si>
  <si>
    <t xml:space="preserve">jambodairy</t>
  </si>
  <si>
    <t xml:space="preserve">Pwani Digital Limited</t>
  </si>
  <si>
    <t xml:space="preserve">pwanidigital</t>
  </si>
  <si>
    <t xml:space="preserve">Tembo Dairy Limited</t>
  </si>
  <si>
    <t xml:space="preserve">tembodairy</t>
  </si>
  <si>
    <t xml:space="preserve">Highland Supermarkets Limited</t>
  </si>
  <si>
    <t xml:space="preserve">highlandsupermarkets</t>
  </si>
  <si>
    <t xml:space="preserve">Harambee County Government</t>
  </si>
  <si>
    <t xml:space="preserve">harambeecountygovernment</t>
  </si>
  <si>
    <t xml:space="preserve">Mara Asset Managers Limited</t>
  </si>
  <si>
    <t xml:space="preserve">maraassetmanagers</t>
  </si>
  <si>
    <t xml:space="preserve">Mto Media Limited</t>
  </si>
  <si>
    <t xml:space="preserve">mtomedia</t>
  </si>
  <si>
    <t xml:space="preserve">Equator Petroleum Limited</t>
  </si>
  <si>
    <t xml:space="preserve">Standard</t>
  </si>
  <si>
    <t xml:space="preserve">equatorpetroleum</t>
  </si>
  <si>
    <t xml:space="preserve">Jambo Retail Limited</t>
  </si>
  <si>
    <t xml:space="preserve">jamboretail</t>
  </si>
  <si>
    <t xml:space="preserve">Twiga Commission</t>
  </si>
  <si>
    <t xml:space="preserve">twigacommission</t>
  </si>
  <si>
    <t xml:space="preserve">Lakeview Insurance Limited</t>
  </si>
  <si>
    <t xml:space="preserve">lakeviewinsurance</t>
  </si>
  <si>
    <t xml:space="preserve">Nyota County Government</t>
  </si>
  <si>
    <t xml:space="preserve">nyotacountygovernment</t>
  </si>
  <si>
    <t xml:space="preserve">Nile Sacco Limited</t>
  </si>
  <si>
    <t xml:space="preserve">nilesacco</t>
  </si>
  <si>
    <t xml:space="preserve">A0117</t>
  </si>
  <si>
    <t xml:space="preserve">Simba Media Limited</t>
  </si>
  <si>
    <t xml:space="preserve">simbamedia</t>
  </si>
  <si>
    <t xml:space="preserve">Jambo Hospital Limited</t>
  </si>
  <si>
    <t xml:space="preserve">jambohospital</t>
  </si>
  <si>
    <t xml:space="preserve">Acacia Pharma Limited</t>
  </si>
  <si>
    <t xml:space="preserve">acaciapharma</t>
  </si>
  <si>
    <t xml:space="preserve">A0120</t>
  </si>
  <si>
    <t xml:space="preserve">Nyota Horticulture Limited</t>
  </si>
  <si>
    <t xml:space="preserve">nyotahorticulture</t>
  </si>
  <si>
    <t xml:space="preserve">Amani Sacco Limited</t>
  </si>
  <si>
    <t xml:space="preserve">amanisacco</t>
  </si>
  <si>
    <t xml:space="preserve">Jambo Power Limited</t>
  </si>
  <si>
    <t xml:space="preserve">jambopower</t>
  </si>
  <si>
    <t xml:space="preserve">Nile Development Fund</t>
  </si>
  <si>
    <t xml:space="preserve">niledevelopmentfund</t>
  </si>
  <si>
    <t xml:space="preserve">Lakeview Mining Limited</t>
  </si>
  <si>
    <t xml:space="preserve">lakeviewmining</t>
  </si>
  <si>
    <t xml:space="preserve">A0125</t>
  </si>
  <si>
    <t xml:space="preserve">Safari Petroleum Limited</t>
  </si>
  <si>
    <t xml:space="preserve">safaripetroleum</t>
  </si>
  <si>
    <t xml:space="preserve">Umoja Insurance Limited</t>
  </si>
  <si>
    <t xml:space="preserve">umojainsurance</t>
  </si>
  <si>
    <t xml:space="preserve">Amani Asset Managers Limited</t>
  </si>
  <si>
    <t xml:space="preserve">amaniassetmanagers</t>
  </si>
  <si>
    <t xml:space="preserve">A0128</t>
  </si>
  <si>
    <t xml:space="preserve">Umoja County Government</t>
  </si>
  <si>
    <t xml:space="preserve">umojacountygovernment</t>
  </si>
  <si>
    <t xml:space="preserve">Tembo Housing Limited</t>
  </si>
  <si>
    <t xml:space="preserve">tembohousing</t>
  </si>
  <si>
    <t xml:space="preserve">Tembo Asset Managers Limited</t>
  </si>
  <si>
    <t xml:space="preserve">temboassetmanagers</t>
  </si>
  <si>
    <t xml:space="preserve">Jua Development Fund</t>
  </si>
  <si>
    <t xml:space="preserve">juadevelopmentfund</t>
  </si>
  <si>
    <t xml:space="preserve">Kilimanjaro Hotels Limited</t>
  </si>
  <si>
    <t xml:space="preserve">kilimanjarohotels</t>
  </si>
  <si>
    <t xml:space="preserve">Kibo Construction Limited</t>
  </si>
  <si>
    <t xml:space="preserve">kiboconstruction</t>
  </si>
  <si>
    <t xml:space="preserve">Pwani Geothermal Limited</t>
  </si>
  <si>
    <t xml:space="preserve">pwanigeothermal</t>
  </si>
  <si>
    <t xml:space="preserve">Nyota Mining Limited</t>
  </si>
  <si>
    <t xml:space="preserve">nyotamining</t>
  </si>
  <si>
    <t xml:space="preserve">Nyota Tea Estates Limited</t>
  </si>
  <si>
    <t xml:space="preserve">nyotateaestates</t>
  </si>
  <si>
    <t xml:space="preserve">Amani Networks Limited</t>
  </si>
  <si>
    <t xml:space="preserve">amaninetworks</t>
  </si>
  <si>
    <t xml:space="preserve">Baobab Development Fund</t>
  </si>
  <si>
    <t xml:space="preserve">baobabdevelopmentfund</t>
  </si>
  <si>
    <t xml:space="preserve">Umoja Microfinance Limited</t>
  </si>
  <si>
    <t xml:space="preserve">umojamicrofinance</t>
  </si>
  <si>
    <t xml:space="preserve">Kilimanjaro Digital Limited</t>
  </si>
  <si>
    <t xml:space="preserve">kilimanjarodigital</t>
  </si>
  <si>
    <t xml:space="preserve">Simba Properties Limited</t>
  </si>
  <si>
    <t xml:space="preserve">simbaproperties</t>
  </si>
  <si>
    <t xml:space="preserve">Baobab Health Group Limited</t>
  </si>
  <si>
    <t xml:space="preserve">baobabhealthgroup</t>
  </si>
  <si>
    <t xml:space="preserve">Jambo Infrastructure Limited</t>
  </si>
  <si>
    <t xml:space="preserve">jamboinfrastructure</t>
  </si>
  <si>
    <t xml:space="preserve">Baobab Insurance Limited</t>
  </si>
  <si>
    <t xml:space="preserve">baobabinsurance</t>
  </si>
  <si>
    <t xml:space="preserve">Savanna Housing Limited</t>
  </si>
  <si>
    <t xml:space="preserve">savannahousing</t>
  </si>
  <si>
    <t xml:space="preserve">Pwani Tea Estates Limited</t>
  </si>
  <si>
    <t xml:space="preserve">pwaniteaestates</t>
  </si>
  <si>
    <t xml:space="preserve">Kibo Hotels Limited</t>
  </si>
  <si>
    <t xml:space="preserve">kibohotels</t>
  </si>
  <si>
    <t xml:space="preserve">Mara Media Limited</t>
  </si>
  <si>
    <t xml:space="preserve">maramedia</t>
  </si>
  <si>
    <t xml:space="preserve">Savanna Construction Limited</t>
  </si>
  <si>
    <t xml:space="preserve">savannaconstruction</t>
  </si>
  <si>
    <t xml:space="preserve">Umoja Hospital Limited</t>
  </si>
  <si>
    <t xml:space="preserve">umojahospital</t>
  </si>
  <si>
    <t xml:space="preserve">Jambo Construction Limited</t>
  </si>
  <si>
    <t xml:space="preserve">jamboconstruction</t>
  </si>
  <si>
    <t xml:space="preserve">Lakeview Sacco Limited</t>
  </si>
  <si>
    <t xml:space="preserve">lakeviewsacco</t>
  </si>
  <si>
    <t xml:space="preserve">Kilimanjaro Growers Limited</t>
  </si>
  <si>
    <t xml:space="preserve">kilimanjarogrowers</t>
  </si>
  <si>
    <t xml:space="preserve">Pwani Sacco Limited</t>
  </si>
  <si>
    <t xml:space="preserve">pwanisacco</t>
  </si>
  <si>
    <t xml:space="preserve">Safari Hotels Limited</t>
  </si>
  <si>
    <t xml:space="preserve">safarihotels</t>
  </si>
  <si>
    <t xml:space="preserve">Nyota Media Limited</t>
  </si>
  <si>
    <t xml:space="preserve">nyotamedia</t>
  </si>
  <si>
    <t xml:space="preserve">Nile Insurance Limited</t>
  </si>
  <si>
    <t xml:space="preserve">nileinsurance</t>
  </si>
  <si>
    <t xml:space="preserve">Kibo Digital Limited</t>
  </si>
  <si>
    <t xml:space="preserve">kibodigital</t>
  </si>
  <si>
    <t xml:space="preserve">Lakeview Telecom Limited</t>
  </si>
  <si>
    <t xml:space="preserve">lakeviewtelecom</t>
  </si>
  <si>
    <t xml:space="preserve">Mto Construction Limited</t>
  </si>
  <si>
    <t xml:space="preserve">mtoconstruction</t>
  </si>
  <si>
    <t xml:space="preserve">Equator Diagnostics Limited</t>
  </si>
  <si>
    <t xml:space="preserve">equatordiagnostics</t>
  </si>
  <si>
    <t xml:space="preserve">Twiga Foundation</t>
  </si>
  <si>
    <t xml:space="preserve">twigafoundation</t>
  </si>
  <si>
    <t xml:space="preserve">Baobab Bank Limited</t>
  </si>
  <si>
    <t xml:space="preserve">baobabbank</t>
  </si>
  <si>
    <t xml:space="preserve">Highland Development Fund</t>
  </si>
  <si>
    <t xml:space="preserve">highlanddevelopmentfund</t>
  </si>
  <si>
    <t xml:space="preserve">Nile Bank Limited</t>
  </si>
  <si>
    <t xml:space="preserve">nilebank</t>
  </si>
  <si>
    <t xml:space="preserve">Harambee Foundation</t>
  </si>
  <si>
    <t xml:space="preserve">harambeefoundation</t>
  </si>
  <si>
    <t xml:space="preserve">Simba Hotels Limited</t>
  </si>
  <si>
    <t xml:space="preserve">simbahotels</t>
  </si>
  <si>
    <t xml:space="preserve">Zuri Dairy Limited</t>
  </si>
  <si>
    <t xml:space="preserve">zuridairy</t>
  </si>
  <si>
    <t xml:space="preserve">Umoja Retail Limited</t>
  </si>
  <si>
    <t xml:space="preserve">umojaretail</t>
  </si>
  <si>
    <t xml:space="preserve">Mara Sacco Limited</t>
  </si>
  <si>
    <t xml:space="preserve">marasacco</t>
  </si>
  <si>
    <t xml:space="preserve">Highland Growers Limited</t>
  </si>
  <si>
    <t xml:space="preserve">highlandgrowers</t>
  </si>
  <si>
    <t xml:space="preserve">A0172</t>
  </si>
  <si>
    <t xml:space="preserve">Twiga Geothermal Limited</t>
  </si>
  <si>
    <t xml:space="preserve">twigageothermal</t>
  </si>
  <si>
    <t xml:space="preserve">Kilimanjaro County Government</t>
  </si>
  <si>
    <t xml:space="preserve">kilimanjarocountygovernment</t>
  </si>
  <si>
    <t xml:space="preserve">A0174</t>
  </si>
  <si>
    <t xml:space="preserve">Twiga Digital Limited</t>
  </si>
  <si>
    <t xml:space="preserve">twigadigital</t>
  </si>
  <si>
    <t xml:space="preserve">Zuri Foundation</t>
  </si>
  <si>
    <t xml:space="preserve">zurifoundation</t>
  </si>
  <si>
    <t xml:space="preserve">Baobab Capital Limited</t>
  </si>
  <si>
    <t xml:space="preserve">baobabcapital</t>
  </si>
  <si>
    <t xml:space="preserve">Nyota Dairy Limited</t>
  </si>
  <si>
    <t xml:space="preserve">nyotadairy</t>
  </si>
  <si>
    <t xml:space="preserve">Baobab Foundation</t>
  </si>
  <si>
    <t xml:space="preserve">baobabfoundation</t>
  </si>
  <si>
    <t xml:space="preserve">Lakeview Foundation</t>
  </si>
  <si>
    <t xml:space="preserve">lakeviewfoundation</t>
  </si>
  <si>
    <t xml:space="preserve">Lakeview Authority</t>
  </si>
  <si>
    <t xml:space="preserve">lakeviewauthority</t>
  </si>
  <si>
    <t xml:space="preserve">Kilimanjaro Asset Managers Limited</t>
  </si>
  <si>
    <t xml:space="preserve">kilimanjaroassetmanagers</t>
  </si>
  <si>
    <t xml:space="preserve">Lakeview Beverages Limited</t>
  </si>
  <si>
    <t xml:space="preserve">lakeviewbeverages</t>
  </si>
  <si>
    <t xml:space="preserve">Simba County Government</t>
  </si>
  <si>
    <t xml:space="preserve">simbacountygovernment</t>
  </si>
  <si>
    <t xml:space="preserve">Twiga Dairy Limited</t>
  </si>
  <si>
    <t xml:space="preserve">twigadairy</t>
  </si>
  <si>
    <t xml:space="preserve">Tembo Foods Limited</t>
  </si>
  <si>
    <t xml:space="preserve">tembofoods</t>
  </si>
  <si>
    <t xml:space="preserve">Nyota Foods Limited</t>
  </si>
  <si>
    <t xml:space="preserve">nyotafoods</t>
  </si>
  <si>
    <t xml:space="preserve">Kibo Energy Limited</t>
  </si>
  <si>
    <t xml:space="preserve">kiboenergy</t>
  </si>
  <si>
    <t xml:space="preserve">Safari Beverages Limited</t>
  </si>
  <si>
    <t xml:space="preserve">safaribeverages</t>
  </si>
  <si>
    <t xml:space="preserve">Simba Power Limited</t>
  </si>
  <si>
    <t xml:space="preserve">simbapower</t>
  </si>
  <si>
    <t xml:space="preserve">Tembo Authority</t>
  </si>
  <si>
    <t xml:space="preserve">temboauthority</t>
  </si>
  <si>
    <t xml:space="preserve">Jambo Diagnostics Limited</t>
  </si>
  <si>
    <t xml:space="preserve">jambodiagnostics</t>
  </si>
  <si>
    <t xml:space="preserve">Safari Cloud Limited</t>
  </si>
  <si>
    <t xml:space="preserve">safaricloud</t>
  </si>
  <si>
    <t xml:space="preserve">Nyota Hotels Limited</t>
  </si>
  <si>
    <t xml:space="preserve">nyotahotels</t>
  </si>
  <si>
    <t xml:space="preserve">Safari Logistics Limited</t>
  </si>
  <si>
    <t xml:space="preserve">safarilogistics</t>
  </si>
  <si>
    <t xml:space="preserve">Amani Growers Limited</t>
  </si>
  <si>
    <t xml:space="preserve">amanigrowers</t>
  </si>
  <si>
    <t xml:space="preserve">Rift Health Group Limited</t>
  </si>
  <si>
    <t xml:space="preserve">rifthealthgroup</t>
  </si>
  <si>
    <t xml:space="preserve">Tembo Pharma Limited</t>
  </si>
  <si>
    <t xml:space="preserve">tembopharma</t>
  </si>
  <si>
    <t xml:space="preserve">Kilimanjaro Development Fund</t>
  </si>
  <si>
    <t xml:space="preserve">kilimanjarodevelopmentfund</t>
  </si>
  <si>
    <t xml:space="preserve">Amani Commission</t>
  </si>
  <si>
    <t xml:space="preserve">amanicommission</t>
  </si>
  <si>
    <t xml:space="preserve">Tembo Sacco Limited</t>
  </si>
  <si>
    <t xml:space="preserve">tembosacco</t>
  </si>
  <si>
    <t xml:space="preserve">Rift Retail Limited</t>
  </si>
  <si>
    <t xml:space="preserve">riftretail</t>
  </si>
  <si>
    <t xml:space="preserve">Baobab Logistics Limited</t>
  </si>
  <si>
    <t xml:space="preserve">baobablogistics</t>
  </si>
  <si>
    <t xml:space="preserve">Jambo Capital Limited</t>
  </si>
  <si>
    <t xml:space="preserve">jambocapital</t>
  </si>
  <si>
    <t xml:space="preserve">Nile Geothermal Limited</t>
  </si>
  <si>
    <t xml:space="preserve">nilegeothermal</t>
  </si>
  <si>
    <t xml:space="preserve">Equator Asset Managers Limited</t>
  </si>
  <si>
    <t xml:space="preserve">equatorassetmanagers</t>
  </si>
  <si>
    <t xml:space="preserve">Simba Logistics Limited</t>
  </si>
  <si>
    <t xml:space="preserve">simbalogistics</t>
  </si>
  <si>
    <t xml:space="preserve">Mto Growers Limited</t>
  </si>
  <si>
    <t xml:space="preserve">mtogrowers</t>
  </si>
  <si>
    <t xml:space="preserve">Amani Agri Limited</t>
  </si>
  <si>
    <t xml:space="preserve">amaniagri</t>
  </si>
  <si>
    <t xml:space="preserve">Simba Foundation</t>
  </si>
  <si>
    <t xml:space="preserve">simbafoundation</t>
  </si>
  <si>
    <t xml:space="preserve">Mto Telecom Limited</t>
  </si>
  <si>
    <t xml:space="preserve">mtotelecom</t>
  </si>
  <si>
    <t xml:space="preserve">Kibo Capital Limited</t>
  </si>
  <si>
    <t xml:space="preserve">kibocapital</t>
  </si>
  <si>
    <t xml:space="preserve">Amani Tea Estates Limited</t>
  </si>
  <si>
    <t xml:space="preserve">amaniteaestates</t>
  </si>
  <si>
    <t xml:space="preserve">Harambee Digital Limited</t>
  </si>
  <si>
    <t xml:space="preserve">harambeedigital</t>
  </si>
  <si>
    <t xml:space="preserve">Acacia Authority</t>
  </si>
  <si>
    <t xml:space="preserve">acaciaauthority</t>
  </si>
  <si>
    <t xml:space="preserve">A0215</t>
  </si>
  <si>
    <t xml:space="preserve">Amani Hotels Limited</t>
  </si>
  <si>
    <t xml:space="preserve">amanihotels</t>
  </si>
  <si>
    <t xml:space="preserve">Highland Foods Limited</t>
  </si>
  <si>
    <t xml:space="preserve">highlandfoods</t>
  </si>
  <si>
    <t xml:space="preserve">Jua Foundation</t>
  </si>
  <si>
    <t xml:space="preserve">juafoundation</t>
  </si>
  <si>
    <t xml:space="preserve">A0218</t>
  </si>
  <si>
    <t xml:space="preserve">Kibo Agri Limited</t>
  </si>
  <si>
    <t xml:space="preserve">kiboagri</t>
  </si>
  <si>
    <t xml:space="preserve">Kilimanjaro Diagnostics Limited</t>
  </si>
  <si>
    <t xml:space="preserve">kilimanjarodiagnostics</t>
  </si>
  <si>
    <t xml:space="preserve">Pwani Power Limited</t>
  </si>
  <si>
    <t xml:space="preserve">pwanipower</t>
  </si>
  <si>
    <t xml:space="preserve">Rift Insurance Limited</t>
  </si>
  <si>
    <t xml:space="preserve">riftinsurance</t>
  </si>
  <si>
    <t xml:space="preserve">Pwani Development Fund</t>
  </si>
  <si>
    <t xml:space="preserve">pwanidevelopmentfund</t>
  </si>
  <si>
    <t xml:space="preserve">Safari Housing Limited</t>
  </si>
  <si>
    <t xml:space="preserve">safarihousing</t>
  </si>
  <si>
    <t xml:space="preserve">A0224</t>
  </si>
  <si>
    <t xml:space="preserve">Simba Geothermal Limited</t>
  </si>
  <si>
    <t xml:space="preserve">simbageothermal</t>
  </si>
  <si>
    <t xml:space="preserve">Acacia Bank Limited</t>
  </si>
  <si>
    <t xml:space="preserve">acaciabank</t>
  </si>
  <si>
    <t xml:space="preserve">Highland Hospital Limited</t>
  </si>
  <si>
    <t xml:space="preserve">highlandhospital</t>
  </si>
  <si>
    <t xml:space="preserve">Amani Cloud Limited</t>
  </si>
  <si>
    <t xml:space="preserve">amanicloud</t>
  </si>
  <si>
    <t xml:space="preserve">Mto Microfinance Limited</t>
  </si>
  <si>
    <t xml:space="preserve">mtomicrofinance</t>
  </si>
  <si>
    <t xml:space="preserve">Pwani Authority</t>
  </si>
  <si>
    <t xml:space="preserve">pwaniauthority</t>
  </si>
  <si>
    <t xml:space="preserve">Jambo Properties Limited</t>
  </si>
  <si>
    <t xml:space="preserve">jamboproperties</t>
  </si>
  <si>
    <t xml:space="preserve">Highland Foundation</t>
  </si>
  <si>
    <t xml:space="preserve">highlandfoundation</t>
  </si>
  <si>
    <t xml:space="preserve">Kibo Foods Limited</t>
  </si>
  <si>
    <t xml:space="preserve">kibofoods</t>
  </si>
  <si>
    <t xml:space="preserve">Highland Retail Limited</t>
  </si>
  <si>
    <t xml:space="preserve">highlandretail</t>
  </si>
  <si>
    <t xml:space="preserve">Zuri Logistics Limited</t>
  </si>
  <si>
    <t xml:space="preserve">zurilogistics</t>
  </si>
  <si>
    <t xml:space="preserve">Simba Telecom Limited</t>
  </si>
  <si>
    <t xml:space="preserve">simbatelecom</t>
  </si>
  <si>
    <t xml:space="preserve">Amani Foundation</t>
  </si>
  <si>
    <t xml:space="preserve">amanifoundation</t>
  </si>
  <si>
    <t xml:space="preserve">Acacia Insurance Limited</t>
  </si>
  <si>
    <t xml:space="preserve">acaciainsurance</t>
  </si>
  <si>
    <t xml:space="preserve">A0238</t>
  </si>
  <si>
    <t xml:space="preserve">Safari Foundation</t>
  </si>
  <si>
    <t xml:space="preserve">safarifoundation</t>
  </si>
  <si>
    <t xml:space="preserve">Zuri Housing Limited</t>
  </si>
  <si>
    <t xml:space="preserve">zurihousing</t>
  </si>
  <si>
    <t xml:space="preserve">A0240</t>
  </si>
  <si>
    <t xml:space="preserve">Zuri Digital Limited</t>
  </si>
  <si>
    <t xml:space="preserve">zuridigital</t>
  </si>
  <si>
    <t xml:space="preserve">Pwani Microfinance Limited</t>
  </si>
  <si>
    <t xml:space="preserve">pwanimicrofinance</t>
  </si>
  <si>
    <t xml:space="preserve">Zuri Mining Limited</t>
  </si>
  <si>
    <t xml:space="preserve">zurimining</t>
  </si>
  <si>
    <t xml:space="preserve">Kibo Supermarkets Limited</t>
  </si>
  <si>
    <t xml:space="preserve">kibosupermarkets</t>
  </si>
  <si>
    <t xml:space="preserve">Acacia Cloud Limited</t>
  </si>
  <si>
    <t xml:space="preserve">acaciacloud</t>
  </si>
  <si>
    <t xml:space="preserve">Mara Retail Limited</t>
  </si>
  <si>
    <t xml:space="preserve">mararetail</t>
  </si>
  <si>
    <t xml:space="preserve">Tembo Microfinance Limited</t>
  </si>
  <si>
    <t xml:space="preserve">tembomicrofinance</t>
  </si>
  <si>
    <t xml:space="preserve">A0247</t>
  </si>
  <si>
    <t xml:space="preserve">Savanna Asset Managers Limited</t>
  </si>
  <si>
    <t xml:space="preserve">savannaassetmanagers</t>
  </si>
  <si>
    <t xml:space="preserve">Nile Retail Limited</t>
  </si>
  <si>
    <t xml:space="preserve">nileretail</t>
  </si>
  <si>
    <t xml:space="preserve">Nyota Petroleum Limited</t>
  </si>
  <si>
    <t xml:space="preserve">nyotapetroleum</t>
  </si>
  <si>
    <t xml:space="preserve">Umoja Digital Limited</t>
  </si>
  <si>
    <t xml:space="preserve">umojadigital</t>
  </si>
  <si>
    <t xml:space="preserve">Harambee Microfinance Limited</t>
  </si>
  <si>
    <t xml:space="preserve">harambeemicrofinance</t>
  </si>
  <si>
    <t xml:space="preserve">Savanna Digital Limited</t>
  </si>
  <si>
    <t xml:space="preserve">savannadigital</t>
  </si>
  <si>
    <t xml:space="preserve">Umoja Cloud Limited</t>
  </si>
  <si>
    <t xml:space="preserve">umojacloud</t>
  </si>
  <si>
    <t xml:space="preserve">A0254</t>
  </si>
  <si>
    <t xml:space="preserve">Tembo Diagnostics Limited</t>
  </si>
  <si>
    <t xml:space="preserve">tembodiagnostics</t>
  </si>
  <si>
    <t xml:space="preserve">Savanna Capital Limited</t>
  </si>
  <si>
    <t xml:space="preserve">savannacapital</t>
  </si>
  <si>
    <t xml:space="preserve">Umoja Development Fund</t>
  </si>
  <si>
    <t xml:space="preserve">umojadevelopmentfund</t>
  </si>
  <si>
    <t xml:space="preserve">Nile Digital Limited</t>
  </si>
  <si>
    <t xml:space="preserve">niledigital</t>
  </si>
  <si>
    <t xml:space="preserve">Kilimanjaro Pharma Limited</t>
  </si>
  <si>
    <t xml:space="preserve">kilimanjaropharma</t>
  </si>
  <si>
    <t xml:space="preserve">Rift Sacco Limited</t>
  </si>
  <si>
    <t xml:space="preserve">riftsacco</t>
  </si>
  <si>
    <t xml:space="preserve">A0260</t>
  </si>
  <si>
    <t xml:space="preserve">Kilimanjaro Horticulture Limited</t>
  </si>
  <si>
    <t xml:space="preserve">kilimanjarohorticulture</t>
  </si>
  <si>
    <t xml:space="preserve">Safari Development Fund</t>
  </si>
  <si>
    <t xml:space="preserve">safaridevelopmentfund</t>
  </si>
  <si>
    <t xml:space="preserve">Umoja Tea Estates Limited</t>
  </si>
  <si>
    <t xml:space="preserve">umojateaestates</t>
  </si>
  <si>
    <t xml:space="preserve">Zuri Supermarkets Limited</t>
  </si>
  <si>
    <t xml:space="preserve">zurisupermarkets</t>
  </si>
  <si>
    <t xml:space="preserve">Zuri Telecom Limited</t>
  </si>
  <si>
    <t xml:space="preserve">zuritelecom</t>
  </si>
  <si>
    <t xml:space="preserve">Amani Pharma Limited</t>
  </si>
  <si>
    <t xml:space="preserve">amanipharma</t>
  </si>
  <si>
    <t xml:space="preserve">Simba Growers Limited</t>
  </si>
  <si>
    <t xml:space="preserve">simbagrowers</t>
  </si>
  <si>
    <t xml:space="preserve">Jambo Foundation</t>
  </si>
  <si>
    <t xml:space="preserve">jambofoundation</t>
  </si>
  <si>
    <t xml:space="preserve">Zuri Capital Limited</t>
  </si>
  <si>
    <t xml:space="preserve">zuricapital</t>
  </si>
  <si>
    <t xml:space="preserve">Mara Power Limited</t>
  </si>
  <si>
    <t xml:space="preserve">marapower</t>
  </si>
  <si>
    <t xml:space="preserve">Jua Retail Limited</t>
  </si>
  <si>
    <t xml:space="preserve">juaretail</t>
  </si>
  <si>
    <t xml:space="preserve">Highland Dairy Limited</t>
  </si>
  <si>
    <t xml:space="preserve">highlanddairy</t>
  </si>
  <si>
    <t xml:space="preserve">Zuri Hospital Limited</t>
  </si>
  <si>
    <t xml:space="preserve">zurihospital</t>
  </si>
  <si>
    <t xml:space="preserve">Equator Digital Limited</t>
  </si>
  <si>
    <t xml:space="preserve">equatordigital</t>
  </si>
  <si>
    <t xml:space="preserve">Amani Development Fund</t>
  </si>
  <si>
    <t xml:space="preserve">amanidevelopmentfund</t>
  </si>
  <si>
    <t xml:space="preserve">Nile Supermarkets Limited</t>
  </si>
  <si>
    <t xml:space="preserve">nilesupermarkets</t>
  </si>
  <si>
    <t xml:space="preserve">Nyota Capital Limited</t>
  </si>
  <si>
    <t xml:space="preserve">nyotacapital</t>
  </si>
  <si>
    <t xml:space="preserve">Mara Horticulture Limited</t>
  </si>
  <si>
    <t xml:space="preserve">marahorticulture</t>
  </si>
  <si>
    <t xml:space="preserve">Equator Cloud Limited</t>
  </si>
  <si>
    <t xml:space="preserve">equatorcloud</t>
  </si>
  <si>
    <t xml:space="preserve">Mara Bank Limited</t>
  </si>
  <si>
    <t xml:space="preserve">marabank</t>
  </si>
  <si>
    <t xml:space="preserve">Simba Diagnostics Limited</t>
  </si>
  <si>
    <t xml:space="preserve">simbadiagnostics</t>
  </si>
  <si>
    <t xml:space="preserve">Kilimanjaro Power Limited</t>
  </si>
  <si>
    <t xml:space="preserve">kilimanjaropower</t>
  </si>
  <si>
    <t xml:space="preserve">Rift Foods Limited</t>
  </si>
  <si>
    <t xml:space="preserve">riftfoods</t>
  </si>
  <si>
    <t xml:space="preserve">Acacia Energy Limited</t>
  </si>
  <si>
    <t xml:space="preserve">acaciaenergy</t>
  </si>
  <si>
    <t xml:space="preserve">Savanna Media Limited</t>
  </si>
  <si>
    <t xml:space="preserve">savannamedia</t>
  </si>
  <si>
    <t xml:space="preserve">Simba Pharma Limited</t>
  </si>
  <si>
    <t xml:space="preserve">simbapharma</t>
  </si>
  <si>
    <t xml:space="preserve">Jambo Asset Managers Limited</t>
  </si>
  <si>
    <t xml:space="preserve">jamboassetmanagers</t>
  </si>
  <si>
    <t xml:space="preserve">A0287</t>
  </si>
  <si>
    <t xml:space="preserve">Equator Retail Limited</t>
  </si>
  <si>
    <t xml:space="preserve">equatorretail</t>
  </si>
  <si>
    <t xml:space="preserve">Lakeview Energy Limited</t>
  </si>
  <si>
    <t xml:space="preserve">lakeviewenergy</t>
  </si>
  <si>
    <t xml:space="preserve">Rift Bank Limited</t>
  </si>
  <si>
    <t xml:space="preserve">riftbank</t>
  </si>
  <si>
    <t xml:space="preserve">Mto Networks Limited</t>
  </si>
  <si>
    <t xml:space="preserve">mtonetworks</t>
  </si>
  <si>
    <t xml:space="preserve">Simba Sacco Limited</t>
  </si>
  <si>
    <t xml:space="preserve">simbasacco</t>
  </si>
  <si>
    <t xml:space="preserve">Zuri Petroleum Limited</t>
  </si>
  <si>
    <t xml:space="preserve">zuripetroleum</t>
  </si>
  <si>
    <t xml:space="preserve">Highland Networks Limited</t>
  </si>
  <si>
    <t xml:space="preserve">highlandnetworks</t>
  </si>
  <si>
    <t xml:space="preserve">Safari Insurance Limited</t>
  </si>
  <si>
    <t xml:space="preserve">safariinsurance</t>
  </si>
  <si>
    <t xml:space="preserve">Twiga Sacco Limited</t>
  </si>
  <si>
    <t xml:space="preserve">twigasacco</t>
  </si>
  <si>
    <t xml:space="preserve">Harambee Horticulture Limited</t>
  </si>
  <si>
    <t xml:space="preserve">harambeehorticulture</t>
  </si>
  <si>
    <t xml:space="preserve">Equator Agri Limited</t>
  </si>
  <si>
    <t xml:space="preserve">equatoragri</t>
  </si>
  <si>
    <t xml:space="preserve">Kilimanjaro Sacco Limited</t>
  </si>
  <si>
    <t xml:space="preserve">kilimanjarosacco</t>
  </si>
  <si>
    <t xml:space="preserve">A0299</t>
  </si>
  <si>
    <t xml:space="preserve">Baobab Sacco Limited</t>
  </si>
  <si>
    <t xml:space="preserve">baobabsacco</t>
  </si>
  <si>
    <t xml:space="preserve">Harambee Asset Managers Limited</t>
  </si>
  <si>
    <t xml:space="preserve">harambeeassetmanagers</t>
  </si>
  <si>
    <t xml:space="preserve">Zuri Authority</t>
  </si>
  <si>
    <t xml:space="preserve">zuriauthority</t>
  </si>
  <si>
    <t xml:space="preserve">Highland Infrastructure Limited</t>
  </si>
  <si>
    <t xml:space="preserve">highlandinfrastructure</t>
  </si>
  <si>
    <t xml:space="preserve">Harambee Foods Limited</t>
  </si>
  <si>
    <t xml:space="preserve">harambeefoods</t>
  </si>
  <si>
    <t xml:space="preserve">Amani Mining Limited</t>
  </si>
  <si>
    <t xml:space="preserve">amanimining</t>
  </si>
  <si>
    <t xml:space="preserve">Kilimanjaro Telecom Limited</t>
  </si>
  <si>
    <t xml:space="preserve">kilimanjarotelecom</t>
  </si>
  <si>
    <t xml:space="preserve">Mto Cloud Limited</t>
  </si>
  <si>
    <t xml:space="preserve">mtocloud</t>
  </si>
  <si>
    <t xml:space="preserve">Harambee Energy Limited</t>
  </si>
  <si>
    <t xml:space="preserve">harambeeenergy</t>
  </si>
  <si>
    <t xml:space="preserve">Pwani Construction Limited</t>
  </si>
  <si>
    <t xml:space="preserve">pwaniconstruction</t>
  </si>
  <si>
    <t xml:space="preserve">Savanna Power Limited</t>
  </si>
  <si>
    <t xml:space="preserve">savannapower</t>
  </si>
  <si>
    <t xml:space="preserve">Mara Beverages Limited</t>
  </si>
  <si>
    <t xml:space="preserve">marabeverages</t>
  </si>
  <si>
    <t xml:space="preserve">Simba Asset Managers Limited</t>
  </si>
  <si>
    <t xml:space="preserve">simbaassetmanagers</t>
  </si>
  <si>
    <t xml:space="preserve">Tembo Tea Estates Limited</t>
  </si>
  <si>
    <t xml:space="preserve">temboteaestates</t>
  </si>
  <si>
    <t xml:space="preserve">A0313</t>
  </si>
  <si>
    <t xml:space="preserve">Mto Logistics Limited</t>
  </si>
  <si>
    <t xml:space="preserve">mtologistics</t>
  </si>
  <si>
    <t xml:space="preserve">Nyota Foundation</t>
  </si>
  <si>
    <t xml:space="preserve">nyotafoundation</t>
  </si>
  <si>
    <t xml:space="preserve">A0315</t>
  </si>
  <si>
    <t xml:space="preserve">Lakeview Supermarkets Limited</t>
  </si>
  <si>
    <t xml:space="preserve">lakeviewsupermarkets</t>
  </si>
  <si>
    <t xml:space="preserve">Harambee Sacco Limited</t>
  </si>
  <si>
    <t xml:space="preserve">harambeesacco</t>
  </si>
  <si>
    <t xml:space="preserve">A0317</t>
  </si>
  <si>
    <t xml:space="preserve">Nyota Sacco Limited</t>
  </si>
  <si>
    <t xml:space="preserve">nyotasacco</t>
  </si>
  <si>
    <t xml:space="preserve">Mara Hospital Limited</t>
  </si>
  <si>
    <t xml:space="preserve">marahospital</t>
  </si>
  <si>
    <t xml:space="preserve">Jua County Government</t>
  </si>
  <si>
    <t xml:space="preserve">juacountygovernment</t>
  </si>
  <si>
    <t xml:space="preserve">Zuri Tea Estates Limited</t>
  </si>
  <si>
    <t xml:space="preserve">zuriteaestates</t>
  </si>
  <si>
    <t xml:space="preserve">Acacia Microfinance Ltd</t>
  </si>
  <si>
    <t xml:space="preserve">Jua County Govt</t>
  </si>
  <si>
    <t xml:space="preserve">Baobab Sacco Ltd</t>
  </si>
  <si>
    <t xml:space="preserve">Lakeview Energy Ltd</t>
  </si>
  <si>
    <t xml:space="preserve">Mara Networks Ltd</t>
  </si>
  <si>
    <t xml:space="preserve">Savanna Power Ltd</t>
  </si>
  <si>
    <t xml:space="preserve">A0327</t>
  </si>
  <si>
    <t xml:space="preserve">Baobab Health Group Ltd</t>
  </si>
  <si>
    <t xml:space="preserve">Acacia Pharma Ltd</t>
  </si>
  <si>
    <t xml:space="preserve">Mara Hospital Ltd</t>
  </si>
  <si>
    <t xml:space="preserve">Acacia Hospital Ltd</t>
  </si>
  <si>
    <t xml:space="preserve">Lakeview Supermarkets Ltd</t>
  </si>
  <si>
    <t xml:space="preserve">Acacia Media Ltd</t>
  </si>
  <si>
    <t xml:space="preserve">Activities (touchpoints)</t>
  </si>
  <si>
    <t xml:space="preserve">Activity ID</t>
  </si>
  <si>
    <t xml:space="preserve">T00001</t>
  </si>
  <si>
    <t xml:space="preserve">Proposal sent</t>
  </si>
  <si>
    <t xml:space="preserve">T00002</t>
  </si>
  <si>
    <t xml:space="preserve">Call</t>
  </si>
  <si>
    <t xml:space="preserve">T00003</t>
  </si>
  <si>
    <t xml:space="preserve">Client meeting</t>
  </si>
  <si>
    <t xml:space="preserve">T00004</t>
  </si>
  <si>
    <t xml:space="preserve">T00005</t>
  </si>
  <si>
    <t xml:space="preserve">T00006</t>
  </si>
  <si>
    <t xml:space="preserve">Email click</t>
  </si>
  <si>
    <t xml:space="preserve">T00007</t>
  </si>
  <si>
    <t xml:space="preserve">T00008</t>
  </si>
  <si>
    <t xml:space="preserve">T00009</t>
  </si>
  <si>
    <t xml:space="preserve">Thought-leadership download</t>
  </si>
  <si>
    <t xml:space="preserve">T00010</t>
  </si>
  <si>
    <t xml:space="preserve">T00011</t>
  </si>
  <si>
    <t xml:space="preserve">T00012</t>
  </si>
  <si>
    <t xml:space="preserve">T00013</t>
  </si>
  <si>
    <t xml:space="preserve">T00014</t>
  </si>
  <si>
    <t xml:space="preserve">T00015</t>
  </si>
  <si>
    <t xml:space="preserve">T00016</t>
  </si>
  <si>
    <t xml:space="preserve">T00017</t>
  </si>
  <si>
    <t xml:space="preserve">T00018</t>
  </si>
  <si>
    <t xml:space="preserve">T00019</t>
  </si>
  <si>
    <t xml:space="preserve">T00020</t>
  </si>
  <si>
    <t xml:space="preserve">T00021</t>
  </si>
  <si>
    <t xml:space="preserve">T00022</t>
  </si>
  <si>
    <t xml:space="preserve">T00023</t>
  </si>
  <si>
    <t xml:space="preserve">T00024</t>
  </si>
  <si>
    <t xml:space="preserve">T00025</t>
  </si>
  <si>
    <t xml:space="preserve">T00026</t>
  </si>
  <si>
    <t xml:space="preserve">T00027</t>
  </si>
  <si>
    <t xml:space="preserve">T00028</t>
  </si>
  <si>
    <t xml:space="preserve">Event attended</t>
  </si>
  <si>
    <t xml:space="preserve">T00029</t>
  </si>
  <si>
    <t xml:space="preserve">T00030</t>
  </si>
  <si>
    <t xml:space="preserve">T00031</t>
  </si>
  <si>
    <t xml:space="preserve">T00032</t>
  </si>
  <si>
    <t xml:space="preserve">T00033</t>
  </si>
  <si>
    <t xml:space="preserve">T00034</t>
  </si>
  <si>
    <t xml:space="preserve">T00035</t>
  </si>
  <si>
    <t xml:space="preserve">T00036</t>
  </si>
  <si>
    <t xml:space="preserve">T00037</t>
  </si>
  <si>
    <t xml:space="preserve">T00038</t>
  </si>
  <si>
    <t xml:space="preserve">T00039</t>
  </si>
  <si>
    <t xml:space="preserve">T00040</t>
  </si>
  <si>
    <t xml:space="preserve">T00041</t>
  </si>
  <si>
    <t xml:space="preserve">T00042</t>
  </si>
  <si>
    <t xml:space="preserve">T00043</t>
  </si>
  <si>
    <t xml:space="preserve">T00044</t>
  </si>
  <si>
    <t xml:space="preserve">T00045</t>
  </si>
  <si>
    <t xml:space="preserve">T00046</t>
  </si>
  <si>
    <t xml:space="preserve">T00047</t>
  </si>
  <si>
    <t xml:space="preserve">T00048</t>
  </si>
  <si>
    <t xml:space="preserve">T00049</t>
  </si>
  <si>
    <t xml:space="preserve">T00050</t>
  </si>
  <si>
    <t xml:space="preserve">T00051</t>
  </si>
  <si>
    <t xml:space="preserve">T00052</t>
  </si>
  <si>
    <t xml:space="preserve">T00053</t>
  </si>
  <si>
    <t xml:space="preserve">T00054</t>
  </si>
  <si>
    <t xml:space="preserve">T00055</t>
  </si>
  <si>
    <t xml:space="preserve">T00056</t>
  </si>
  <si>
    <t xml:space="preserve">T00057</t>
  </si>
  <si>
    <t xml:space="preserve">T00058</t>
  </si>
  <si>
    <t xml:space="preserve">T00059</t>
  </si>
  <si>
    <t xml:space="preserve">T00060</t>
  </si>
  <si>
    <t xml:space="preserve">T00061</t>
  </si>
  <si>
    <t xml:space="preserve">T00062</t>
  </si>
  <si>
    <t xml:space="preserve">T00063</t>
  </si>
  <si>
    <t xml:space="preserve">T00064</t>
  </si>
  <si>
    <t xml:space="preserve">T00065</t>
  </si>
  <si>
    <t xml:space="preserve">T00066</t>
  </si>
  <si>
    <t xml:space="preserve">T00067</t>
  </si>
  <si>
    <t xml:space="preserve">T00068</t>
  </si>
  <si>
    <t xml:space="preserve">T00069</t>
  </si>
  <si>
    <t xml:space="preserve">T00070</t>
  </si>
  <si>
    <t xml:space="preserve">T00071</t>
  </si>
  <si>
    <t xml:space="preserve">T00072</t>
  </si>
  <si>
    <t xml:space="preserve">T00073</t>
  </si>
  <si>
    <t xml:space="preserve">T00074</t>
  </si>
  <si>
    <t xml:space="preserve">T00075</t>
  </si>
  <si>
    <t xml:space="preserve">T00076</t>
  </si>
  <si>
    <t xml:space="preserve">T00077</t>
  </si>
  <si>
    <t xml:space="preserve">T00078</t>
  </si>
  <si>
    <t xml:space="preserve">T00079</t>
  </si>
  <si>
    <t xml:space="preserve">T00080</t>
  </si>
  <si>
    <t xml:space="preserve">T00081</t>
  </si>
  <si>
    <t xml:space="preserve">T00082</t>
  </si>
  <si>
    <t xml:space="preserve">T00083</t>
  </si>
  <si>
    <t xml:space="preserve">T00084</t>
  </si>
  <si>
    <t xml:space="preserve">T00085</t>
  </si>
  <si>
    <t xml:space="preserve">T00086</t>
  </si>
  <si>
    <t xml:space="preserve">T00087</t>
  </si>
  <si>
    <t xml:space="preserve">T00088</t>
  </si>
  <si>
    <t xml:space="preserve">T00089</t>
  </si>
  <si>
    <t xml:space="preserve">T00090</t>
  </si>
  <si>
    <t xml:space="preserve">T00091</t>
  </si>
  <si>
    <t xml:space="preserve">T00092</t>
  </si>
  <si>
    <t xml:space="preserve">T00093</t>
  </si>
  <si>
    <t xml:space="preserve">T00094</t>
  </si>
  <si>
    <t xml:space="preserve">T00095</t>
  </si>
  <si>
    <t xml:space="preserve">T00096</t>
  </si>
  <si>
    <t xml:space="preserve">T00097</t>
  </si>
  <si>
    <t xml:space="preserve">T00098</t>
  </si>
  <si>
    <t xml:space="preserve">T00099</t>
  </si>
  <si>
    <t xml:space="preserve">T00100</t>
  </si>
  <si>
    <t xml:space="preserve">T00101</t>
  </si>
  <si>
    <t xml:space="preserve">T00102</t>
  </si>
  <si>
    <t xml:space="preserve">T00103</t>
  </si>
  <si>
    <t xml:space="preserve">T00104</t>
  </si>
  <si>
    <t xml:space="preserve">T00105</t>
  </si>
  <si>
    <t xml:space="preserve">T00106</t>
  </si>
  <si>
    <t xml:space="preserve">T00107</t>
  </si>
  <si>
    <t xml:space="preserve">T00108</t>
  </si>
  <si>
    <t xml:space="preserve">T00109</t>
  </si>
  <si>
    <t xml:space="preserve">T00110</t>
  </si>
  <si>
    <t xml:space="preserve">T00111</t>
  </si>
  <si>
    <t xml:space="preserve">T00112</t>
  </si>
  <si>
    <t xml:space="preserve">T00113</t>
  </si>
  <si>
    <t xml:space="preserve">T00114</t>
  </si>
  <si>
    <t xml:space="preserve">T00115</t>
  </si>
  <si>
    <t xml:space="preserve">T00116</t>
  </si>
  <si>
    <t xml:space="preserve">T00117</t>
  </si>
  <si>
    <t xml:space="preserve">T00118</t>
  </si>
  <si>
    <t xml:space="preserve">T00119</t>
  </si>
  <si>
    <t xml:space="preserve">T00120</t>
  </si>
  <si>
    <t xml:space="preserve">T00121</t>
  </si>
  <si>
    <t xml:space="preserve">T00122</t>
  </si>
  <si>
    <t xml:space="preserve">T00123</t>
  </si>
  <si>
    <t xml:space="preserve">T00124</t>
  </si>
  <si>
    <t xml:space="preserve">T00125</t>
  </si>
  <si>
    <t xml:space="preserve">T00126</t>
  </si>
  <si>
    <t xml:space="preserve">T00127</t>
  </si>
  <si>
    <t xml:space="preserve">T00128</t>
  </si>
  <si>
    <t xml:space="preserve">T00129</t>
  </si>
  <si>
    <t xml:space="preserve">T00130</t>
  </si>
  <si>
    <t xml:space="preserve">T00131</t>
  </si>
  <si>
    <t xml:space="preserve">T00132</t>
  </si>
  <si>
    <t xml:space="preserve">T00133</t>
  </si>
  <si>
    <t xml:space="preserve">T00134</t>
  </si>
  <si>
    <t xml:space="preserve">T00135</t>
  </si>
  <si>
    <t xml:space="preserve">T00136</t>
  </si>
  <si>
    <t xml:space="preserve">T00137</t>
  </si>
  <si>
    <t xml:space="preserve">T00138</t>
  </si>
  <si>
    <t xml:space="preserve">T00139</t>
  </si>
  <si>
    <t xml:space="preserve">T00140</t>
  </si>
  <si>
    <t xml:space="preserve">T00141</t>
  </si>
  <si>
    <t xml:space="preserve">T00142</t>
  </si>
  <si>
    <t xml:space="preserve">T00143</t>
  </si>
  <si>
    <t xml:space="preserve">T00144</t>
  </si>
  <si>
    <t xml:space="preserve">T00145</t>
  </si>
  <si>
    <t xml:space="preserve">T00146</t>
  </si>
  <si>
    <t xml:space="preserve">T00147</t>
  </si>
  <si>
    <t xml:space="preserve">T00148</t>
  </si>
  <si>
    <t xml:space="preserve">T00149</t>
  </si>
  <si>
    <t xml:space="preserve">T00150</t>
  </si>
  <si>
    <t xml:space="preserve">T00151</t>
  </si>
  <si>
    <t xml:space="preserve">T00152</t>
  </si>
  <si>
    <t xml:space="preserve">T00153</t>
  </si>
  <si>
    <t xml:space="preserve">T00154</t>
  </si>
  <si>
    <t xml:space="preserve">T00155</t>
  </si>
  <si>
    <t xml:space="preserve">T00156</t>
  </si>
  <si>
    <t xml:space="preserve">T00157</t>
  </si>
  <si>
    <t xml:space="preserve">T00158</t>
  </si>
  <si>
    <t xml:space="preserve">T00159</t>
  </si>
  <si>
    <t xml:space="preserve">T00160</t>
  </si>
  <si>
    <t xml:space="preserve">T00161</t>
  </si>
  <si>
    <t xml:space="preserve">T00162</t>
  </si>
  <si>
    <t xml:space="preserve">T00163</t>
  </si>
  <si>
    <t xml:space="preserve">T00164</t>
  </si>
  <si>
    <t xml:space="preserve">T00165</t>
  </si>
  <si>
    <t xml:space="preserve">T00166</t>
  </si>
  <si>
    <t xml:space="preserve">T00167</t>
  </si>
  <si>
    <t xml:space="preserve">T00168</t>
  </si>
  <si>
    <t xml:space="preserve">T00169</t>
  </si>
  <si>
    <t xml:space="preserve">T00170</t>
  </si>
  <si>
    <t xml:space="preserve">T00171</t>
  </si>
  <si>
    <t xml:space="preserve">T00172</t>
  </si>
  <si>
    <t xml:space="preserve">T00173</t>
  </si>
  <si>
    <t xml:space="preserve">T00174</t>
  </si>
  <si>
    <t xml:space="preserve">T00175</t>
  </si>
  <si>
    <t xml:space="preserve">T00176</t>
  </si>
  <si>
    <t xml:space="preserve">T00177</t>
  </si>
  <si>
    <t xml:space="preserve">T00178</t>
  </si>
  <si>
    <t xml:space="preserve">T00179</t>
  </si>
  <si>
    <t xml:space="preserve">T00180</t>
  </si>
  <si>
    <t xml:space="preserve">T00181</t>
  </si>
  <si>
    <t xml:space="preserve">T00182</t>
  </si>
  <si>
    <t xml:space="preserve">T00183</t>
  </si>
  <si>
    <t xml:space="preserve">T00184</t>
  </si>
  <si>
    <t xml:space="preserve">T00185</t>
  </si>
  <si>
    <t xml:space="preserve">T00186</t>
  </si>
  <si>
    <t xml:space="preserve">T00187</t>
  </si>
  <si>
    <t xml:space="preserve">T00188</t>
  </si>
  <si>
    <t xml:space="preserve">T00189</t>
  </si>
  <si>
    <t xml:space="preserve">T00190</t>
  </si>
  <si>
    <t xml:space="preserve">T00191</t>
  </si>
  <si>
    <t xml:space="preserve">T00192</t>
  </si>
  <si>
    <t xml:space="preserve">T00193</t>
  </si>
  <si>
    <t xml:space="preserve">T00194</t>
  </si>
  <si>
    <t xml:space="preserve">T00195</t>
  </si>
  <si>
    <t xml:space="preserve">T00196</t>
  </si>
  <si>
    <t xml:space="preserve">T00197</t>
  </si>
  <si>
    <t xml:space="preserve">T00198</t>
  </si>
  <si>
    <t xml:space="preserve">T00199</t>
  </si>
  <si>
    <t xml:space="preserve">T00200</t>
  </si>
  <si>
    <t xml:space="preserve">T00201</t>
  </si>
  <si>
    <t xml:space="preserve">T00202</t>
  </si>
  <si>
    <t xml:space="preserve">T00203</t>
  </si>
  <si>
    <t xml:space="preserve">T00204</t>
  </si>
  <si>
    <t xml:space="preserve">T00205</t>
  </si>
  <si>
    <t xml:space="preserve">T00206</t>
  </si>
  <si>
    <t xml:space="preserve">T00207</t>
  </si>
  <si>
    <t xml:space="preserve">T00208</t>
  </si>
  <si>
    <t xml:space="preserve">T00209</t>
  </si>
  <si>
    <t xml:space="preserve">T00210</t>
  </si>
  <si>
    <t xml:space="preserve">T00211</t>
  </si>
  <si>
    <t xml:space="preserve">T00212</t>
  </si>
  <si>
    <t xml:space="preserve">T00213</t>
  </si>
  <si>
    <t xml:space="preserve">T00214</t>
  </si>
  <si>
    <t xml:space="preserve">T00215</t>
  </si>
  <si>
    <t xml:space="preserve">T00216</t>
  </si>
  <si>
    <t xml:space="preserve">T00217</t>
  </si>
  <si>
    <t xml:space="preserve">T00218</t>
  </si>
  <si>
    <t xml:space="preserve">T00219</t>
  </si>
  <si>
    <t xml:space="preserve">T00220</t>
  </si>
  <si>
    <t xml:space="preserve">T00221</t>
  </si>
  <si>
    <t xml:space="preserve">T00222</t>
  </si>
  <si>
    <t xml:space="preserve">T00223</t>
  </si>
  <si>
    <t xml:space="preserve">T00224</t>
  </si>
  <si>
    <t xml:space="preserve">T00225</t>
  </si>
  <si>
    <t xml:space="preserve">T00226</t>
  </si>
  <si>
    <t xml:space="preserve">T00227</t>
  </si>
  <si>
    <t xml:space="preserve">T00228</t>
  </si>
  <si>
    <t xml:space="preserve">T00229</t>
  </si>
  <si>
    <t xml:space="preserve">T00230</t>
  </si>
  <si>
    <t xml:space="preserve">T00231</t>
  </si>
  <si>
    <t xml:space="preserve">T00232</t>
  </si>
  <si>
    <t xml:space="preserve">T00233</t>
  </si>
  <si>
    <t xml:space="preserve">T00234</t>
  </si>
  <si>
    <t xml:space="preserve">T00235</t>
  </si>
  <si>
    <t xml:space="preserve">T00236</t>
  </si>
  <si>
    <t xml:space="preserve">T00237</t>
  </si>
  <si>
    <t xml:space="preserve">T00238</t>
  </si>
  <si>
    <t xml:space="preserve">T00239</t>
  </si>
  <si>
    <t xml:space="preserve">T00240</t>
  </si>
  <si>
    <t xml:space="preserve">T00241</t>
  </si>
  <si>
    <t xml:space="preserve">T00242</t>
  </si>
  <si>
    <t xml:space="preserve">T00243</t>
  </si>
  <si>
    <t xml:space="preserve">T00244</t>
  </si>
  <si>
    <t xml:space="preserve">T00245</t>
  </si>
  <si>
    <t xml:space="preserve">T00246</t>
  </si>
  <si>
    <t xml:space="preserve">T00247</t>
  </si>
  <si>
    <t xml:space="preserve">T00248</t>
  </si>
  <si>
    <t xml:space="preserve">T00249</t>
  </si>
  <si>
    <t xml:space="preserve">T00250</t>
  </si>
  <si>
    <t xml:space="preserve">T00251</t>
  </si>
  <si>
    <t xml:space="preserve">T00252</t>
  </si>
  <si>
    <t xml:space="preserve">T00253</t>
  </si>
  <si>
    <t xml:space="preserve">T00254</t>
  </si>
  <si>
    <t xml:space="preserve">T00255</t>
  </si>
  <si>
    <t xml:space="preserve">T00256</t>
  </si>
  <si>
    <t xml:space="preserve">T00257</t>
  </si>
  <si>
    <t xml:space="preserve">T00258</t>
  </si>
  <si>
    <t xml:space="preserve">T00259</t>
  </si>
  <si>
    <t xml:space="preserve">T00260</t>
  </si>
  <si>
    <t xml:space="preserve">T00261</t>
  </si>
  <si>
    <t xml:space="preserve">T00262</t>
  </si>
  <si>
    <t xml:space="preserve">T00263</t>
  </si>
  <si>
    <t xml:space="preserve">T00264</t>
  </si>
  <si>
    <t xml:space="preserve">T00265</t>
  </si>
  <si>
    <t xml:space="preserve">T00266</t>
  </si>
  <si>
    <t xml:space="preserve">T00267</t>
  </si>
  <si>
    <t xml:space="preserve">T00268</t>
  </si>
  <si>
    <t xml:space="preserve">T00269</t>
  </si>
  <si>
    <t xml:space="preserve">T00270</t>
  </si>
  <si>
    <t xml:space="preserve">T00271</t>
  </si>
  <si>
    <t xml:space="preserve">T00272</t>
  </si>
  <si>
    <t xml:space="preserve">T00273</t>
  </si>
  <si>
    <t xml:space="preserve">T00274</t>
  </si>
  <si>
    <t xml:space="preserve">T00275</t>
  </si>
  <si>
    <t xml:space="preserve">T00276</t>
  </si>
  <si>
    <t xml:space="preserve">T00277</t>
  </si>
  <si>
    <t xml:space="preserve">T00278</t>
  </si>
  <si>
    <t xml:space="preserve">T00279</t>
  </si>
  <si>
    <t xml:space="preserve">T00280</t>
  </si>
  <si>
    <t xml:space="preserve">T00281</t>
  </si>
  <si>
    <t xml:space="preserve">T00282</t>
  </si>
  <si>
    <t xml:space="preserve">T00283</t>
  </si>
  <si>
    <t xml:space="preserve">T00284</t>
  </si>
  <si>
    <t xml:space="preserve">T00285</t>
  </si>
  <si>
    <t xml:space="preserve">T00286</t>
  </si>
  <si>
    <t xml:space="preserve">T00287</t>
  </si>
  <si>
    <t xml:space="preserve">T00288</t>
  </si>
  <si>
    <t xml:space="preserve">T00289</t>
  </si>
  <si>
    <t xml:space="preserve">T00290</t>
  </si>
  <si>
    <t xml:space="preserve">T00291</t>
  </si>
  <si>
    <t xml:space="preserve">T00292</t>
  </si>
  <si>
    <t xml:space="preserve">T00293</t>
  </si>
  <si>
    <t xml:space="preserve">T00294</t>
  </si>
  <si>
    <t xml:space="preserve">T00295</t>
  </si>
  <si>
    <t xml:space="preserve">T00296</t>
  </si>
  <si>
    <t xml:space="preserve">T00297</t>
  </si>
  <si>
    <t xml:space="preserve">T00298</t>
  </si>
  <si>
    <t xml:space="preserve">T00299</t>
  </si>
  <si>
    <t xml:space="preserve">T00300</t>
  </si>
  <si>
    <t xml:space="preserve">T00301</t>
  </si>
  <si>
    <t xml:space="preserve">T00302</t>
  </si>
  <si>
    <t xml:space="preserve">T00303</t>
  </si>
  <si>
    <t xml:space="preserve">T00304</t>
  </si>
  <si>
    <t xml:space="preserve">T00305</t>
  </si>
  <si>
    <t xml:space="preserve">T00306</t>
  </si>
  <si>
    <t xml:space="preserve">T00307</t>
  </si>
  <si>
    <t xml:space="preserve">T00308</t>
  </si>
  <si>
    <t xml:space="preserve">T00309</t>
  </si>
  <si>
    <t xml:space="preserve">T00310</t>
  </si>
  <si>
    <t xml:space="preserve">T00311</t>
  </si>
  <si>
    <t xml:space="preserve">T00312</t>
  </si>
  <si>
    <t xml:space="preserve">T00313</t>
  </si>
  <si>
    <t xml:space="preserve">T00314</t>
  </si>
  <si>
    <t xml:space="preserve">T00315</t>
  </si>
  <si>
    <t xml:space="preserve">T00316</t>
  </si>
  <si>
    <t xml:space="preserve">T00317</t>
  </si>
  <si>
    <t xml:space="preserve">T00318</t>
  </si>
  <si>
    <t xml:space="preserve">T00319</t>
  </si>
  <si>
    <t xml:space="preserve">T00320</t>
  </si>
  <si>
    <t xml:space="preserve">T00321</t>
  </si>
  <si>
    <t xml:space="preserve">T00322</t>
  </si>
  <si>
    <t xml:space="preserve">T00323</t>
  </si>
  <si>
    <t xml:space="preserve">T00324</t>
  </si>
  <si>
    <t xml:space="preserve">T00325</t>
  </si>
  <si>
    <t xml:space="preserve">T00326</t>
  </si>
  <si>
    <t xml:space="preserve">T00327</t>
  </si>
  <si>
    <t xml:space="preserve">T00328</t>
  </si>
  <si>
    <t xml:space="preserve">T00329</t>
  </si>
  <si>
    <t xml:space="preserve">T00330</t>
  </si>
  <si>
    <t xml:space="preserve">T00331</t>
  </si>
  <si>
    <t xml:space="preserve">T00332</t>
  </si>
  <si>
    <t xml:space="preserve">T00333</t>
  </si>
  <si>
    <t xml:space="preserve">T00334</t>
  </si>
  <si>
    <t xml:space="preserve">T00335</t>
  </si>
  <si>
    <t xml:space="preserve">T00336</t>
  </si>
  <si>
    <t xml:space="preserve">T00337</t>
  </si>
  <si>
    <t xml:space="preserve">T00338</t>
  </si>
  <si>
    <t xml:space="preserve">T00339</t>
  </si>
  <si>
    <t xml:space="preserve">T00340</t>
  </si>
  <si>
    <t xml:space="preserve">T00341</t>
  </si>
  <si>
    <t xml:space="preserve">T00342</t>
  </si>
  <si>
    <t xml:space="preserve">T00343</t>
  </si>
  <si>
    <t xml:space="preserve">T00344</t>
  </si>
  <si>
    <t xml:space="preserve">T00345</t>
  </si>
  <si>
    <t xml:space="preserve">T00346</t>
  </si>
  <si>
    <t xml:space="preserve">T00347</t>
  </si>
  <si>
    <t xml:space="preserve">T00348</t>
  </si>
  <si>
    <t xml:space="preserve">T00349</t>
  </si>
  <si>
    <t xml:space="preserve">T00350</t>
  </si>
  <si>
    <t xml:space="preserve">T00351</t>
  </si>
  <si>
    <t xml:space="preserve">T00352</t>
  </si>
  <si>
    <t xml:space="preserve">T00353</t>
  </si>
  <si>
    <t xml:space="preserve">T00354</t>
  </si>
  <si>
    <t xml:space="preserve">T00355</t>
  </si>
  <si>
    <t xml:space="preserve">T00356</t>
  </si>
  <si>
    <t xml:space="preserve">T00357</t>
  </si>
  <si>
    <t xml:space="preserve">T00358</t>
  </si>
  <si>
    <t xml:space="preserve">T00359</t>
  </si>
  <si>
    <t xml:space="preserve">T00360</t>
  </si>
  <si>
    <t xml:space="preserve">T00361</t>
  </si>
  <si>
    <t xml:space="preserve">T00362</t>
  </si>
  <si>
    <t xml:space="preserve">T00363</t>
  </si>
  <si>
    <t xml:space="preserve">T00364</t>
  </si>
  <si>
    <t xml:space="preserve">T00365</t>
  </si>
  <si>
    <t xml:space="preserve">T00366</t>
  </si>
  <si>
    <t xml:space="preserve">T00367</t>
  </si>
  <si>
    <t xml:space="preserve">T00368</t>
  </si>
  <si>
    <t xml:space="preserve">T00369</t>
  </si>
  <si>
    <t xml:space="preserve">T00370</t>
  </si>
  <si>
    <t xml:space="preserve">T00371</t>
  </si>
  <si>
    <t xml:space="preserve">T00372</t>
  </si>
  <si>
    <t xml:space="preserve">T00373</t>
  </si>
  <si>
    <t xml:space="preserve">T00374</t>
  </si>
  <si>
    <t xml:space="preserve">T00375</t>
  </si>
  <si>
    <t xml:space="preserve">T00376</t>
  </si>
  <si>
    <t xml:space="preserve">T00377</t>
  </si>
  <si>
    <t xml:space="preserve">T00378</t>
  </si>
  <si>
    <t xml:space="preserve">T00379</t>
  </si>
  <si>
    <t xml:space="preserve">T00380</t>
  </si>
  <si>
    <t xml:space="preserve">T00381</t>
  </si>
  <si>
    <t xml:space="preserve">T00382</t>
  </si>
  <si>
    <t xml:space="preserve">T00383</t>
  </si>
  <si>
    <t xml:space="preserve">T00384</t>
  </si>
  <si>
    <t xml:space="preserve">T00385</t>
  </si>
  <si>
    <t xml:space="preserve">T00386</t>
  </si>
  <si>
    <t xml:space="preserve">T00387</t>
  </si>
  <si>
    <t xml:space="preserve">T00388</t>
  </si>
  <si>
    <t xml:space="preserve">T00389</t>
  </si>
  <si>
    <t xml:space="preserve">T00390</t>
  </si>
  <si>
    <t xml:space="preserve">T00391</t>
  </si>
  <si>
    <t xml:space="preserve">T00392</t>
  </si>
  <si>
    <t xml:space="preserve">T00393</t>
  </si>
  <si>
    <t xml:space="preserve">T00394</t>
  </si>
  <si>
    <t xml:space="preserve">T00395</t>
  </si>
  <si>
    <t xml:space="preserve">T00396</t>
  </si>
  <si>
    <t xml:space="preserve">T00397</t>
  </si>
  <si>
    <t xml:space="preserve">T00398</t>
  </si>
  <si>
    <t xml:space="preserve">T00399</t>
  </si>
  <si>
    <t xml:space="preserve">T00400</t>
  </si>
  <si>
    <t xml:space="preserve">T00401</t>
  </si>
  <si>
    <t xml:space="preserve">T00402</t>
  </si>
  <si>
    <t xml:space="preserve">T00403</t>
  </si>
  <si>
    <t xml:space="preserve">T00404</t>
  </si>
  <si>
    <t xml:space="preserve">T00405</t>
  </si>
  <si>
    <t xml:space="preserve">T00406</t>
  </si>
  <si>
    <t xml:space="preserve">T00407</t>
  </si>
  <si>
    <t xml:space="preserve">T00408</t>
  </si>
  <si>
    <t xml:space="preserve">T00409</t>
  </si>
  <si>
    <t xml:space="preserve">T00410</t>
  </si>
  <si>
    <t xml:space="preserve">T00411</t>
  </si>
  <si>
    <t xml:space="preserve">T00412</t>
  </si>
  <si>
    <t xml:space="preserve">T00413</t>
  </si>
  <si>
    <t xml:space="preserve">T00414</t>
  </si>
  <si>
    <t xml:space="preserve">T00415</t>
  </si>
  <si>
    <t xml:space="preserve">T00416</t>
  </si>
  <si>
    <t xml:space="preserve">T00417</t>
  </si>
  <si>
    <t xml:space="preserve">T00418</t>
  </si>
  <si>
    <t xml:space="preserve">T00419</t>
  </si>
  <si>
    <t xml:space="preserve">T00420</t>
  </si>
  <si>
    <t xml:space="preserve">T00421</t>
  </si>
  <si>
    <t xml:space="preserve">T00422</t>
  </si>
  <si>
    <t xml:space="preserve">T00423</t>
  </si>
  <si>
    <t xml:space="preserve">T00424</t>
  </si>
  <si>
    <t xml:space="preserve">T00425</t>
  </si>
  <si>
    <t xml:space="preserve">T00426</t>
  </si>
  <si>
    <t xml:space="preserve">T00427</t>
  </si>
  <si>
    <t xml:space="preserve">T00428</t>
  </si>
  <si>
    <t xml:space="preserve">T00429</t>
  </si>
  <si>
    <t xml:space="preserve">T00430</t>
  </si>
  <si>
    <t xml:space="preserve">T00431</t>
  </si>
  <si>
    <t xml:space="preserve">T00432</t>
  </si>
  <si>
    <t xml:space="preserve">T00433</t>
  </si>
  <si>
    <t xml:space="preserve">T00434</t>
  </si>
  <si>
    <t xml:space="preserve">T00435</t>
  </si>
  <si>
    <t xml:space="preserve">T00436</t>
  </si>
  <si>
    <t xml:space="preserve">T00437</t>
  </si>
  <si>
    <t xml:space="preserve">T00438</t>
  </si>
  <si>
    <t xml:space="preserve">T00439</t>
  </si>
  <si>
    <t xml:space="preserve">T00440</t>
  </si>
  <si>
    <t xml:space="preserve">T00441</t>
  </si>
  <si>
    <t xml:space="preserve">T00442</t>
  </si>
  <si>
    <t xml:space="preserve">T00443</t>
  </si>
  <si>
    <t xml:space="preserve">T00444</t>
  </si>
  <si>
    <t xml:space="preserve">T00445</t>
  </si>
  <si>
    <t xml:space="preserve">T00446</t>
  </si>
  <si>
    <t xml:space="preserve">T00447</t>
  </si>
  <si>
    <t xml:space="preserve">T00448</t>
  </si>
  <si>
    <t xml:space="preserve">T00449</t>
  </si>
  <si>
    <t xml:space="preserve">T00450</t>
  </si>
  <si>
    <t xml:space="preserve">T00451</t>
  </si>
  <si>
    <t xml:space="preserve">T00452</t>
  </si>
  <si>
    <t xml:space="preserve">T00453</t>
  </si>
  <si>
    <t xml:space="preserve">T00454</t>
  </si>
  <si>
    <t xml:space="preserve">T00455</t>
  </si>
  <si>
    <t xml:space="preserve">T00456</t>
  </si>
  <si>
    <t xml:space="preserve">T00457</t>
  </si>
  <si>
    <t xml:space="preserve">T00458</t>
  </si>
  <si>
    <t xml:space="preserve">T00459</t>
  </si>
  <si>
    <t xml:space="preserve">T00460</t>
  </si>
  <si>
    <t xml:space="preserve">T00461</t>
  </si>
  <si>
    <t xml:space="preserve">T00462</t>
  </si>
  <si>
    <t xml:space="preserve">T00463</t>
  </si>
  <si>
    <t xml:space="preserve">T00464</t>
  </si>
  <si>
    <t xml:space="preserve">T00465</t>
  </si>
  <si>
    <t xml:space="preserve">T00466</t>
  </si>
  <si>
    <t xml:space="preserve">T00467</t>
  </si>
  <si>
    <t xml:space="preserve">T00468</t>
  </si>
  <si>
    <t xml:space="preserve">T00469</t>
  </si>
  <si>
    <t xml:space="preserve">T00470</t>
  </si>
  <si>
    <t xml:space="preserve">T00471</t>
  </si>
  <si>
    <t xml:space="preserve">T00472</t>
  </si>
  <si>
    <t xml:space="preserve">T00473</t>
  </si>
  <si>
    <t xml:space="preserve">T00474</t>
  </si>
  <si>
    <t xml:space="preserve">T00475</t>
  </si>
  <si>
    <t xml:space="preserve">T00476</t>
  </si>
  <si>
    <t xml:space="preserve">T00477</t>
  </si>
  <si>
    <t xml:space="preserve">T00478</t>
  </si>
  <si>
    <t xml:space="preserve">T00479</t>
  </si>
  <si>
    <t xml:space="preserve">T00480</t>
  </si>
  <si>
    <t xml:space="preserve">T00481</t>
  </si>
  <si>
    <t xml:space="preserve">T00482</t>
  </si>
  <si>
    <t xml:space="preserve">T00483</t>
  </si>
  <si>
    <t xml:space="preserve">T00484</t>
  </si>
  <si>
    <t xml:space="preserve">T00485</t>
  </si>
  <si>
    <t xml:space="preserve">T00486</t>
  </si>
  <si>
    <t xml:space="preserve">T00487</t>
  </si>
  <si>
    <t xml:space="preserve">T00488</t>
  </si>
  <si>
    <t xml:space="preserve">T00489</t>
  </si>
  <si>
    <t xml:space="preserve">T00490</t>
  </si>
  <si>
    <t xml:space="preserve">T00491</t>
  </si>
  <si>
    <t xml:space="preserve">T00492</t>
  </si>
  <si>
    <t xml:space="preserve">T00493</t>
  </si>
  <si>
    <t xml:space="preserve">T00494</t>
  </si>
  <si>
    <t xml:space="preserve">T00495</t>
  </si>
  <si>
    <t xml:space="preserve">T00496</t>
  </si>
  <si>
    <t xml:space="preserve">T00497</t>
  </si>
  <si>
    <t xml:space="preserve">T00498</t>
  </si>
  <si>
    <t xml:space="preserve">T00499</t>
  </si>
  <si>
    <t xml:space="preserve">T00500</t>
  </si>
  <si>
    <t xml:space="preserve">T00501</t>
  </si>
  <si>
    <t xml:space="preserve">T00502</t>
  </si>
  <si>
    <t xml:space="preserve">T00503</t>
  </si>
  <si>
    <t xml:space="preserve">T00504</t>
  </si>
  <si>
    <t xml:space="preserve">T00505</t>
  </si>
  <si>
    <t xml:space="preserve">T00506</t>
  </si>
  <si>
    <t xml:space="preserve">T00507</t>
  </si>
  <si>
    <t xml:space="preserve">T00508</t>
  </si>
  <si>
    <t xml:space="preserve">T00509</t>
  </si>
  <si>
    <t xml:space="preserve">T00510</t>
  </si>
  <si>
    <t xml:space="preserve">T00511</t>
  </si>
  <si>
    <t xml:space="preserve">T00512</t>
  </si>
  <si>
    <t xml:space="preserve">T00513</t>
  </si>
  <si>
    <t xml:space="preserve">T00514</t>
  </si>
  <si>
    <t xml:space="preserve">T00515</t>
  </si>
  <si>
    <t xml:space="preserve">T00516</t>
  </si>
  <si>
    <t xml:space="preserve">T00517</t>
  </si>
  <si>
    <t xml:space="preserve">T00518</t>
  </si>
  <si>
    <t xml:space="preserve">T00519</t>
  </si>
  <si>
    <t xml:space="preserve">T00520</t>
  </si>
  <si>
    <t xml:space="preserve">T00521</t>
  </si>
  <si>
    <t xml:space="preserve">T00522</t>
  </si>
  <si>
    <t xml:space="preserve">T00523</t>
  </si>
  <si>
    <t xml:space="preserve">T00524</t>
  </si>
  <si>
    <t xml:space="preserve">T00525</t>
  </si>
  <si>
    <t xml:space="preserve">T00526</t>
  </si>
  <si>
    <t xml:space="preserve">T00527</t>
  </si>
  <si>
    <t xml:space="preserve">T00528</t>
  </si>
  <si>
    <t xml:space="preserve">T00529</t>
  </si>
  <si>
    <t xml:space="preserve">T00530</t>
  </si>
  <si>
    <t xml:space="preserve">T00531</t>
  </si>
  <si>
    <t xml:space="preserve">T00532</t>
  </si>
  <si>
    <t xml:space="preserve">T00533</t>
  </si>
  <si>
    <t xml:space="preserve">T00534</t>
  </si>
  <si>
    <t xml:space="preserve">T00535</t>
  </si>
  <si>
    <t xml:space="preserve">T00536</t>
  </si>
  <si>
    <t xml:space="preserve">T00537</t>
  </si>
  <si>
    <t xml:space="preserve">T00538</t>
  </si>
  <si>
    <t xml:space="preserve">T00539</t>
  </si>
  <si>
    <t xml:space="preserve">T00540</t>
  </si>
  <si>
    <t xml:space="preserve">T00541</t>
  </si>
  <si>
    <t xml:space="preserve">T00542</t>
  </si>
  <si>
    <t xml:space="preserve">T00543</t>
  </si>
  <si>
    <t xml:space="preserve">T00544</t>
  </si>
  <si>
    <t xml:space="preserve">T00545</t>
  </si>
  <si>
    <t xml:space="preserve">T00546</t>
  </si>
  <si>
    <t xml:space="preserve">T00547</t>
  </si>
  <si>
    <t xml:space="preserve">T00548</t>
  </si>
  <si>
    <t xml:space="preserve">T00549</t>
  </si>
  <si>
    <t xml:space="preserve">T00550</t>
  </si>
  <si>
    <t xml:space="preserve">T00551</t>
  </si>
  <si>
    <t xml:space="preserve">T00552</t>
  </si>
  <si>
    <t xml:space="preserve">T00553</t>
  </si>
  <si>
    <t xml:space="preserve">T00554</t>
  </si>
  <si>
    <t xml:space="preserve">T00555</t>
  </si>
  <si>
    <t xml:space="preserve">T00556</t>
  </si>
  <si>
    <t xml:space="preserve">T00557</t>
  </si>
  <si>
    <t xml:space="preserve">T00558</t>
  </si>
  <si>
    <t xml:space="preserve">T00559</t>
  </si>
  <si>
    <t xml:space="preserve">T00560</t>
  </si>
  <si>
    <t xml:space="preserve">T00561</t>
  </si>
  <si>
    <t xml:space="preserve">T00562</t>
  </si>
  <si>
    <t xml:space="preserve">T00563</t>
  </si>
  <si>
    <t xml:space="preserve">T00564</t>
  </si>
  <si>
    <t xml:space="preserve">T00565</t>
  </si>
  <si>
    <t xml:space="preserve">T00566</t>
  </si>
  <si>
    <t xml:space="preserve">T00567</t>
  </si>
  <si>
    <t xml:space="preserve">T00568</t>
  </si>
  <si>
    <t xml:space="preserve">T00569</t>
  </si>
  <si>
    <t xml:space="preserve">T00570</t>
  </si>
  <si>
    <t xml:space="preserve">T00571</t>
  </si>
  <si>
    <t xml:space="preserve">T00572</t>
  </si>
  <si>
    <t xml:space="preserve">T00573</t>
  </si>
  <si>
    <t xml:space="preserve">T00574</t>
  </si>
  <si>
    <t xml:space="preserve">T00575</t>
  </si>
  <si>
    <t xml:space="preserve">T00576</t>
  </si>
  <si>
    <t xml:space="preserve">T00577</t>
  </si>
  <si>
    <t xml:space="preserve">T00578</t>
  </si>
  <si>
    <t xml:space="preserve">T00579</t>
  </si>
  <si>
    <t xml:space="preserve">T00580</t>
  </si>
  <si>
    <t xml:space="preserve">T00581</t>
  </si>
  <si>
    <t xml:space="preserve">T00582</t>
  </si>
  <si>
    <t xml:space="preserve">T00583</t>
  </si>
  <si>
    <t xml:space="preserve">T00584</t>
  </si>
  <si>
    <t xml:space="preserve">T00585</t>
  </si>
  <si>
    <t xml:space="preserve">T00586</t>
  </si>
  <si>
    <t xml:space="preserve">T00587</t>
  </si>
  <si>
    <t xml:space="preserve">T00588</t>
  </si>
  <si>
    <t xml:space="preserve">T00589</t>
  </si>
  <si>
    <t xml:space="preserve">T00590</t>
  </si>
  <si>
    <t xml:space="preserve">T00591</t>
  </si>
  <si>
    <t xml:space="preserve">T00592</t>
  </si>
  <si>
    <t xml:space="preserve">T00593</t>
  </si>
  <si>
    <t xml:space="preserve">T00594</t>
  </si>
  <si>
    <t xml:space="preserve">T00595</t>
  </si>
  <si>
    <t xml:space="preserve">T00596</t>
  </si>
  <si>
    <t xml:space="preserve">T00597</t>
  </si>
  <si>
    <t xml:space="preserve">T00598</t>
  </si>
  <si>
    <t xml:space="preserve">T00599</t>
  </si>
  <si>
    <t xml:space="preserve">T00600</t>
  </si>
  <si>
    <t xml:space="preserve">T00601</t>
  </si>
  <si>
    <t xml:space="preserve">T00602</t>
  </si>
  <si>
    <t xml:space="preserve">T00603</t>
  </si>
  <si>
    <t xml:space="preserve">T00604</t>
  </si>
  <si>
    <t xml:space="preserve">T00605</t>
  </si>
  <si>
    <t xml:space="preserve">T00606</t>
  </si>
  <si>
    <t xml:space="preserve">T00607</t>
  </si>
  <si>
    <t xml:space="preserve">T00608</t>
  </si>
  <si>
    <t xml:space="preserve">T00609</t>
  </si>
  <si>
    <t xml:space="preserve">T00610</t>
  </si>
  <si>
    <t xml:space="preserve">T00611</t>
  </si>
  <si>
    <t xml:space="preserve">T00612</t>
  </si>
  <si>
    <t xml:space="preserve">T00613</t>
  </si>
  <si>
    <t xml:space="preserve">T00614</t>
  </si>
  <si>
    <t xml:space="preserve">T00615</t>
  </si>
  <si>
    <t xml:space="preserve">T00616</t>
  </si>
  <si>
    <t xml:space="preserve">T00617</t>
  </si>
  <si>
    <t xml:space="preserve">T00618</t>
  </si>
  <si>
    <t xml:space="preserve">T00619</t>
  </si>
  <si>
    <t xml:space="preserve">T00620</t>
  </si>
  <si>
    <t xml:space="preserve">T00621</t>
  </si>
  <si>
    <t xml:space="preserve">T00622</t>
  </si>
  <si>
    <t xml:space="preserve">T00623</t>
  </si>
  <si>
    <t xml:space="preserve">T00624</t>
  </si>
  <si>
    <t xml:space="preserve">T00625</t>
  </si>
  <si>
    <t xml:space="preserve">T00626</t>
  </si>
  <si>
    <t xml:space="preserve">T00627</t>
  </si>
  <si>
    <t xml:space="preserve">T00628</t>
  </si>
  <si>
    <t xml:space="preserve">T00629</t>
  </si>
  <si>
    <t xml:space="preserve">T00630</t>
  </si>
  <si>
    <t xml:space="preserve">T00631</t>
  </si>
  <si>
    <t xml:space="preserve">T00632</t>
  </si>
  <si>
    <t xml:space="preserve">T00633</t>
  </si>
  <si>
    <t xml:space="preserve">T00634</t>
  </si>
  <si>
    <t xml:space="preserve">T00635</t>
  </si>
  <si>
    <t xml:space="preserve">T00636</t>
  </si>
  <si>
    <t xml:space="preserve">T00637</t>
  </si>
  <si>
    <t xml:space="preserve">T00638</t>
  </si>
  <si>
    <t xml:space="preserve">T00639</t>
  </si>
  <si>
    <t xml:space="preserve">T00640</t>
  </si>
  <si>
    <t xml:space="preserve">T00641</t>
  </si>
  <si>
    <t xml:space="preserve">T00642</t>
  </si>
  <si>
    <t xml:space="preserve">T00643</t>
  </si>
  <si>
    <t xml:space="preserve">T00644</t>
  </si>
  <si>
    <t xml:space="preserve">T00645</t>
  </si>
  <si>
    <t xml:space="preserve">T00646</t>
  </si>
  <si>
    <t xml:space="preserve">T00647</t>
  </si>
  <si>
    <t xml:space="preserve">T00648</t>
  </si>
  <si>
    <t xml:space="preserve">T00649</t>
  </si>
  <si>
    <t xml:space="preserve">T00650</t>
  </si>
  <si>
    <t xml:space="preserve">T00651</t>
  </si>
  <si>
    <t xml:space="preserve">T00652</t>
  </si>
  <si>
    <t xml:space="preserve">T00653</t>
  </si>
  <si>
    <t xml:space="preserve">T00654</t>
  </si>
  <si>
    <t xml:space="preserve">T00655</t>
  </si>
  <si>
    <t xml:space="preserve">T00656</t>
  </si>
  <si>
    <t xml:space="preserve">T00657</t>
  </si>
  <si>
    <t xml:space="preserve">T00658</t>
  </si>
  <si>
    <t xml:space="preserve">T00659</t>
  </si>
  <si>
    <t xml:space="preserve">T00660</t>
  </si>
  <si>
    <t xml:space="preserve">T00661</t>
  </si>
  <si>
    <t xml:space="preserve">T00662</t>
  </si>
  <si>
    <t xml:space="preserve">T00663</t>
  </si>
  <si>
    <t xml:space="preserve">T00664</t>
  </si>
  <si>
    <t xml:space="preserve">T00665</t>
  </si>
  <si>
    <t xml:space="preserve">T00666</t>
  </si>
  <si>
    <t xml:space="preserve">T00667</t>
  </si>
  <si>
    <t xml:space="preserve">T00668</t>
  </si>
  <si>
    <t xml:space="preserve">T00669</t>
  </si>
  <si>
    <t xml:space="preserve">T00670</t>
  </si>
  <si>
    <t xml:space="preserve">T00671</t>
  </si>
  <si>
    <t xml:space="preserve">T00672</t>
  </si>
  <si>
    <t xml:space="preserve">T00673</t>
  </si>
  <si>
    <t xml:space="preserve">T00674</t>
  </si>
  <si>
    <t xml:space="preserve">T00675</t>
  </si>
  <si>
    <t xml:space="preserve">T00676</t>
  </si>
  <si>
    <t xml:space="preserve">T00677</t>
  </si>
  <si>
    <t xml:space="preserve">T00678</t>
  </si>
  <si>
    <t xml:space="preserve">T00679</t>
  </si>
  <si>
    <t xml:space="preserve">T00680</t>
  </si>
  <si>
    <t xml:space="preserve">T00681</t>
  </si>
  <si>
    <t xml:space="preserve">T00682</t>
  </si>
  <si>
    <t xml:space="preserve">T00683</t>
  </si>
  <si>
    <t xml:space="preserve">T00684</t>
  </si>
  <si>
    <t xml:space="preserve">T00685</t>
  </si>
  <si>
    <t xml:space="preserve">T00686</t>
  </si>
  <si>
    <t xml:space="preserve">T00687</t>
  </si>
  <si>
    <t xml:space="preserve">T00688</t>
  </si>
  <si>
    <t xml:space="preserve">T00689</t>
  </si>
  <si>
    <t xml:space="preserve">T00690</t>
  </si>
  <si>
    <t xml:space="preserve">T00691</t>
  </si>
  <si>
    <t xml:space="preserve">T00692</t>
  </si>
  <si>
    <t xml:space="preserve">T00693</t>
  </si>
  <si>
    <t xml:space="preserve">T00694</t>
  </si>
  <si>
    <t xml:space="preserve">T00695</t>
  </si>
  <si>
    <t xml:space="preserve">T00696</t>
  </si>
  <si>
    <t xml:space="preserve">T00697</t>
  </si>
  <si>
    <t xml:space="preserve">T00698</t>
  </si>
  <si>
    <t xml:space="preserve">T00699</t>
  </si>
  <si>
    <t xml:space="preserve">T00700</t>
  </si>
  <si>
    <t xml:space="preserve">T00701</t>
  </si>
  <si>
    <t xml:space="preserve">T00702</t>
  </si>
  <si>
    <t xml:space="preserve">T00703</t>
  </si>
  <si>
    <t xml:space="preserve">T00704</t>
  </si>
  <si>
    <t xml:space="preserve">T00705</t>
  </si>
  <si>
    <t xml:space="preserve">T00706</t>
  </si>
  <si>
    <t xml:space="preserve">T00707</t>
  </si>
  <si>
    <t xml:space="preserve">T00708</t>
  </si>
  <si>
    <t xml:space="preserve">T00709</t>
  </si>
  <si>
    <t xml:space="preserve">T00710</t>
  </si>
  <si>
    <t xml:space="preserve">T00711</t>
  </si>
  <si>
    <t xml:space="preserve">T00712</t>
  </si>
  <si>
    <t xml:space="preserve">T00713</t>
  </si>
  <si>
    <t xml:space="preserve">T00714</t>
  </si>
  <si>
    <t xml:space="preserve">T00715</t>
  </si>
  <si>
    <t xml:space="preserve">T00716</t>
  </si>
  <si>
    <t xml:space="preserve">T00717</t>
  </si>
  <si>
    <t xml:space="preserve">T00718</t>
  </si>
  <si>
    <t xml:space="preserve">T00719</t>
  </si>
  <si>
    <t xml:space="preserve">T00720</t>
  </si>
  <si>
    <t xml:space="preserve">T00721</t>
  </si>
  <si>
    <t xml:space="preserve">T00722</t>
  </si>
  <si>
    <t xml:space="preserve">T00723</t>
  </si>
  <si>
    <t xml:space="preserve">T00724</t>
  </si>
  <si>
    <t xml:space="preserve">T00725</t>
  </si>
  <si>
    <t xml:space="preserve">T00726</t>
  </si>
  <si>
    <t xml:space="preserve">T00727</t>
  </si>
  <si>
    <t xml:space="preserve">T00728</t>
  </si>
  <si>
    <t xml:space="preserve">T00729</t>
  </si>
  <si>
    <t xml:space="preserve">T00730</t>
  </si>
  <si>
    <t xml:space="preserve">T00731</t>
  </si>
  <si>
    <t xml:space="preserve">T00732</t>
  </si>
  <si>
    <t xml:space="preserve">T00733</t>
  </si>
  <si>
    <t xml:space="preserve">T00734</t>
  </si>
  <si>
    <t xml:space="preserve">T00735</t>
  </si>
  <si>
    <t xml:space="preserve">T00736</t>
  </si>
  <si>
    <t xml:space="preserve">T00737</t>
  </si>
  <si>
    <t xml:space="preserve">T00738</t>
  </si>
  <si>
    <t xml:space="preserve">T00739</t>
  </si>
  <si>
    <t xml:space="preserve">T00740</t>
  </si>
  <si>
    <t xml:space="preserve">T00741</t>
  </si>
  <si>
    <t xml:space="preserve">T00742</t>
  </si>
  <si>
    <t xml:space="preserve">T00743</t>
  </si>
  <si>
    <t xml:space="preserve">T00744</t>
  </si>
  <si>
    <t xml:space="preserve">T00745</t>
  </si>
  <si>
    <t xml:space="preserve">T00746</t>
  </si>
  <si>
    <t xml:space="preserve">T00747</t>
  </si>
  <si>
    <t xml:space="preserve">T00748</t>
  </si>
  <si>
    <t xml:space="preserve">T00749</t>
  </si>
  <si>
    <t xml:space="preserve">T00750</t>
  </si>
  <si>
    <t xml:space="preserve">T00751</t>
  </si>
  <si>
    <t xml:space="preserve">T00752</t>
  </si>
  <si>
    <t xml:space="preserve">T00753</t>
  </si>
  <si>
    <t xml:space="preserve">T00754</t>
  </si>
  <si>
    <t xml:space="preserve">T00755</t>
  </si>
  <si>
    <t xml:space="preserve">T00756</t>
  </si>
  <si>
    <t xml:space="preserve">T00757</t>
  </si>
  <si>
    <t xml:space="preserve">T00758</t>
  </si>
  <si>
    <t xml:space="preserve">T00759</t>
  </si>
  <si>
    <t xml:space="preserve">T00760</t>
  </si>
  <si>
    <t xml:space="preserve">T00761</t>
  </si>
  <si>
    <t xml:space="preserve">T00762</t>
  </si>
  <si>
    <t xml:space="preserve">T00763</t>
  </si>
  <si>
    <t xml:space="preserve">T00764</t>
  </si>
  <si>
    <t xml:space="preserve">T00765</t>
  </si>
  <si>
    <t xml:space="preserve">T00766</t>
  </si>
  <si>
    <t xml:space="preserve">T00767</t>
  </si>
  <si>
    <t xml:space="preserve">T00768</t>
  </si>
  <si>
    <t xml:space="preserve">T00769</t>
  </si>
  <si>
    <t xml:space="preserve">T00770</t>
  </si>
  <si>
    <t xml:space="preserve">T00771</t>
  </si>
  <si>
    <t xml:space="preserve">T00772</t>
  </si>
  <si>
    <t xml:space="preserve">T00773</t>
  </si>
  <si>
    <t xml:space="preserve">T00774</t>
  </si>
  <si>
    <t xml:space="preserve">T00775</t>
  </si>
  <si>
    <t xml:space="preserve">T00776</t>
  </si>
  <si>
    <t xml:space="preserve">T00777</t>
  </si>
  <si>
    <t xml:space="preserve">T00778</t>
  </si>
  <si>
    <t xml:space="preserve">T00779</t>
  </si>
  <si>
    <t xml:space="preserve">T00780</t>
  </si>
  <si>
    <t xml:space="preserve">T00781</t>
  </si>
  <si>
    <t xml:space="preserve">T00782</t>
  </si>
  <si>
    <t xml:space="preserve">T00783</t>
  </si>
  <si>
    <t xml:space="preserve">T00784</t>
  </si>
  <si>
    <t xml:space="preserve">T00785</t>
  </si>
  <si>
    <t xml:space="preserve">T00786</t>
  </si>
  <si>
    <t xml:space="preserve">T00787</t>
  </si>
  <si>
    <t xml:space="preserve">T00788</t>
  </si>
  <si>
    <t xml:space="preserve">T00789</t>
  </si>
  <si>
    <t xml:space="preserve">T00790</t>
  </si>
  <si>
    <t xml:space="preserve">T00791</t>
  </si>
  <si>
    <t xml:space="preserve">T00792</t>
  </si>
  <si>
    <t xml:space="preserve">T00793</t>
  </si>
  <si>
    <t xml:space="preserve">T00794</t>
  </si>
  <si>
    <t xml:space="preserve">T00795</t>
  </si>
  <si>
    <t xml:space="preserve">T00796</t>
  </si>
  <si>
    <t xml:space="preserve">T00797</t>
  </si>
  <si>
    <t xml:space="preserve">T00798</t>
  </si>
  <si>
    <t xml:space="preserve">T00799</t>
  </si>
  <si>
    <t xml:space="preserve">T00800</t>
  </si>
  <si>
    <t xml:space="preserve">T00801</t>
  </si>
  <si>
    <t xml:space="preserve">T00802</t>
  </si>
  <si>
    <t xml:space="preserve">T00803</t>
  </si>
  <si>
    <t xml:space="preserve">T00804</t>
  </si>
  <si>
    <t xml:space="preserve">T00805</t>
  </si>
  <si>
    <t xml:space="preserve">T00806</t>
  </si>
  <si>
    <t xml:space="preserve">T00807</t>
  </si>
  <si>
    <t xml:space="preserve">T00808</t>
  </si>
  <si>
    <t xml:space="preserve">T00809</t>
  </si>
  <si>
    <t xml:space="preserve">T00810</t>
  </si>
  <si>
    <t xml:space="preserve">T00811</t>
  </si>
  <si>
    <t xml:space="preserve">T00812</t>
  </si>
  <si>
    <t xml:space="preserve">T00813</t>
  </si>
  <si>
    <t xml:space="preserve">T00814</t>
  </si>
  <si>
    <t xml:space="preserve">T00815</t>
  </si>
  <si>
    <t xml:space="preserve">T00816</t>
  </si>
  <si>
    <t xml:space="preserve">T00817</t>
  </si>
  <si>
    <t xml:space="preserve">T00818</t>
  </si>
  <si>
    <t xml:space="preserve">T00819</t>
  </si>
  <si>
    <t xml:space="preserve">T00820</t>
  </si>
  <si>
    <t xml:space="preserve">T00821</t>
  </si>
  <si>
    <t xml:space="preserve">T00822</t>
  </si>
  <si>
    <t xml:space="preserve">T00823</t>
  </si>
  <si>
    <t xml:space="preserve">T00824</t>
  </si>
  <si>
    <t xml:space="preserve">T00825</t>
  </si>
  <si>
    <t xml:space="preserve">T00826</t>
  </si>
  <si>
    <t xml:space="preserve">T00827</t>
  </si>
  <si>
    <t xml:space="preserve">T00828</t>
  </si>
  <si>
    <t xml:space="preserve">T00829</t>
  </si>
  <si>
    <t xml:space="preserve">T00830</t>
  </si>
  <si>
    <t xml:space="preserve">T00831</t>
  </si>
  <si>
    <t xml:space="preserve">T00832</t>
  </si>
  <si>
    <t xml:space="preserve">T00833</t>
  </si>
  <si>
    <t xml:space="preserve">T00834</t>
  </si>
  <si>
    <t xml:space="preserve">T00835</t>
  </si>
  <si>
    <t xml:space="preserve">T00836</t>
  </si>
  <si>
    <t xml:space="preserve">T00837</t>
  </si>
  <si>
    <t xml:space="preserve">T00838</t>
  </si>
  <si>
    <t xml:space="preserve">T00839</t>
  </si>
  <si>
    <t xml:space="preserve">T00840</t>
  </si>
  <si>
    <t xml:space="preserve">T00841</t>
  </si>
  <si>
    <t xml:space="preserve">T00842</t>
  </si>
  <si>
    <t xml:space="preserve">T00843</t>
  </si>
  <si>
    <t xml:space="preserve">T00844</t>
  </si>
  <si>
    <t xml:space="preserve">T00845</t>
  </si>
  <si>
    <t xml:space="preserve">T00846</t>
  </si>
  <si>
    <t xml:space="preserve">T00847</t>
  </si>
  <si>
    <t xml:space="preserve">T00848</t>
  </si>
  <si>
    <t xml:space="preserve">T00849</t>
  </si>
  <si>
    <t xml:space="preserve">T00850</t>
  </si>
  <si>
    <t xml:space="preserve">T00851</t>
  </si>
  <si>
    <t xml:space="preserve">T00852</t>
  </si>
  <si>
    <t xml:space="preserve">T00853</t>
  </si>
  <si>
    <t xml:space="preserve">T00854</t>
  </si>
  <si>
    <t xml:space="preserve">T00855</t>
  </si>
  <si>
    <t xml:space="preserve">T00856</t>
  </si>
  <si>
    <t xml:space="preserve">T00857</t>
  </si>
  <si>
    <t xml:space="preserve">T00858</t>
  </si>
  <si>
    <t xml:space="preserve">T00859</t>
  </si>
  <si>
    <t xml:space="preserve">T00860</t>
  </si>
  <si>
    <t xml:space="preserve">T00861</t>
  </si>
  <si>
    <t xml:space="preserve">T00862</t>
  </si>
  <si>
    <t xml:space="preserve">T00863</t>
  </si>
  <si>
    <t xml:space="preserve">T00864</t>
  </si>
  <si>
    <t xml:space="preserve">T00865</t>
  </si>
  <si>
    <t xml:space="preserve">T00866</t>
  </si>
  <si>
    <t xml:space="preserve">T00867</t>
  </si>
  <si>
    <t xml:space="preserve">T00868</t>
  </si>
  <si>
    <t xml:space="preserve">T00869</t>
  </si>
  <si>
    <t xml:space="preserve">T00870</t>
  </si>
  <si>
    <t xml:space="preserve">T00871</t>
  </si>
  <si>
    <t xml:space="preserve">T00872</t>
  </si>
  <si>
    <t xml:space="preserve">T00873</t>
  </si>
  <si>
    <t xml:space="preserve">T00874</t>
  </si>
  <si>
    <t xml:space="preserve">T00875</t>
  </si>
  <si>
    <t xml:space="preserve">T00876</t>
  </si>
  <si>
    <t xml:space="preserve">T00877</t>
  </si>
  <si>
    <t xml:space="preserve">T00878</t>
  </si>
  <si>
    <t xml:space="preserve">T00879</t>
  </si>
  <si>
    <t xml:space="preserve">T00880</t>
  </si>
  <si>
    <t xml:space="preserve">T00881</t>
  </si>
  <si>
    <t xml:space="preserve">T00882</t>
  </si>
  <si>
    <t xml:space="preserve">T00883</t>
  </si>
  <si>
    <t xml:space="preserve">T00884</t>
  </si>
  <si>
    <t xml:space="preserve">T00885</t>
  </si>
  <si>
    <t xml:space="preserve">T00886</t>
  </si>
  <si>
    <t xml:space="preserve">T00887</t>
  </si>
  <si>
    <t xml:space="preserve">T00888</t>
  </si>
  <si>
    <t xml:space="preserve">T00889</t>
  </si>
  <si>
    <t xml:space="preserve">T00890</t>
  </si>
  <si>
    <t xml:space="preserve">T00891</t>
  </si>
  <si>
    <t xml:space="preserve">T00892</t>
  </si>
  <si>
    <t xml:space="preserve">T00893</t>
  </si>
  <si>
    <t xml:space="preserve">T00894</t>
  </si>
  <si>
    <t xml:space="preserve">T00895</t>
  </si>
  <si>
    <t xml:space="preserve">T00896</t>
  </si>
  <si>
    <t xml:space="preserve">T00897</t>
  </si>
  <si>
    <t xml:space="preserve">T00898</t>
  </si>
  <si>
    <t xml:space="preserve">T00899</t>
  </si>
  <si>
    <t xml:space="preserve">T00900</t>
  </si>
  <si>
    <t xml:space="preserve">T00901</t>
  </si>
  <si>
    <t xml:space="preserve">T00902</t>
  </si>
  <si>
    <t xml:space="preserve">T00903</t>
  </si>
  <si>
    <t xml:space="preserve">T00904</t>
  </si>
  <si>
    <t xml:space="preserve">T00905</t>
  </si>
  <si>
    <t xml:space="preserve">T00906</t>
  </si>
  <si>
    <t xml:space="preserve">T00907</t>
  </si>
  <si>
    <t xml:space="preserve">T00908</t>
  </si>
  <si>
    <t xml:space="preserve">T00909</t>
  </si>
  <si>
    <t xml:space="preserve">T00910</t>
  </si>
  <si>
    <t xml:space="preserve">T00911</t>
  </si>
  <si>
    <t xml:space="preserve">T00912</t>
  </si>
  <si>
    <t xml:space="preserve">T00913</t>
  </si>
  <si>
    <t xml:space="preserve">T00914</t>
  </si>
  <si>
    <t xml:space="preserve">T00915</t>
  </si>
  <si>
    <t xml:space="preserve">T00916</t>
  </si>
  <si>
    <t xml:space="preserve">T00917</t>
  </si>
  <si>
    <t xml:space="preserve">T00918</t>
  </si>
  <si>
    <t xml:space="preserve">T00919</t>
  </si>
  <si>
    <t xml:space="preserve">T00920</t>
  </si>
  <si>
    <t xml:space="preserve">T00921</t>
  </si>
  <si>
    <t xml:space="preserve">T00922</t>
  </si>
  <si>
    <t xml:space="preserve">T00923</t>
  </si>
  <si>
    <t xml:space="preserve">T00924</t>
  </si>
  <si>
    <t xml:space="preserve">T00925</t>
  </si>
  <si>
    <t xml:space="preserve">T00926</t>
  </si>
  <si>
    <t xml:space="preserve">T00927</t>
  </si>
  <si>
    <t xml:space="preserve">T00928</t>
  </si>
  <si>
    <t xml:space="preserve">T00929</t>
  </si>
  <si>
    <t xml:space="preserve">T00930</t>
  </si>
  <si>
    <t xml:space="preserve">T00931</t>
  </si>
  <si>
    <t xml:space="preserve">T00932</t>
  </si>
  <si>
    <t xml:space="preserve">T00933</t>
  </si>
  <si>
    <t xml:space="preserve">T00934</t>
  </si>
  <si>
    <t xml:space="preserve">T00935</t>
  </si>
  <si>
    <t xml:space="preserve">T00936</t>
  </si>
  <si>
    <t xml:space="preserve">T00937</t>
  </si>
  <si>
    <t xml:space="preserve">T00938</t>
  </si>
  <si>
    <t xml:space="preserve">T00939</t>
  </si>
  <si>
    <t xml:space="preserve">T00940</t>
  </si>
  <si>
    <t xml:space="preserve">T00941</t>
  </si>
  <si>
    <t xml:space="preserve">T00942</t>
  </si>
  <si>
    <t xml:space="preserve">T00943</t>
  </si>
  <si>
    <t xml:space="preserve">T00944</t>
  </si>
  <si>
    <t xml:space="preserve">T00945</t>
  </si>
  <si>
    <t xml:space="preserve">T00946</t>
  </si>
  <si>
    <t xml:space="preserve">T00947</t>
  </si>
  <si>
    <t xml:space="preserve">T00948</t>
  </si>
  <si>
    <t xml:space="preserve">T00949</t>
  </si>
  <si>
    <t xml:space="preserve">T00950</t>
  </si>
  <si>
    <t xml:space="preserve">T00951</t>
  </si>
  <si>
    <t xml:space="preserve">T00952</t>
  </si>
  <si>
    <t xml:space="preserve">T00953</t>
  </si>
  <si>
    <t xml:space="preserve">T00954</t>
  </si>
  <si>
    <t xml:space="preserve">T00955</t>
  </si>
  <si>
    <t xml:space="preserve">T00956</t>
  </si>
  <si>
    <t xml:space="preserve">T00957</t>
  </si>
  <si>
    <t xml:space="preserve">T00958</t>
  </si>
  <si>
    <t xml:space="preserve">T00959</t>
  </si>
  <si>
    <t xml:space="preserve">T00960</t>
  </si>
  <si>
    <t xml:space="preserve">T00961</t>
  </si>
  <si>
    <t xml:space="preserve">T00962</t>
  </si>
  <si>
    <t xml:space="preserve">T00963</t>
  </si>
  <si>
    <t xml:space="preserve">T00964</t>
  </si>
  <si>
    <t xml:space="preserve">T00965</t>
  </si>
  <si>
    <t xml:space="preserve">T00966</t>
  </si>
  <si>
    <t xml:space="preserve">T00967</t>
  </si>
  <si>
    <t xml:space="preserve">T00968</t>
  </si>
  <si>
    <t xml:space="preserve">T00969</t>
  </si>
  <si>
    <t xml:space="preserve">T00970</t>
  </si>
  <si>
    <t xml:space="preserve">T00971</t>
  </si>
  <si>
    <t xml:space="preserve">T00972</t>
  </si>
  <si>
    <t xml:space="preserve">T00973</t>
  </si>
  <si>
    <t xml:space="preserve">T00974</t>
  </si>
  <si>
    <t xml:space="preserve">T00975</t>
  </si>
  <si>
    <t xml:space="preserve">T00976</t>
  </si>
  <si>
    <t xml:space="preserve">T00977</t>
  </si>
  <si>
    <t xml:space="preserve">T00978</t>
  </si>
  <si>
    <t xml:space="preserve">T00979</t>
  </si>
  <si>
    <t xml:space="preserve">T00980</t>
  </si>
  <si>
    <t xml:space="preserve">T00981</t>
  </si>
  <si>
    <t xml:space="preserve">T00982</t>
  </si>
  <si>
    <t xml:space="preserve">T00983</t>
  </si>
  <si>
    <t xml:space="preserve">T00984</t>
  </si>
  <si>
    <t xml:space="preserve">T00985</t>
  </si>
  <si>
    <t xml:space="preserve">T00986</t>
  </si>
  <si>
    <t xml:space="preserve">T00987</t>
  </si>
  <si>
    <t xml:space="preserve">T00988</t>
  </si>
  <si>
    <t xml:space="preserve">T00989</t>
  </si>
  <si>
    <t xml:space="preserve">T00990</t>
  </si>
  <si>
    <t xml:space="preserve">T00991</t>
  </si>
  <si>
    <t xml:space="preserve">T00992</t>
  </si>
  <si>
    <t xml:space="preserve">T00993</t>
  </si>
  <si>
    <t xml:space="preserve">T00994</t>
  </si>
  <si>
    <t xml:space="preserve">T00995</t>
  </si>
  <si>
    <t xml:space="preserve">T00996</t>
  </si>
  <si>
    <t xml:space="preserve">T00997</t>
  </si>
  <si>
    <t xml:space="preserve">T00998</t>
  </si>
  <si>
    <t xml:space="preserve">T00999</t>
  </si>
  <si>
    <t xml:space="preserve">T01000</t>
  </si>
  <si>
    <t xml:space="preserve">T01001</t>
  </si>
  <si>
    <t xml:space="preserve">T01002</t>
  </si>
  <si>
    <t xml:space="preserve">T01003</t>
  </si>
  <si>
    <t xml:space="preserve">T01004</t>
  </si>
  <si>
    <t xml:space="preserve">T01005</t>
  </si>
  <si>
    <t xml:space="preserve">T01006</t>
  </si>
  <si>
    <t xml:space="preserve">T01007</t>
  </si>
  <si>
    <t xml:space="preserve">T01008</t>
  </si>
  <si>
    <t xml:space="preserve">T01009</t>
  </si>
  <si>
    <t xml:space="preserve">T01010</t>
  </si>
  <si>
    <t xml:space="preserve">T01011</t>
  </si>
  <si>
    <t xml:space="preserve">T01012</t>
  </si>
  <si>
    <t xml:space="preserve">T01013</t>
  </si>
  <si>
    <t xml:space="preserve">T01014</t>
  </si>
  <si>
    <t xml:space="preserve">T01015</t>
  </si>
  <si>
    <t xml:space="preserve">T01016</t>
  </si>
  <si>
    <t xml:space="preserve">T01017</t>
  </si>
  <si>
    <t xml:space="preserve">T01018</t>
  </si>
  <si>
    <t xml:space="preserve">T01019</t>
  </si>
  <si>
    <t xml:space="preserve">T01020</t>
  </si>
  <si>
    <t xml:space="preserve">T01021</t>
  </si>
  <si>
    <t xml:space="preserve">T01022</t>
  </si>
  <si>
    <t xml:space="preserve">T01023</t>
  </si>
  <si>
    <t xml:space="preserve">T01024</t>
  </si>
  <si>
    <t xml:space="preserve">T01025</t>
  </si>
  <si>
    <t xml:space="preserve">T01026</t>
  </si>
  <si>
    <t xml:space="preserve">T01027</t>
  </si>
  <si>
    <t xml:space="preserve">T01028</t>
  </si>
  <si>
    <t xml:space="preserve">T01029</t>
  </si>
  <si>
    <t xml:space="preserve">T01030</t>
  </si>
  <si>
    <t xml:space="preserve">T01031</t>
  </si>
  <si>
    <t xml:space="preserve">T01032</t>
  </si>
  <si>
    <t xml:space="preserve">T01033</t>
  </si>
  <si>
    <t xml:space="preserve">T01034</t>
  </si>
  <si>
    <t xml:space="preserve">T01035</t>
  </si>
  <si>
    <t xml:space="preserve">T01036</t>
  </si>
  <si>
    <t xml:space="preserve">T01037</t>
  </si>
  <si>
    <t xml:space="preserve">T01038</t>
  </si>
  <si>
    <t xml:space="preserve">T01039</t>
  </si>
  <si>
    <t xml:space="preserve">T01040</t>
  </si>
  <si>
    <t xml:space="preserve">T01041</t>
  </si>
  <si>
    <t xml:space="preserve">T01042</t>
  </si>
  <si>
    <t xml:space="preserve">T01043</t>
  </si>
  <si>
    <t xml:space="preserve">T01044</t>
  </si>
  <si>
    <t xml:space="preserve">T01045</t>
  </si>
  <si>
    <t xml:space="preserve">T01046</t>
  </si>
  <si>
    <t xml:space="preserve">T01047</t>
  </si>
  <si>
    <t xml:space="preserve">T01048</t>
  </si>
  <si>
    <t xml:space="preserve">T01049</t>
  </si>
  <si>
    <t xml:space="preserve">T01050</t>
  </si>
  <si>
    <t xml:space="preserve">T01051</t>
  </si>
  <si>
    <t xml:space="preserve">T01052</t>
  </si>
  <si>
    <t xml:space="preserve">T01053</t>
  </si>
  <si>
    <t xml:space="preserve">T01054</t>
  </si>
  <si>
    <t xml:space="preserve">T01055</t>
  </si>
  <si>
    <t xml:space="preserve">T01056</t>
  </si>
  <si>
    <t xml:space="preserve">T01057</t>
  </si>
  <si>
    <t xml:space="preserve">T01058</t>
  </si>
  <si>
    <t xml:space="preserve">T01059</t>
  </si>
  <si>
    <t xml:space="preserve">T01060</t>
  </si>
  <si>
    <t xml:space="preserve">T01061</t>
  </si>
  <si>
    <t xml:space="preserve">T01062</t>
  </si>
  <si>
    <t xml:space="preserve">T01063</t>
  </si>
  <si>
    <t xml:space="preserve">T01064</t>
  </si>
  <si>
    <t xml:space="preserve">T01065</t>
  </si>
  <si>
    <t xml:space="preserve">T01066</t>
  </si>
  <si>
    <t xml:space="preserve">T01067</t>
  </si>
  <si>
    <t xml:space="preserve">T01068</t>
  </si>
  <si>
    <t xml:space="preserve">T01069</t>
  </si>
  <si>
    <t xml:space="preserve">T01070</t>
  </si>
  <si>
    <t xml:space="preserve">T01071</t>
  </si>
  <si>
    <t xml:space="preserve">T01072</t>
  </si>
  <si>
    <t xml:space="preserve">T01073</t>
  </si>
  <si>
    <t xml:space="preserve">T01074</t>
  </si>
  <si>
    <t xml:space="preserve">T01075</t>
  </si>
  <si>
    <t xml:space="preserve">T01076</t>
  </si>
  <si>
    <t xml:space="preserve">T01077</t>
  </si>
  <si>
    <t xml:space="preserve">T01078</t>
  </si>
  <si>
    <t xml:space="preserve">T01079</t>
  </si>
  <si>
    <t xml:space="preserve">T01080</t>
  </si>
  <si>
    <t xml:space="preserve">T01081</t>
  </si>
  <si>
    <t xml:space="preserve">T01082</t>
  </si>
  <si>
    <t xml:space="preserve">T01083</t>
  </si>
  <si>
    <t xml:space="preserve">T01084</t>
  </si>
  <si>
    <t xml:space="preserve">T01085</t>
  </si>
  <si>
    <t xml:space="preserve">T01086</t>
  </si>
  <si>
    <t xml:space="preserve">T01087</t>
  </si>
  <si>
    <t xml:space="preserve">T01088</t>
  </si>
  <si>
    <t xml:space="preserve">T01089</t>
  </si>
  <si>
    <t xml:space="preserve">T01090</t>
  </si>
  <si>
    <t xml:space="preserve">T01091</t>
  </si>
  <si>
    <t xml:space="preserve">T01092</t>
  </si>
  <si>
    <t xml:space="preserve">T01093</t>
  </si>
  <si>
    <t xml:space="preserve">T01094</t>
  </si>
  <si>
    <t xml:space="preserve">T01095</t>
  </si>
  <si>
    <t xml:space="preserve">T01096</t>
  </si>
  <si>
    <t xml:space="preserve">T01097</t>
  </si>
  <si>
    <t xml:space="preserve">T01098</t>
  </si>
  <si>
    <t xml:space="preserve">T01099</t>
  </si>
  <si>
    <t xml:space="preserve">T01100</t>
  </si>
  <si>
    <t xml:space="preserve">T01101</t>
  </si>
  <si>
    <t xml:space="preserve">T01102</t>
  </si>
  <si>
    <t xml:space="preserve">T01103</t>
  </si>
  <si>
    <t xml:space="preserve">T01104</t>
  </si>
  <si>
    <t xml:space="preserve">T01105</t>
  </si>
  <si>
    <t xml:space="preserve">T01106</t>
  </si>
  <si>
    <t xml:space="preserve">T01107</t>
  </si>
  <si>
    <t xml:space="preserve">T01108</t>
  </si>
  <si>
    <t xml:space="preserve">T01109</t>
  </si>
  <si>
    <t xml:space="preserve">T01110</t>
  </si>
  <si>
    <t xml:space="preserve">T01111</t>
  </si>
  <si>
    <t xml:space="preserve">T01112</t>
  </si>
  <si>
    <t xml:space="preserve">T01113</t>
  </si>
  <si>
    <t xml:space="preserve">T01114</t>
  </si>
  <si>
    <t xml:space="preserve">T01115</t>
  </si>
  <si>
    <t xml:space="preserve">T01116</t>
  </si>
  <si>
    <t xml:space="preserve">T01117</t>
  </si>
  <si>
    <t xml:space="preserve">T01118</t>
  </si>
  <si>
    <t xml:space="preserve">T01119</t>
  </si>
  <si>
    <t xml:space="preserve">T01120</t>
  </si>
  <si>
    <t xml:space="preserve">T01121</t>
  </si>
  <si>
    <t xml:space="preserve">T01122</t>
  </si>
  <si>
    <t xml:space="preserve">T01123</t>
  </si>
  <si>
    <t xml:space="preserve">T01124</t>
  </si>
  <si>
    <t xml:space="preserve">T01125</t>
  </si>
  <si>
    <t xml:space="preserve">T01126</t>
  </si>
  <si>
    <t xml:space="preserve">T01127</t>
  </si>
  <si>
    <t xml:space="preserve">T01128</t>
  </si>
  <si>
    <t xml:space="preserve">T01129</t>
  </si>
  <si>
    <t xml:space="preserve">T01130</t>
  </si>
  <si>
    <t xml:space="preserve">T01131</t>
  </si>
  <si>
    <t xml:space="preserve">T01132</t>
  </si>
  <si>
    <t xml:space="preserve">T01133</t>
  </si>
  <si>
    <t xml:space="preserve">T01134</t>
  </si>
  <si>
    <t xml:space="preserve">T01135</t>
  </si>
  <si>
    <t xml:space="preserve">T01136</t>
  </si>
  <si>
    <t xml:space="preserve">T01137</t>
  </si>
  <si>
    <t xml:space="preserve">T01138</t>
  </si>
  <si>
    <t xml:space="preserve">T01139</t>
  </si>
  <si>
    <t xml:space="preserve">T01140</t>
  </si>
  <si>
    <t xml:space="preserve">T01141</t>
  </si>
  <si>
    <t xml:space="preserve">T01142</t>
  </si>
  <si>
    <t xml:space="preserve">T01143</t>
  </si>
  <si>
    <t xml:space="preserve">T01144</t>
  </si>
  <si>
    <t xml:space="preserve">T01145</t>
  </si>
  <si>
    <t xml:space="preserve">T01146</t>
  </si>
  <si>
    <t xml:space="preserve">T01147</t>
  </si>
  <si>
    <t xml:space="preserve">T01148</t>
  </si>
  <si>
    <t xml:space="preserve">T01149</t>
  </si>
  <si>
    <t xml:space="preserve">T01150</t>
  </si>
  <si>
    <t xml:space="preserve">T01151</t>
  </si>
  <si>
    <t xml:space="preserve">T01152</t>
  </si>
  <si>
    <t xml:space="preserve">T01153</t>
  </si>
  <si>
    <t xml:space="preserve">T01154</t>
  </si>
  <si>
    <t xml:space="preserve">T01155</t>
  </si>
  <si>
    <t xml:space="preserve">T01156</t>
  </si>
  <si>
    <t xml:space="preserve">T01157</t>
  </si>
  <si>
    <t xml:space="preserve">T01158</t>
  </si>
  <si>
    <t xml:space="preserve">T01159</t>
  </si>
  <si>
    <t xml:space="preserve">T01160</t>
  </si>
  <si>
    <t xml:space="preserve">T01161</t>
  </si>
  <si>
    <t xml:space="preserve">T01162</t>
  </si>
  <si>
    <t xml:space="preserve">T01163</t>
  </si>
  <si>
    <t xml:space="preserve">T01164</t>
  </si>
  <si>
    <t xml:space="preserve">T01165</t>
  </si>
  <si>
    <t xml:space="preserve">T01166</t>
  </si>
  <si>
    <t xml:space="preserve">T01167</t>
  </si>
  <si>
    <t xml:space="preserve">T01168</t>
  </si>
  <si>
    <t xml:space="preserve">T01169</t>
  </si>
  <si>
    <t xml:space="preserve">T01170</t>
  </si>
  <si>
    <t xml:space="preserve">T01171</t>
  </si>
  <si>
    <t xml:space="preserve">T01172</t>
  </si>
  <si>
    <t xml:space="preserve">T01173</t>
  </si>
  <si>
    <t xml:space="preserve">T01174</t>
  </si>
  <si>
    <t xml:space="preserve">T01175</t>
  </si>
  <si>
    <t xml:space="preserve">T01176</t>
  </si>
  <si>
    <t xml:space="preserve">T01177</t>
  </si>
  <si>
    <t xml:space="preserve">T01178</t>
  </si>
  <si>
    <t xml:space="preserve">T01179</t>
  </si>
  <si>
    <t xml:space="preserve">T01180</t>
  </si>
  <si>
    <t xml:space="preserve">T01181</t>
  </si>
  <si>
    <t xml:space="preserve">T01182</t>
  </si>
  <si>
    <t xml:space="preserve">T01183</t>
  </si>
  <si>
    <t xml:space="preserve">T01184</t>
  </si>
  <si>
    <t xml:space="preserve">T01185</t>
  </si>
  <si>
    <t xml:space="preserve">T01186</t>
  </si>
  <si>
    <t xml:space="preserve">T01187</t>
  </si>
  <si>
    <t xml:space="preserve">T01188</t>
  </si>
  <si>
    <t xml:space="preserve">T01189</t>
  </si>
  <si>
    <t xml:space="preserve">T01190</t>
  </si>
  <si>
    <t xml:space="preserve">T01191</t>
  </si>
  <si>
    <t xml:space="preserve">T01192</t>
  </si>
  <si>
    <t xml:space="preserve">T01193</t>
  </si>
  <si>
    <t xml:space="preserve">T01194</t>
  </si>
  <si>
    <t xml:space="preserve">T01195</t>
  </si>
  <si>
    <t xml:space="preserve">T01196</t>
  </si>
  <si>
    <t xml:space="preserve">T01197</t>
  </si>
  <si>
    <t xml:space="preserve">T01198</t>
  </si>
  <si>
    <t xml:space="preserve">T01199</t>
  </si>
  <si>
    <t xml:space="preserve">T01200</t>
  </si>
  <si>
    <t xml:space="preserve">T01201</t>
  </si>
  <si>
    <t xml:space="preserve">T01202</t>
  </si>
  <si>
    <t xml:space="preserve">T01203</t>
  </si>
  <si>
    <t xml:space="preserve">T01204</t>
  </si>
  <si>
    <t xml:space="preserve">T01205</t>
  </si>
  <si>
    <t xml:space="preserve">T01206</t>
  </si>
  <si>
    <t xml:space="preserve">T01207</t>
  </si>
  <si>
    <t xml:space="preserve">T01208</t>
  </si>
  <si>
    <t xml:space="preserve">T01209</t>
  </si>
  <si>
    <t xml:space="preserve">T01210</t>
  </si>
  <si>
    <t xml:space="preserve">T01211</t>
  </si>
  <si>
    <t xml:space="preserve">T01212</t>
  </si>
  <si>
    <t xml:space="preserve">T01213</t>
  </si>
  <si>
    <t xml:space="preserve">T01214</t>
  </si>
  <si>
    <t xml:space="preserve">T01215</t>
  </si>
  <si>
    <t xml:space="preserve">T01216</t>
  </si>
  <si>
    <t xml:space="preserve">T01217</t>
  </si>
  <si>
    <t xml:space="preserve">T01218</t>
  </si>
  <si>
    <t xml:space="preserve">T01219</t>
  </si>
  <si>
    <t xml:space="preserve">T01220</t>
  </si>
  <si>
    <t xml:space="preserve">T01221</t>
  </si>
  <si>
    <t xml:space="preserve">T01222</t>
  </si>
  <si>
    <t xml:space="preserve">T01223</t>
  </si>
  <si>
    <t xml:space="preserve">T01224</t>
  </si>
  <si>
    <t xml:space="preserve">T01225</t>
  </si>
  <si>
    <t xml:space="preserve">T01226</t>
  </si>
  <si>
    <t xml:space="preserve">T01227</t>
  </si>
  <si>
    <t xml:space="preserve">T01228</t>
  </si>
  <si>
    <t xml:space="preserve">T01229</t>
  </si>
  <si>
    <t xml:space="preserve">T01230</t>
  </si>
  <si>
    <t xml:space="preserve">T01231</t>
  </si>
  <si>
    <t xml:space="preserve">T01232</t>
  </si>
  <si>
    <t xml:space="preserve">T01233</t>
  </si>
  <si>
    <t xml:space="preserve">T01234</t>
  </si>
  <si>
    <t xml:space="preserve">T01235</t>
  </si>
  <si>
    <t xml:space="preserve">T01236</t>
  </si>
  <si>
    <t xml:space="preserve">T01237</t>
  </si>
  <si>
    <t xml:space="preserve">T01238</t>
  </si>
  <si>
    <t xml:space="preserve">T01239</t>
  </si>
  <si>
    <t xml:space="preserve">T01240</t>
  </si>
  <si>
    <t xml:space="preserve">T01241</t>
  </si>
  <si>
    <t xml:space="preserve">T01242</t>
  </si>
  <si>
    <t xml:space="preserve">T01243</t>
  </si>
  <si>
    <t xml:space="preserve">T01244</t>
  </si>
  <si>
    <t xml:space="preserve">T01245</t>
  </si>
  <si>
    <t xml:space="preserve">T01246</t>
  </si>
  <si>
    <t xml:space="preserve">T01247</t>
  </si>
  <si>
    <t xml:space="preserve">T01248</t>
  </si>
  <si>
    <t xml:space="preserve">T01249</t>
  </si>
  <si>
    <t xml:space="preserve">T01250</t>
  </si>
  <si>
    <t xml:space="preserve">T01251</t>
  </si>
  <si>
    <t xml:space="preserve">T01252</t>
  </si>
  <si>
    <t xml:space="preserve">T01253</t>
  </si>
  <si>
    <t xml:space="preserve">T01254</t>
  </si>
  <si>
    <t xml:space="preserve">T01255</t>
  </si>
  <si>
    <t xml:space="preserve">T01256</t>
  </si>
  <si>
    <t xml:space="preserve">T01257</t>
  </si>
  <si>
    <t xml:space="preserve">T01258</t>
  </si>
  <si>
    <t xml:space="preserve">T01259</t>
  </si>
  <si>
    <t xml:space="preserve">T01260</t>
  </si>
  <si>
    <t xml:space="preserve">T01261</t>
  </si>
  <si>
    <t xml:space="preserve">T01262</t>
  </si>
  <si>
    <t xml:space="preserve">T01263</t>
  </si>
  <si>
    <t xml:space="preserve">T01264</t>
  </si>
  <si>
    <t xml:space="preserve">T01265</t>
  </si>
  <si>
    <t xml:space="preserve">T01266</t>
  </si>
  <si>
    <t xml:space="preserve">T01267</t>
  </si>
  <si>
    <t xml:space="preserve">T01268</t>
  </si>
  <si>
    <t xml:space="preserve">T01269</t>
  </si>
  <si>
    <t xml:space="preserve">T01270</t>
  </si>
  <si>
    <t xml:space="preserve">T01271</t>
  </si>
  <si>
    <t xml:space="preserve">T01272</t>
  </si>
  <si>
    <t xml:space="preserve">T01273</t>
  </si>
  <si>
    <t xml:space="preserve">T01274</t>
  </si>
  <si>
    <t xml:space="preserve">T01275</t>
  </si>
  <si>
    <t xml:space="preserve">T01276</t>
  </si>
  <si>
    <t xml:space="preserve">T01277</t>
  </si>
  <si>
    <t xml:space="preserve">T01278</t>
  </si>
  <si>
    <t xml:space="preserve">T01279</t>
  </si>
  <si>
    <t xml:space="preserve">T01280</t>
  </si>
  <si>
    <t xml:space="preserve">T01281</t>
  </si>
  <si>
    <t xml:space="preserve">T01282</t>
  </si>
  <si>
    <t xml:space="preserve">T01283</t>
  </si>
  <si>
    <t xml:space="preserve">T01284</t>
  </si>
  <si>
    <t xml:space="preserve">T01285</t>
  </si>
  <si>
    <t xml:space="preserve">T01286</t>
  </si>
  <si>
    <t xml:space="preserve">T01287</t>
  </si>
  <si>
    <t xml:space="preserve">T01288</t>
  </si>
  <si>
    <t xml:space="preserve">T01289</t>
  </si>
  <si>
    <t xml:space="preserve">T01290</t>
  </si>
  <si>
    <t xml:space="preserve">T01291</t>
  </si>
  <si>
    <t xml:space="preserve">T01292</t>
  </si>
  <si>
    <t xml:space="preserve">T01293</t>
  </si>
  <si>
    <t xml:space="preserve">T01294</t>
  </si>
  <si>
    <t xml:space="preserve">T01295</t>
  </si>
  <si>
    <t xml:space="preserve">T01296</t>
  </si>
  <si>
    <t xml:space="preserve">T01297</t>
  </si>
  <si>
    <t xml:space="preserve">T01298</t>
  </si>
  <si>
    <t xml:space="preserve">T01299</t>
  </si>
  <si>
    <t xml:space="preserve">T01300</t>
  </si>
  <si>
    <t xml:space="preserve">T01301</t>
  </si>
  <si>
    <t xml:space="preserve">T01302</t>
  </si>
  <si>
    <t xml:space="preserve">T01303</t>
  </si>
  <si>
    <t xml:space="preserve">T01304</t>
  </si>
  <si>
    <t xml:space="preserve">T01305</t>
  </si>
  <si>
    <t xml:space="preserve">T01306</t>
  </si>
  <si>
    <t xml:space="preserve">T01307</t>
  </si>
  <si>
    <t xml:space="preserve">T01308</t>
  </si>
  <si>
    <t xml:space="preserve">T01309</t>
  </si>
  <si>
    <t xml:space="preserve">T01310</t>
  </si>
  <si>
    <t xml:space="preserve">T01311</t>
  </si>
  <si>
    <t xml:space="preserve">T01312</t>
  </si>
  <si>
    <t xml:space="preserve">T01313</t>
  </si>
  <si>
    <t xml:space="preserve">T01314</t>
  </si>
  <si>
    <t xml:space="preserve">T01315</t>
  </si>
  <si>
    <t xml:space="preserve">T01316</t>
  </si>
  <si>
    <t xml:space="preserve">T01317</t>
  </si>
  <si>
    <t xml:space="preserve">T01318</t>
  </si>
  <si>
    <t xml:space="preserve">T01319</t>
  </si>
  <si>
    <t xml:space="preserve">T01320</t>
  </si>
  <si>
    <t xml:space="preserve">T01321</t>
  </si>
  <si>
    <t xml:space="preserve">T01322</t>
  </si>
  <si>
    <t xml:space="preserve">T01323</t>
  </si>
  <si>
    <t xml:space="preserve">T01324</t>
  </si>
  <si>
    <t xml:space="preserve">T01325</t>
  </si>
  <si>
    <t xml:space="preserve">T01326</t>
  </si>
  <si>
    <t xml:space="preserve">T01327</t>
  </si>
  <si>
    <t xml:space="preserve">T01328</t>
  </si>
  <si>
    <t xml:space="preserve">T01329</t>
  </si>
  <si>
    <t xml:space="preserve">T01330</t>
  </si>
  <si>
    <t xml:space="preserve">T01331</t>
  </si>
  <si>
    <t xml:space="preserve">T01332</t>
  </si>
  <si>
    <t xml:space="preserve">T01333</t>
  </si>
  <si>
    <t xml:space="preserve">T01334</t>
  </si>
  <si>
    <t xml:space="preserve">T01335</t>
  </si>
  <si>
    <t xml:space="preserve">T01336</t>
  </si>
  <si>
    <t xml:space="preserve">T01337</t>
  </si>
  <si>
    <t xml:space="preserve">T01338</t>
  </si>
  <si>
    <t xml:space="preserve">T01339</t>
  </si>
  <si>
    <t xml:space="preserve">T01340</t>
  </si>
  <si>
    <t xml:space="preserve">T01341</t>
  </si>
  <si>
    <t xml:space="preserve">T01342</t>
  </si>
  <si>
    <t xml:space="preserve">T01343</t>
  </si>
  <si>
    <t xml:space="preserve">T01344</t>
  </si>
  <si>
    <t xml:space="preserve">T01345</t>
  </si>
  <si>
    <t xml:space="preserve">T01346</t>
  </si>
  <si>
    <t xml:space="preserve">T01347</t>
  </si>
  <si>
    <t xml:space="preserve">T01348</t>
  </si>
  <si>
    <t xml:space="preserve">T01349</t>
  </si>
  <si>
    <t xml:space="preserve">T01350</t>
  </si>
  <si>
    <t xml:space="preserve">T01351</t>
  </si>
  <si>
    <t xml:space="preserve">T01352</t>
  </si>
  <si>
    <t xml:space="preserve">T01353</t>
  </si>
  <si>
    <t xml:space="preserve">T01354</t>
  </si>
  <si>
    <t xml:space="preserve">T01355</t>
  </si>
  <si>
    <t xml:space="preserve">T01356</t>
  </si>
  <si>
    <t xml:space="preserve">T01357</t>
  </si>
  <si>
    <t xml:space="preserve">T01358</t>
  </si>
  <si>
    <t xml:space="preserve">T01359</t>
  </si>
  <si>
    <t xml:space="preserve">T01360</t>
  </si>
  <si>
    <t xml:space="preserve">T01361</t>
  </si>
  <si>
    <t xml:space="preserve">T01362</t>
  </si>
  <si>
    <t xml:space="preserve">T01363</t>
  </si>
  <si>
    <t xml:space="preserve">T01364</t>
  </si>
  <si>
    <t xml:space="preserve">T01365</t>
  </si>
  <si>
    <t xml:space="preserve">T01366</t>
  </si>
  <si>
    <t xml:space="preserve">T01367</t>
  </si>
  <si>
    <t xml:space="preserve">T01368</t>
  </si>
  <si>
    <t xml:space="preserve">T01369</t>
  </si>
  <si>
    <t xml:space="preserve">T01370</t>
  </si>
  <si>
    <t xml:space="preserve">T01371</t>
  </si>
  <si>
    <t xml:space="preserve">T01372</t>
  </si>
  <si>
    <t xml:space="preserve">T01373</t>
  </si>
  <si>
    <t xml:space="preserve">T01374</t>
  </si>
  <si>
    <t xml:space="preserve">T01375</t>
  </si>
  <si>
    <t xml:space="preserve">T01376</t>
  </si>
  <si>
    <t xml:space="preserve">T01377</t>
  </si>
  <si>
    <t xml:space="preserve">T01378</t>
  </si>
  <si>
    <t xml:space="preserve">T01379</t>
  </si>
  <si>
    <t xml:space="preserve">T01380</t>
  </si>
  <si>
    <t xml:space="preserve">T01381</t>
  </si>
  <si>
    <t xml:space="preserve">T01382</t>
  </si>
  <si>
    <t xml:space="preserve">T01383</t>
  </si>
  <si>
    <t xml:space="preserve">T01384</t>
  </si>
  <si>
    <t xml:space="preserve">T01385</t>
  </si>
  <si>
    <t xml:space="preserve">T01386</t>
  </si>
  <si>
    <t xml:space="preserve">T01387</t>
  </si>
  <si>
    <t xml:space="preserve">T01388</t>
  </si>
  <si>
    <t xml:space="preserve">T01389</t>
  </si>
  <si>
    <t xml:space="preserve">T01390</t>
  </si>
  <si>
    <t xml:space="preserve">T01391</t>
  </si>
  <si>
    <t xml:space="preserve">T01392</t>
  </si>
  <si>
    <t xml:space="preserve">T01393</t>
  </si>
  <si>
    <t xml:space="preserve">T01394</t>
  </si>
  <si>
    <t xml:space="preserve">T01395</t>
  </si>
  <si>
    <t xml:space="preserve">T01396</t>
  </si>
  <si>
    <t xml:space="preserve">T01397</t>
  </si>
  <si>
    <t xml:space="preserve">T01398</t>
  </si>
  <si>
    <t xml:space="preserve">T01399</t>
  </si>
  <si>
    <t xml:space="preserve">T01400</t>
  </si>
  <si>
    <t xml:space="preserve">T01401</t>
  </si>
  <si>
    <t xml:space="preserve">T01402</t>
  </si>
  <si>
    <t xml:space="preserve">T01403</t>
  </si>
  <si>
    <t xml:space="preserve">T01404</t>
  </si>
  <si>
    <t xml:space="preserve">T01405</t>
  </si>
  <si>
    <t xml:space="preserve">T01406</t>
  </si>
  <si>
    <t xml:space="preserve">T01407</t>
  </si>
  <si>
    <t xml:space="preserve">T01408</t>
  </si>
  <si>
    <t xml:space="preserve">T01409</t>
  </si>
  <si>
    <t xml:space="preserve">T01410</t>
  </si>
  <si>
    <t xml:space="preserve">T01411</t>
  </si>
  <si>
    <t xml:space="preserve">T01412</t>
  </si>
  <si>
    <t xml:space="preserve">T01413</t>
  </si>
  <si>
    <t xml:space="preserve">T01414</t>
  </si>
  <si>
    <t xml:space="preserve">T01415</t>
  </si>
  <si>
    <t xml:space="preserve">T01416</t>
  </si>
  <si>
    <t xml:space="preserve">T01417</t>
  </si>
  <si>
    <t xml:space="preserve">T01418</t>
  </si>
  <si>
    <t xml:space="preserve">T01419</t>
  </si>
  <si>
    <t xml:space="preserve">T01420</t>
  </si>
  <si>
    <t xml:space="preserve">T01421</t>
  </si>
  <si>
    <t xml:space="preserve">T01422</t>
  </si>
  <si>
    <t xml:space="preserve">T01423</t>
  </si>
  <si>
    <t xml:space="preserve">T01424</t>
  </si>
  <si>
    <t xml:space="preserve">T01425</t>
  </si>
  <si>
    <t xml:space="preserve">T01426</t>
  </si>
  <si>
    <t xml:space="preserve">T01427</t>
  </si>
  <si>
    <t xml:space="preserve">T01428</t>
  </si>
  <si>
    <t xml:space="preserve">T01429</t>
  </si>
  <si>
    <t xml:space="preserve">T01430</t>
  </si>
  <si>
    <t xml:space="preserve">T01431</t>
  </si>
  <si>
    <t xml:space="preserve">T01432</t>
  </si>
  <si>
    <t xml:space="preserve">T01433</t>
  </si>
  <si>
    <t xml:space="preserve">T01434</t>
  </si>
  <si>
    <t xml:space="preserve">T01435</t>
  </si>
  <si>
    <t xml:space="preserve">T01436</t>
  </si>
  <si>
    <t xml:space="preserve">T01437</t>
  </si>
  <si>
    <t xml:space="preserve">T01438</t>
  </si>
  <si>
    <t xml:space="preserve">T01439</t>
  </si>
  <si>
    <t xml:space="preserve">T01440</t>
  </si>
  <si>
    <t xml:space="preserve">T01441</t>
  </si>
  <si>
    <t xml:space="preserve">T01442</t>
  </si>
  <si>
    <t xml:space="preserve">T01443</t>
  </si>
  <si>
    <t xml:space="preserve">T01444</t>
  </si>
  <si>
    <t xml:space="preserve">T01445</t>
  </si>
  <si>
    <t xml:space="preserve">T01446</t>
  </si>
  <si>
    <t xml:space="preserve">T01447</t>
  </si>
  <si>
    <t xml:space="preserve">T01448</t>
  </si>
  <si>
    <t xml:space="preserve">T01449</t>
  </si>
  <si>
    <t xml:space="preserve">Owners (simulated staff)</t>
  </si>
  <si>
    <t xml:space="preserve">Home line of service</t>
  </si>
  <si>
    <t xml:space="preserve">Amina Otieno</t>
  </si>
  <si>
    <t xml:space="preserve">Partner</t>
  </si>
  <si>
    <t xml:space="preserve">Yes</t>
  </si>
  <si>
    <t xml:space="preserve">Brian Chebet</t>
  </si>
  <si>
    <t xml:space="preserve">Cynthia Odhiambo</t>
  </si>
  <si>
    <t xml:space="preserve">Daniel Wanjiru</t>
  </si>
  <si>
    <t xml:space="preserve">Esther Kiprop</t>
  </si>
  <si>
    <t xml:space="preserve">Felix Barasa</t>
  </si>
  <si>
    <t xml:space="preserve">Grace Mwangi</t>
  </si>
  <si>
    <t xml:space="preserve">Hassan Mutua</t>
  </si>
  <si>
    <t xml:space="preserve">Director</t>
  </si>
  <si>
    <t xml:space="preserve">Irene Nyambura</t>
  </si>
  <si>
    <t xml:space="preserve">James Kamau</t>
  </si>
  <si>
    <t xml:space="preserve">Kevin Ochieng</t>
  </si>
  <si>
    <t xml:space="preserve">Lucy Kariuki</t>
  </si>
  <si>
    <t xml:space="preserve">No</t>
  </si>
  <si>
    <t xml:space="preserve">Mark Njoroge</t>
  </si>
  <si>
    <t xml:space="preserve">Nancy Wafula</t>
  </si>
  <si>
    <t xml:space="preserve">Omar Juma</t>
  </si>
  <si>
    <t xml:space="preserve">Senior Manager</t>
  </si>
  <si>
    <t xml:space="preserve">Purity Achieng</t>
  </si>
  <si>
    <t xml:space="preserve">Quincy Karanja</t>
  </si>
  <si>
    <t xml:space="preserve">Rose Langat</t>
  </si>
  <si>
    <t xml:space="preserve">Samuel Abdi</t>
  </si>
  <si>
    <t xml:space="preserve">Tabitha Maina</t>
  </si>
  <si>
    <t xml:space="preserve">Victor Otieno</t>
  </si>
  <si>
    <t xml:space="preserve">Winnie Chebet</t>
  </si>
  <si>
    <t xml:space="preserve">Yusuf Odhiambo</t>
  </si>
  <si>
    <t xml:space="preserve">Zainab Wanjiru</t>
  </si>
  <si>
    <t xml:space="preserve">Peter Kiprop</t>
  </si>
  <si>
    <t xml:space="preserve">Mercy Barasa</t>
  </si>
  <si>
    <t xml:space="preserve">Joseph Mwangi</t>
  </si>
  <si>
    <t xml:space="preserve">Faith Mutua</t>
  </si>
  <si>
    <t xml:space="preserve">Owner follow-up list (static output of analysis/audit.py)</t>
  </si>
  <si>
    <t xml:space="preserve">One row per issue per opportunity. Re-run the audit to refresh. High = past close date, owner left, no owner, or priority account.</t>
  </si>
  <si>
    <t xml:space="preserve">owner</t>
  </si>
  <si>
    <t xml:space="preserve">opp_id</t>
  </si>
  <si>
    <t xml:space="preserve">opp_name</t>
  </si>
  <si>
    <t xml:space="preserve">stage</t>
  </si>
  <si>
    <t xml:space="preserve">amount_kes</t>
  </si>
  <si>
    <t xml:space="preserve">issue</t>
  </si>
  <si>
    <t xml:space="preserve">action</t>
  </si>
  <si>
    <t xml:space="preserve">priority</t>
  </si>
  <si>
    <t xml:space="preserve">6036000.0</t>
  </si>
  <si>
    <t xml:space="preserve">No activity for more than 60 days</t>
  </si>
  <si>
    <t xml:space="preserve">Log a recent activity or confirm status</t>
  </si>
  <si>
    <t xml:space="preserve">High</t>
  </si>
  <si>
    <t xml:space="preserve">Correct probability to match stage</t>
  </si>
  <si>
    <t xml:space="preserve">34156000.0</t>
  </si>
  <si>
    <t xml:space="preserve">10433000.0</t>
  </si>
  <si>
    <t xml:space="preserve">Update the close date or close the opportunity</t>
  </si>
  <si>
    <t xml:space="preserve">12321000.0</t>
  </si>
  <si>
    <t xml:space="preserve">11361000.0</t>
  </si>
  <si>
    <t xml:space="preserve">Normal</t>
  </si>
  <si>
    <t xml:space="preserve">7705000.0</t>
  </si>
  <si>
    <t xml:space="preserve">3663000.0</t>
  </si>
  <si>
    <t xml:space="preserve">60815000.0</t>
  </si>
  <si>
    <t xml:space="preserve">6763000.0</t>
  </si>
  <si>
    <t xml:space="preserve">Reassign: owner has left</t>
  </si>
  <si>
    <t xml:space="preserve">15525000.0</t>
  </si>
  <si>
    <t xml:space="preserve">1191000.0</t>
  </si>
  <si>
    <t xml:space="preserve">16864000.0</t>
  </si>
  <si>
    <t xml:space="preserve">6729000.0</t>
  </si>
  <si>
    <t xml:space="preserve">13035000.0</t>
  </si>
  <si>
    <t xml:space="preserve">1880000.0</t>
  </si>
  <si>
    <t xml:space="preserve">5656000.0</t>
  </si>
  <si>
    <t xml:space="preserve">2932000.0</t>
  </si>
  <si>
    <t xml:space="preserve">137156000.0</t>
  </si>
  <si>
    <t xml:space="preserve">15906000.0</t>
  </si>
  <si>
    <t xml:space="preserve">3734000.0</t>
  </si>
  <si>
    <t xml:space="preserve">7619000.0</t>
  </si>
  <si>
    <t xml:space="preserve">5846000.0</t>
  </si>
  <si>
    <t xml:space="preserve">78775000.0</t>
  </si>
  <si>
    <t xml:space="preserve">4430000.0</t>
  </si>
  <si>
    <t xml:space="preserve">12468000.0</t>
  </si>
  <si>
    <t xml:space="preserve">6433000.0</t>
  </si>
  <si>
    <t xml:space="preserve">19342000.0</t>
  </si>
  <si>
    <t xml:space="preserve">5563000.0</t>
  </si>
  <si>
    <t xml:space="preserve">10767000.0</t>
  </si>
  <si>
    <t xml:space="preserve">29286000.0</t>
  </si>
  <si>
    <t xml:space="preserve">3771000.0</t>
  </si>
  <si>
    <t xml:space="preserve">4945000.0</t>
  </si>
  <si>
    <t xml:space="preserve">28588000.0</t>
  </si>
  <si>
    <t xml:space="preserve">4806000.0</t>
  </si>
  <si>
    <t xml:space="preserve">17988000.0</t>
  </si>
  <si>
    <t xml:space="preserve">10881000.0</t>
  </si>
  <si>
    <t xml:space="preserve">3225000.0</t>
  </si>
  <si>
    <t xml:space="preserve">33659000.0</t>
  </si>
  <si>
    <t xml:space="preserve">22643000.0</t>
  </si>
  <si>
    <t xml:space="preserve">3068000.0</t>
  </si>
  <si>
    <t xml:space="preserve">8986000.0</t>
  </si>
  <si>
    <t xml:space="preserve">15705000.0</t>
  </si>
  <si>
    <t xml:space="preserve">0.0</t>
  </si>
  <si>
    <t xml:space="preserve">9585000.0</t>
  </si>
  <si>
    <t xml:space="preserve">15195000.0</t>
  </si>
  <si>
    <t xml:space="preserve">32284000.0</t>
  </si>
  <si>
    <t xml:space="preserve">35237000.0</t>
  </si>
  <si>
    <t xml:space="preserve">27140000.0</t>
  </si>
  <si>
    <t xml:space="preserve">35486000.0</t>
  </si>
  <si>
    <t xml:space="preserve">6279000.0</t>
  </si>
  <si>
    <t xml:space="preserve">15368000.0</t>
  </si>
  <si>
    <t xml:space="preserve">5588000.0</t>
  </si>
  <si>
    <t xml:space="preserve">4419000.0</t>
  </si>
  <si>
    <t xml:space="preserve">51027000.0</t>
  </si>
  <si>
    <t xml:space="preserve">10877000.0</t>
  </si>
  <si>
    <t xml:space="preserve">11301000.0</t>
  </si>
  <si>
    <t xml:space="preserve">61195000.0</t>
  </si>
  <si>
    <t xml:space="preserve">5464000.0</t>
  </si>
  <si>
    <t xml:space="preserve">114858000.0</t>
  </si>
  <si>
    <t xml:space="preserve">7988000.0</t>
  </si>
  <si>
    <t xml:space="preserve">22367000.0</t>
  </si>
  <si>
    <t xml:space="preserve">31558000.0</t>
  </si>
  <si>
    <t xml:space="preserve">3877000.0</t>
  </si>
  <si>
    <t xml:space="preserve">52083000.0</t>
  </si>
  <si>
    <t xml:space="preserve">9697000.0</t>
  </si>
  <si>
    <t xml:space="preserve">4628000.0</t>
  </si>
  <si>
    <t xml:space="preserve">78982000.0</t>
  </si>
  <si>
    <t xml:space="preserve">12753000.0</t>
  </si>
  <si>
    <t xml:space="preserve">15843000.0</t>
  </si>
  <si>
    <t xml:space="preserve">41332000.0</t>
  </si>
  <si>
    <t xml:space="preserve">18465000.0</t>
  </si>
  <si>
    <t xml:space="preserve">15805000.0</t>
  </si>
  <si>
    <t xml:space="preserve">10338000.0</t>
  </si>
  <si>
    <t xml:space="preserve">9406000.0</t>
  </si>
  <si>
    <t xml:space="preserve">7532000.0</t>
  </si>
  <si>
    <t xml:space="preserve">16352000.0</t>
  </si>
  <si>
    <t xml:space="preserve">8531000.0</t>
  </si>
  <si>
    <t xml:space="preserve">7767000.0</t>
  </si>
  <si>
    <t xml:space="preserve">10637000.0</t>
  </si>
  <si>
    <t xml:space="preserve">4671000.0</t>
  </si>
  <si>
    <t xml:space="preserve">78179000.0</t>
  </si>
  <si>
    <t xml:space="preserve">2302000.0</t>
  </si>
  <si>
    <t xml:space="preserve">24676000.0</t>
  </si>
  <si>
    <t xml:space="preserve">11660000.0</t>
  </si>
  <si>
    <t xml:space="preserve">24321000.0</t>
  </si>
  <si>
    <t xml:space="preserve">11878000.0</t>
  </si>
  <si>
    <t xml:space="preserve">35381000.0</t>
  </si>
  <si>
    <t xml:space="preserve">19946000.0</t>
  </si>
  <si>
    <t xml:space="preserve">27865000.0</t>
  </si>
  <si>
    <t xml:space="preserve">16433000.0</t>
  </si>
  <si>
    <t xml:space="preserve">10867000.0</t>
  </si>
  <si>
    <t xml:space="preserve">7204000.0</t>
  </si>
  <si>
    <t xml:space="preserve">5672000.0</t>
  </si>
  <si>
    <t xml:space="preserve">50091000.0</t>
  </si>
  <si>
    <t xml:space="preserve">6398000.0</t>
  </si>
  <si>
    <t xml:space="preserve">869000.0</t>
  </si>
  <si>
    <t xml:space="preserve">20678000.0</t>
  </si>
  <si>
    <t xml:space="preserve">51276000.0</t>
  </si>
  <si>
    <t xml:space="preserve">25697000.0</t>
  </si>
  <si>
    <t xml:space="preserve">33423000.0</t>
  </si>
  <si>
    <t xml:space="preserve">2983000.0</t>
  </si>
  <si>
    <t xml:space="preserve">18576000.0</t>
  </si>
  <si>
    <t xml:space="preserve">6838000.0</t>
  </si>
  <si>
    <t xml:space="preserve">23133000.0</t>
  </si>
  <si>
    <t xml:space="preserve">24788000.0</t>
  </si>
  <si>
    <t xml:space="preserve">14412000.0</t>
  </si>
  <si>
    <t xml:space="preserve">6262000.0</t>
  </si>
  <si>
    <t xml:space="preserve">40656000.0</t>
  </si>
  <si>
    <t xml:space="preserve">21225000.0</t>
  </si>
  <si>
    <t xml:space="preserve">8567000.0</t>
  </si>
  <si>
    <t xml:space="preserve">21792000.0</t>
  </si>
  <si>
    <t xml:space="preserve">5182000.0</t>
  </si>
  <si>
    <t xml:space="preserve">2621000.0</t>
  </si>
  <si>
    <t xml:space="preserve">6971000.0</t>
  </si>
  <si>
    <t xml:space="preserve">3341000.0</t>
  </si>
  <si>
    <t xml:space="preserve">28945000.0</t>
  </si>
  <si>
    <t xml:space="preserve">26889000.0</t>
  </si>
  <si>
    <t xml:space="preserve">12084000.0</t>
  </si>
  <si>
    <t xml:space="preserve">13077000.0</t>
  </si>
  <si>
    <t xml:space="preserve">2714000.0</t>
  </si>
  <si>
    <t xml:space="preserve">3584000.0</t>
  </si>
  <si>
    <t xml:space="preserve">10700000.0</t>
  </si>
  <si>
    <t xml:space="preserve">6289000.0</t>
  </si>
  <si>
    <t xml:space="preserve">25482000.0</t>
  </si>
  <si>
    <t xml:space="preserve">7560000.0</t>
  </si>
  <si>
    <t xml:space="preserve">40541000.0</t>
  </si>
  <si>
    <t xml:space="preserve">48158000.0</t>
  </si>
  <si>
    <t xml:space="preserve">8636000.0</t>
  </si>
  <si>
    <t xml:space="preserve">15049000.0</t>
  </si>
  <si>
    <t xml:space="preserve">18871000.0</t>
  </si>
  <si>
    <t xml:space="preserve">14553000.0</t>
  </si>
  <si>
    <t xml:space="preserve">18123000.0</t>
  </si>
  <si>
    <t xml:space="preserve">7197000.0</t>
  </si>
  <si>
    <t xml:space="preserve">17480000.0</t>
  </si>
  <si>
    <t xml:space="preserve">115531000.0</t>
  </si>
  <si>
    <t xml:space="preserve">1344000.0</t>
  </si>
  <si>
    <t xml:space="preserve">152041000.0</t>
  </si>
  <si>
    <t xml:space="preserve">5651000.0</t>
  </si>
  <si>
    <t xml:space="preserve">4972000.0</t>
  </si>
  <si>
    <t xml:space="preserve">11189000.0</t>
  </si>
  <si>
    <t xml:space="preserve">12194000.0</t>
  </si>
  <si>
    <t xml:space="preserve">4625000.0</t>
  </si>
  <si>
    <t xml:space="preserve">12045000.0</t>
  </si>
  <si>
    <t xml:space="preserve">19741000.0</t>
  </si>
  <si>
    <t xml:space="preserve">12063000.0</t>
  </si>
  <si>
    <t xml:space="preserve">74097000.0</t>
  </si>
  <si>
    <t xml:space="preserve">8940000.0</t>
  </si>
  <si>
    <t xml:space="preserve">7975000.0</t>
  </si>
  <si>
    <t xml:space="preserve">27112000.0</t>
  </si>
  <si>
    <t xml:space="preserve">22411000.0</t>
  </si>
  <si>
    <t xml:space="preserve">11049000.0</t>
  </si>
  <si>
    <t xml:space="preserve">7217000.0</t>
  </si>
  <si>
    <t xml:space="preserve">28568000.0</t>
  </si>
  <si>
    <t xml:space="preserve">4559000.0</t>
  </si>
  <si>
    <t xml:space="preserve">2859000.0</t>
  </si>
  <si>
    <t xml:space="preserve">29626000.0</t>
  </si>
  <si>
    <t xml:space="preserve">64994000.0</t>
  </si>
  <si>
    <t xml:space="preserve">5199000.0</t>
  </si>
  <si>
    <t xml:space="preserve">35742000.0</t>
  </si>
  <si>
    <t xml:space="preserve">9368000.0</t>
  </si>
  <si>
    <t xml:space="preserve">2385000.0</t>
  </si>
  <si>
    <t xml:space="preserve">4359000.0</t>
  </si>
  <si>
    <t xml:space="preserve">30289000.0</t>
  </si>
  <si>
    <t xml:space="preserve">20612000.0</t>
  </si>
  <si>
    <t xml:space="preserve">3959000.0</t>
  </si>
  <si>
    <t xml:space="preserve">3779000.0</t>
  </si>
  <si>
    <t xml:space="preserve">15355000.0</t>
  </si>
  <si>
    <t xml:space="preserve">2665000.0</t>
  </si>
  <si>
    <t xml:space="preserve">4897000.0</t>
  </si>
  <si>
    <t xml:space="preserve">6324000.0</t>
  </si>
  <si>
    <t xml:space="preserve">985000.0</t>
  </si>
  <si>
    <t xml:space="preserve">8893000.0</t>
  </si>
  <si>
    <t xml:space="preserve">7878000.0</t>
  </si>
  <si>
    <t xml:space="preserve">9495000.0</t>
  </si>
  <si>
    <t xml:space="preserve">5028000.0</t>
  </si>
  <si>
    <t xml:space="preserve">19387000.0</t>
  </si>
  <si>
    <t xml:space="preserve">5252000.0</t>
  </si>
  <si>
    <t xml:space="preserve">15191000.0</t>
  </si>
  <si>
    <t xml:space="preserve">2056000.0</t>
  </si>
  <si>
    <t xml:space="preserve">17117000.0</t>
  </si>
  <si>
    <t xml:space="preserve">14366000.0</t>
  </si>
  <si>
    <t xml:space="preserve">39572000.0</t>
  </si>
  <si>
    <t xml:space="preserve">4146000.0</t>
  </si>
  <si>
    <t xml:space="preserve">10723000.0</t>
  </si>
  <si>
    <t xml:space="preserve">8888000.0</t>
  </si>
  <si>
    <t xml:space="preserve">1836000.0</t>
  </si>
  <si>
    <t xml:space="preserve">10337000.0</t>
  </si>
  <si>
    <t xml:space="preserve">6503000.0</t>
  </si>
  <si>
    <t xml:space="preserve">22576000.0</t>
  </si>
  <si>
    <t xml:space="preserve">21497000.0</t>
  </si>
  <si>
    <t xml:space="preserve">27419000.0</t>
  </si>
  <si>
    <t xml:space="preserve">17697000.0</t>
  </si>
  <si>
    <t xml:space="preserve">10507000.0</t>
  </si>
  <si>
    <t xml:space="preserve">2760000.0</t>
  </si>
  <si>
    <t xml:space="preserve">4157000.0</t>
  </si>
  <si>
    <t xml:space="preserve">13328000.0</t>
  </si>
  <si>
    <t xml:space="preserve">10619000.0</t>
  </si>
  <si>
    <t xml:space="preserve">15357000.0</t>
  </si>
  <si>
    <t xml:space="preserve">15271000.0</t>
  </si>
  <si>
    <t xml:space="preserve">11706000.0</t>
  </si>
  <si>
    <t xml:space="preserve">27083000.0</t>
  </si>
  <si>
    <t xml:space="preserve">190736000.0</t>
  </si>
  <si>
    <t xml:space="preserve">20893000.0</t>
  </si>
  <si>
    <t xml:space="preserve">5960000.0</t>
  </si>
  <si>
    <t xml:space="preserve">2671000.0</t>
  </si>
  <si>
    <t xml:space="preserve">26912000.0</t>
  </si>
  <si>
    <t xml:space="preserve">149543000.0</t>
  </si>
  <si>
    <t xml:space="preserve">2288000.0</t>
  </si>
  <si>
    <t xml:space="preserve">2808000.0</t>
  </si>
  <si>
    <t xml:space="preserve">50591000.0</t>
  </si>
  <si>
    <t xml:space="preserve">6980000.0</t>
  </si>
  <si>
    <t xml:space="preserve">28346000.0</t>
  </si>
  <si>
    <t xml:space="preserve">5989000.0</t>
  </si>
  <si>
    <t xml:space="preserve">48918000.0</t>
  </si>
  <si>
    <t xml:space="preserve">3154000.0</t>
  </si>
  <si>
    <t xml:space="preserve">29738000.0</t>
  </si>
  <si>
    <t xml:space="preserve">1913000.0</t>
  </si>
  <si>
    <t xml:space="preserve">4567000.0</t>
  </si>
  <si>
    <t xml:space="preserve">1600000.0</t>
  </si>
  <si>
    <t xml:space="preserve">19423000.0</t>
  </si>
  <si>
    <t xml:space="preserve">16360000.0</t>
  </si>
  <si>
    <t xml:space="preserve">26856000.0</t>
  </si>
  <si>
    <t xml:space="preserve">7155000.0</t>
  </si>
  <si>
    <t xml:space="preserve">4140000.0</t>
  </si>
  <si>
    <t xml:space="preserve">4052000.0</t>
  </si>
  <si>
    <t xml:space="preserve">3709000.0</t>
  </si>
  <si>
    <t xml:space="preserve">1655000.0</t>
  </si>
  <si>
    <t xml:space="preserve">8235000.0</t>
  </si>
  <si>
    <t xml:space="preserve">27319000.0</t>
  </si>
  <si>
    <t xml:space="preserve">6911000.0</t>
  </si>
  <si>
    <t xml:space="preserve">27617000.0</t>
  </si>
  <si>
    <t xml:space="preserve">18661000.0</t>
  </si>
  <si>
    <t xml:space="preserve">46349000.0</t>
  </si>
  <si>
    <t xml:space="preserve">11950000.0</t>
  </si>
  <si>
    <t xml:space="preserve">17346000.0</t>
  </si>
  <si>
    <t xml:space="preserve">23442000.0</t>
  </si>
  <si>
    <t xml:space="preserve">5317000.0</t>
  </si>
  <si>
    <t xml:space="preserve">3742000.0</t>
  </si>
  <si>
    <t xml:space="preserve">19452000.0</t>
  </si>
  <si>
    <t xml:space="preserve">6544000.0</t>
  </si>
  <si>
    <t xml:space="preserve">20802000.0</t>
  </si>
  <si>
    <t xml:space="preserve">31176000.0</t>
  </si>
  <si>
    <t xml:space="preserve">13962000.0</t>
  </si>
  <si>
    <t xml:space="preserve">26759000.0</t>
  </si>
  <si>
    <t xml:space="preserve">74394000.0</t>
  </si>
  <si>
    <t xml:space="preserve">Workbook formulas against the independent Python audit (analysis/audit.py). Every row should be TRUE.</t>
  </si>
  <si>
    <t xml:space="preserve">Check</t>
  </si>
  <si>
    <t xml:space="preserve">Workbook</t>
  </si>
  <si>
    <t xml:space="preserve">Python</t>
  </si>
  <si>
    <t xml:space="preserve">Difference</t>
  </si>
  <si>
    <t xml:space="preserve">Pass</t>
  </si>
  <si>
    <t xml:space="preserve">Opportunities</t>
  </si>
  <si>
    <t xml:space="preserve">Open opportunities</t>
  </si>
  <si>
    <t xml:space="preserve">FY27 won year to date (KES m)</t>
  </si>
  <si>
    <t xml:space="preserve">FY27 weighted closing pipeline (KES m)</t>
  </si>
  <si>
    <t xml:space="preserve">Win rate, look-back</t>
  </si>
  <si>
    <t xml:space="preserve">DQ failing: Amount missing or zero</t>
  </si>
  <si>
    <t xml:space="preserve">DQ failing: No owner assigned</t>
  </si>
  <si>
    <t xml:space="preserve">DQ failing: Owner has left or is inactive</t>
  </si>
  <si>
    <t xml:space="preserve">DQ failing: Open with close date in the past</t>
  </si>
  <si>
    <t xml:space="preserve">DQ failing: No activity for more than 60 days</t>
  </si>
  <si>
    <t xml:space="preserve">DQ failing: Probability does not match stage</t>
  </si>
  <si>
    <t xml:space="preserve">DQ failing: No next step recorded</t>
  </si>
  <si>
    <t xml:space="preserve">DQ failing: Lost without a reason</t>
  </si>
  <si>
    <t xml:space="preserve">Open opportunities with no issue (rate)</t>
  </si>
  <si>
    <t xml:space="preserve">Accounts missing industry</t>
  </si>
  <si>
    <t xml:space="preserve">Accounts in duplicate pairs</t>
  </si>
  <si>
    <t xml:space="preserve">Assurance: weighted pipeline</t>
  </si>
  <si>
    <t xml:space="preserve">Assurance: coverage (x)</t>
  </si>
  <si>
    <t xml:space="preserve">Assurance: win rate</t>
  </si>
  <si>
    <t xml:space="preserve">Assurance: avg cycle (days)</t>
  </si>
  <si>
    <t xml:space="preserve">Assurance: open opps clean rate</t>
  </si>
  <si>
    <t xml:space="preserve">Tax &amp; Legal: weighted pipeline</t>
  </si>
  <si>
    <t xml:space="preserve">Tax &amp; Legal: coverage (x)</t>
  </si>
  <si>
    <t xml:space="preserve">Tax &amp; Legal: win rate</t>
  </si>
  <si>
    <t xml:space="preserve">Tax &amp; Legal: avg cycle (days)</t>
  </si>
  <si>
    <t xml:space="preserve">Tax &amp; Legal: open opps clean rate</t>
  </si>
  <si>
    <t xml:space="preserve">Deals: weighted pipeline</t>
  </si>
  <si>
    <t xml:space="preserve">Deals: coverage (x)</t>
  </si>
  <si>
    <t xml:space="preserve">Deals: win rate</t>
  </si>
  <si>
    <t xml:space="preserve">Deals: avg cycle (days)</t>
  </si>
  <si>
    <t xml:space="preserve">Deals: open opps clean rate</t>
  </si>
  <si>
    <t xml:space="preserve">Consulting: weighted pipeline</t>
  </si>
  <si>
    <t xml:space="preserve">Consulting: coverage (x)</t>
  </si>
  <si>
    <t xml:space="preserve">Consulting: win rate</t>
  </si>
  <si>
    <t xml:space="preserve">Consulting: avg cycle (days)</t>
  </si>
  <si>
    <t xml:space="preserve">Consulting: open opps clean rate</t>
  </si>
  <si>
    <t xml:space="preserve">Risk: weighted pipeline</t>
  </si>
  <si>
    <t xml:space="preserve">Risk: coverage (x)</t>
  </si>
  <si>
    <t xml:space="preserve">Risk: win rate</t>
  </si>
  <si>
    <t xml:space="preserve">Risk: avg cycle (days)</t>
  </si>
  <si>
    <t xml:space="preserve">Risk: open opps clean rate</t>
  </si>
  <si>
    <t xml:space="preserve">Industry Agribusiness: weighted pipeline</t>
  </si>
  <si>
    <t xml:space="preserve">Industry Consumer &amp; Retail: weighted pipeline</t>
  </si>
  <si>
    <t xml:space="preserve">Industry Energy &amp; Resources: weighted pipeline</t>
  </si>
  <si>
    <t xml:space="preserve">Industry Financial Services: weighted pipeline</t>
  </si>
  <si>
    <t xml:space="preserve">Industry Health: weighted pipeline</t>
  </si>
  <si>
    <t xml:space="preserve">Industry Public Sector &amp; Development: weighted pipeline</t>
  </si>
  <si>
    <t xml:space="preserve">Industry Real Estate &amp; Infrastructure: weighted pipeline</t>
  </si>
  <si>
    <t xml:space="preserve">Industry Technology, Media &amp; Telecom: weighted pipeline</t>
  </si>
  <si>
    <t xml:space="preserve">Industry Unassigned: weighted pipeline</t>
  </si>
  <si>
    <t xml:space="preserve">Priority accounts with an open opportunity</t>
  </si>
  <si>
    <t xml:space="preserve">Priority accounts touched in 90 days</t>
  </si>
  <si>
    <t xml:space="preserve">Owner hygiene: issues across owners equals open-opportunity issues</t>
  </si>
  <si>
    <t xml:space="preserve">Feedback: average rating</t>
  </si>
  <si>
    <t xml:space="preserve">Feedback: net sentiment points</t>
  </si>
  <si>
    <t xml:space="preserve">Industry total equals LoS total (open pipeline)</t>
  </si>
  <si>
    <t xml:space="preserve">OVERALL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</si>
</sst>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#,##0.0"/>
    <numFmt numFmtId="167" formatCode="#,##0"/>
    <numFmt numFmtId="168" formatCode="0.00\x"/>
    <numFmt numFmtId="169" formatCode="0.0%"/>
    <numFmt numFmtId="170" formatCode="#,##0.00"/>
    <numFmt numFmtId="171" formatCode="yyyy\-mm\-dd"/>
    <numFmt numFmtId="172" formatCode="0.0000"/>
    <numFmt numFmtId="173" formatCode="0.000000"/>
    <numFmt numFmtId="17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2202B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2202B"/>
        <bgColor rgb="FF003366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C00000"/>
        <sz val="10"/>
      </font>
    </dxf>
    <dxf>
      <fill>
        <patternFill>
          <bgColor rgb="FFF8D7DA"/>
        </patternFill>
      </fill>
    </dxf>
    <dxf>
      <fill>
        <patternFill patternType="solid">
          <fgColor rgb="FF12202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86AB"/>
      <rgbColor rgb="FFC0C0C0"/>
      <rgbColor rgb="FF7A7A7A"/>
      <rgbColor rgb="FF9999FF"/>
      <rgbColor rgb="FFC0504D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2F55D4"/>
      <rgbColor rgb="FF33CCCC"/>
      <rgbColor rgb="FF99CC00"/>
      <rgbColor rgb="FFFFCC00"/>
      <rgbColor rgb="FFFF9900"/>
      <rgbColor rgb="FFE4572E"/>
      <rgbColor rgb="FF4F81BD"/>
      <rgbColor rgb="FF878787"/>
      <rgbColor rgb="FF003366"/>
      <rgbColor rgb="FF2E8B57"/>
      <rgbColor rgb="FF12202B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Open vs weighted pipeline by line of service (KES 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Dashboard_LoS!C4</c:f>
              <c:strCache>
                <c:ptCount val="1"/>
                <c:pt idx="0">
                  <c:v>Open pipeline (KES m)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Dashboard_LoS!$A$5:$A$9</c:f>
              <c:strCache>
                <c:ptCount val="5"/>
                <c:pt idx="0">
                  <c:v>Assurance</c:v>
                </c:pt>
                <c:pt idx="1">
                  <c:v>Tax &amp; Legal</c:v>
                </c:pt>
                <c:pt idx="2">
                  <c:v>Deals</c:v>
                </c:pt>
                <c:pt idx="3">
                  <c:v>Consulting</c:v>
                </c:pt>
                <c:pt idx="4">
                  <c:v>Risk</c:v>
                </c:pt>
              </c:strCache>
            </c:strRef>
          </c:cat>
          <c:val>
            <c:numRef>
              <c:f>Dashboard_LoS!$C$5:$C$9</c:f>
              <c:numCache>
                <c:formatCode>#,##0.0</c:formatCode>
                <c:ptCount val="5"/>
                <c:pt idx="0">
                  <c:v>1065.947</c:v>
                </c:pt>
                <c:pt idx="1">
                  <c:v>942.23</c:v>
                </c:pt>
                <c:pt idx="2">
                  <c:v>1979.643</c:v>
                </c:pt>
                <c:pt idx="3">
                  <c:v>2486.486</c:v>
                </c:pt>
                <c:pt idx="4">
                  <c:v>341.496</c:v>
                </c:pt>
              </c:numCache>
            </c:numRef>
          </c:val>
        </c:ser>
        <c:ser>
          <c:idx val="1"/>
          <c:order val="1"/>
          <c:tx>
            <c:strRef>
              <c:f>Dashboard_LoS!D4</c:f>
              <c:strCache>
                <c:ptCount val="1"/>
                <c:pt idx="0">
                  <c:v>Weighted pipeline (KES m)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Dashboard_LoS!$A$5:$A$9</c:f>
              <c:strCache>
                <c:ptCount val="5"/>
                <c:pt idx="0">
                  <c:v>Assurance</c:v>
                </c:pt>
                <c:pt idx="1">
                  <c:v>Tax &amp; Legal</c:v>
                </c:pt>
                <c:pt idx="2">
                  <c:v>Deals</c:v>
                </c:pt>
                <c:pt idx="3">
                  <c:v>Consulting</c:v>
                </c:pt>
                <c:pt idx="4">
                  <c:v>Risk</c:v>
                </c:pt>
              </c:strCache>
            </c:strRef>
          </c:cat>
          <c:val>
            <c:numRef>
              <c:f>Dashboard_LoS!$D$5:$D$9</c:f>
              <c:numCache>
                <c:formatCode>#,##0.0</c:formatCode>
                <c:ptCount val="5"/>
                <c:pt idx="0">
                  <c:v>351.31025</c:v>
                </c:pt>
                <c:pt idx="1">
                  <c:v>318.80875</c:v>
                </c:pt>
                <c:pt idx="2">
                  <c:v>924.6952</c:v>
                </c:pt>
                <c:pt idx="3">
                  <c:v>1025.7814</c:v>
                </c:pt>
                <c:pt idx="4">
                  <c:v>97.7875</c:v>
                </c:pt>
              </c:numCache>
            </c:numRef>
          </c:val>
        </c:ser>
        <c:gapWidth val="150"/>
        <c:overlap val="0"/>
        <c:axId val="75323109"/>
        <c:axId val="19530932"/>
      </c:barChart>
      <c:catAx>
        <c:axId val="753231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530932"/>
        <c:crosses val="autoZero"/>
        <c:auto val="1"/>
        <c:lblAlgn val="ctr"/>
        <c:lblOffset val="100"/>
        <c:noMultiLvlLbl val="0"/>
      </c:catAx>
      <c:valAx>
        <c:axId val="195309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3231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FY27 coverage (x)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Dashboard_LoS!I4</c:f>
              <c:strCache>
                <c:ptCount val="1"/>
                <c:pt idx="0">
                  <c:v>Coverage (x)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Dashboard_LoS!$A$5:$A$9</c:f>
              <c:strCache>
                <c:ptCount val="5"/>
                <c:pt idx="0">
                  <c:v>Assurance</c:v>
                </c:pt>
                <c:pt idx="1">
                  <c:v>Tax &amp; Legal</c:v>
                </c:pt>
                <c:pt idx="2">
                  <c:v>Deals</c:v>
                </c:pt>
                <c:pt idx="3">
                  <c:v>Consulting</c:v>
                </c:pt>
                <c:pt idx="4">
                  <c:v>Risk</c:v>
                </c:pt>
              </c:strCache>
            </c:strRef>
          </c:cat>
          <c:val>
            <c:numRef>
              <c:f>Dashboard_LoS!$I$5:$I$9</c:f>
              <c:numCache>
                <c:formatCode>0.00\x</c:formatCode>
                <c:ptCount val="5"/>
                <c:pt idx="0">
                  <c:v>0.356401827541643</c:v>
                </c:pt>
                <c:pt idx="1">
                  <c:v>0.255084800944238</c:v>
                </c:pt>
                <c:pt idx="2">
                  <c:v>5.3193232741016</c:v>
                </c:pt>
                <c:pt idx="3">
                  <c:v>0.769929501637784</c:v>
                </c:pt>
                <c:pt idx="4">
                  <c:v>0.236766155060494</c:v>
                </c:pt>
              </c:numCache>
            </c:numRef>
          </c:val>
        </c:ser>
        <c:gapWidth val="150"/>
        <c:overlap val="0"/>
        <c:axId val="56046738"/>
        <c:axId val="48259029"/>
      </c:barChart>
      <c:catAx>
        <c:axId val="560467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259029"/>
        <c:crosses val="autoZero"/>
        <c:auto val="1"/>
        <c:lblAlgn val="ctr"/>
        <c:lblOffset val="100"/>
        <c:noMultiLvlLbl val="0"/>
      </c:catAx>
      <c:valAx>
        <c:axId val="482590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0467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Weighted pipeline by industry (KES 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Dashboard_Industry!D4</c:f>
              <c:strCache>
                <c:ptCount val="1"/>
                <c:pt idx="0">
                  <c:v>Weighted pipeline (KES m)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Dashboard_Industry!$A$5:$A$13</c:f>
              <c:strCache>
                <c:ptCount val="9"/>
                <c:pt idx="0">
                  <c:v>Agribusiness</c:v>
                </c:pt>
                <c:pt idx="1">
                  <c:v>Consumer &amp; Retail</c:v>
                </c:pt>
                <c:pt idx="2">
                  <c:v>Energy &amp; Resources</c:v>
                </c:pt>
                <c:pt idx="3">
                  <c:v>Financial Services</c:v>
                </c:pt>
                <c:pt idx="4">
                  <c:v>Health</c:v>
                </c:pt>
                <c:pt idx="5">
                  <c:v>Public Sector &amp; Development</c:v>
                </c:pt>
                <c:pt idx="6">
                  <c:v>Real Estate &amp; Infrastructure</c:v>
                </c:pt>
                <c:pt idx="7">
                  <c:v>Technology, Media &amp; Telecom</c:v>
                </c:pt>
                <c:pt idx="8">
                  <c:v>Unassigned</c:v>
                </c:pt>
              </c:strCache>
            </c:strRef>
          </c:cat>
          <c:val>
            <c:numRef>
              <c:f>Dashboard_Industry!$D$5:$D$13</c:f>
              <c:numCache>
                <c:formatCode>#,##0.0</c:formatCode>
                <c:ptCount val="9"/>
                <c:pt idx="0">
                  <c:v>318.40885</c:v>
                </c:pt>
                <c:pt idx="1">
                  <c:v>265.83615</c:v>
                </c:pt>
                <c:pt idx="2">
                  <c:v>394.9023</c:v>
                </c:pt>
                <c:pt idx="3">
                  <c:v>603.7617</c:v>
                </c:pt>
                <c:pt idx="4">
                  <c:v>64.63045</c:v>
                </c:pt>
                <c:pt idx="5">
                  <c:v>220.68835</c:v>
                </c:pt>
                <c:pt idx="6">
                  <c:v>311.1257</c:v>
                </c:pt>
                <c:pt idx="7">
                  <c:v>443.7796</c:v>
                </c:pt>
                <c:pt idx="8">
                  <c:v>95.25</c:v>
                </c:pt>
              </c:numCache>
            </c:numRef>
          </c:val>
        </c:ser>
        <c:gapWidth val="150"/>
        <c:overlap val="0"/>
        <c:axId val="97643296"/>
        <c:axId val="47606655"/>
      </c:barChart>
      <c:catAx>
        <c:axId val="9764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606655"/>
        <c:crosses val="autoZero"/>
        <c:auto val="1"/>
        <c:lblAlgn val="ctr"/>
        <c:lblOffset val="100"/>
        <c:noMultiLvlLbl val="0"/>
      </c:catAx>
      <c:valAx>
        <c:axId val="476066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6432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Failure rate by rule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DQ_Scorecard!E4</c:f>
              <c:strCache>
                <c:ptCount val="1"/>
                <c:pt idx="0">
                  <c:v>Failure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DQ_Scorecard!$A$5:$A$12</c:f>
              <c:strCache>
                <c:ptCount val="8"/>
                <c:pt idx="0">
                  <c:v>Amount missing or zero</c:v>
                </c:pt>
                <c:pt idx="1">
                  <c:v>No owner assigned</c:v>
                </c:pt>
                <c:pt idx="2">
                  <c:v>Owner has left or is inactive</c:v>
                </c:pt>
                <c:pt idx="3">
                  <c:v>Open with close date in the past</c:v>
                </c:pt>
                <c:pt idx="4">
                  <c:v>No activity for more than the stale threshold</c:v>
                </c:pt>
                <c:pt idx="5">
                  <c:v>Probability does not match stage</c:v>
                </c:pt>
                <c:pt idx="6">
                  <c:v>No next step recorded</c:v>
                </c:pt>
                <c:pt idx="7">
                  <c:v>Lost without a reason</c:v>
                </c:pt>
              </c:strCache>
            </c:strRef>
          </c:cat>
          <c:val>
            <c:numRef>
              <c:f>DQ_Scorecard!$E$5:$E$12</c:f>
              <c:numCache>
                <c:formatCode>0.0%</c:formatCode>
                <c:ptCount val="8"/>
                <c:pt idx="0">
                  <c:v>0.0694736842105263</c:v>
                </c:pt>
                <c:pt idx="1">
                  <c:v>0.0284210526315789</c:v>
                </c:pt>
                <c:pt idx="2">
                  <c:v>0.107238605898123</c:v>
                </c:pt>
                <c:pt idx="3">
                  <c:v>0.150134048257373</c:v>
                </c:pt>
                <c:pt idx="4">
                  <c:v>0.219839142091153</c:v>
                </c:pt>
                <c:pt idx="5">
                  <c:v>0.0589812332439678</c:v>
                </c:pt>
                <c:pt idx="6">
                  <c:v>0.0777479892761394</c:v>
                </c:pt>
                <c:pt idx="7">
                  <c:v>0.177285318559557</c:v>
                </c:pt>
              </c:numCache>
            </c:numRef>
          </c:val>
        </c:ser>
        <c:gapWidth val="150"/>
        <c:overlap val="0"/>
        <c:axId val="56619406"/>
        <c:axId val="69498794"/>
      </c:barChart>
      <c:catAx>
        <c:axId val="566194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498794"/>
        <c:crosses val="autoZero"/>
        <c:auto val="1"/>
        <c:lblAlgn val="ctr"/>
        <c:lblOffset val="100"/>
        <c:noMultiLvlLbl val="0"/>
      </c:catAx>
      <c:valAx>
        <c:axId val="694987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6194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160560</xdr:rowOff>
    </xdr:from>
    <xdr:to>
      <xdr:col>5</xdr:col>
      <xdr:colOff>762840</xdr:colOff>
      <xdr:row>28</xdr:row>
      <xdr:rowOff>172440</xdr:rowOff>
    </xdr:to>
    <xdr:graphicFrame>
      <xdr:nvGraphicFramePr>
        <xdr:cNvPr id="0" name="Chart 1"/>
        <xdr:cNvGraphicFramePr/>
      </xdr:nvGraphicFramePr>
      <xdr:xfrm>
        <a:off x="0" y="29908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12</xdr:row>
      <xdr:rowOff>160560</xdr:rowOff>
    </xdr:from>
    <xdr:to>
      <xdr:col>13</xdr:col>
      <xdr:colOff>372600</xdr:colOff>
      <xdr:row>28</xdr:row>
      <xdr:rowOff>172440</xdr:rowOff>
    </xdr:to>
    <xdr:graphicFrame>
      <xdr:nvGraphicFramePr>
        <xdr:cNvPr id="1" name="Chart 2"/>
        <xdr:cNvGraphicFramePr/>
      </xdr:nvGraphicFramePr>
      <xdr:xfrm>
        <a:off x="9304200" y="2990880"/>
        <a:ext cx="43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160560</xdr:rowOff>
    </xdr:from>
    <xdr:to>
      <xdr:col>4</xdr:col>
      <xdr:colOff>1052280</xdr:colOff>
      <xdr:row>32</xdr:row>
      <xdr:rowOff>162000</xdr:rowOff>
    </xdr:to>
    <xdr:graphicFrame>
      <xdr:nvGraphicFramePr>
        <xdr:cNvPr id="2" name="Chart 1"/>
        <xdr:cNvGraphicFramePr/>
      </xdr:nvGraphicFramePr>
      <xdr:xfrm>
        <a:off x="0" y="34671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160560</xdr:rowOff>
    </xdr:from>
    <xdr:to>
      <xdr:col>4</xdr:col>
      <xdr:colOff>276840</xdr:colOff>
      <xdr:row>37</xdr:row>
      <xdr:rowOff>161640</xdr:rowOff>
    </xdr:to>
    <xdr:graphicFrame>
      <xdr:nvGraphicFramePr>
        <xdr:cNvPr id="3" name="Chart 1"/>
        <xdr:cNvGraphicFramePr/>
      </xdr:nvGraphicFramePr>
      <xdr:xfrm>
        <a:off x="0" y="42670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7A7A"/>
    <pageSetUpPr fitToPage="fals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1" customFormat="false" ht="15" hidden="false" customHeight="false" outlineLevel="0" collapsed="false">
      <c r="A11" s="3" t="s">
        <v>16</v>
      </c>
      <c r="B11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4572E"/>
    <pageSetUpPr fitToPage="false"/>
  </sheetPr>
  <dimension ref="A1:N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4" min="2" style="0" width="14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4" customFormat="false" ht="55.5" hidden="false" customHeight="true" outlineLevel="0" collapsed="false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  <c r="H4" s="5" t="s">
        <v>27</v>
      </c>
      <c r="I4" s="5" t="s">
        <v>28</v>
      </c>
      <c r="J4" s="5" t="s">
        <v>29</v>
      </c>
      <c r="K4" s="5" t="s">
        <v>30</v>
      </c>
      <c r="L4" s="5" t="s">
        <v>31</v>
      </c>
      <c r="M4" s="5" t="s">
        <v>32</v>
      </c>
      <c r="N4" s="5" t="s">
        <v>33</v>
      </c>
    </row>
    <row r="5" customFormat="false" ht="15" hidden="false" customHeight="false" outlineLevel="0" collapsed="false">
      <c r="A5" s="6" t="str">
        <f aca="false">Inputs!A20</f>
        <v>Assurance</v>
      </c>
      <c r="B5" s="7" t="n">
        <f aca="false">COUNTIFS(Opps!$D$5:$D$954,A5,Opps!$O$5:$O$954,1)</f>
        <v>84</v>
      </c>
      <c r="C5" s="8" t="n">
        <f aca="false">SUMIFS(Opps!$F$5:$F$954,Opps!$D$5:$D$954,A5,Opps!$O$5:$O$954,1)/1000000</f>
        <v>1065.947</v>
      </c>
      <c r="D5" s="8" t="n">
        <f aca="false">SUMIFS(Opps!$S$5:$S$954,Opps!$D$5:$D$954,A5,Opps!$O$5:$O$954,1)/1000000</f>
        <v>351.31025</v>
      </c>
      <c r="E5" s="8" t="n">
        <f aca="false">SUMIFS(Opps!$S$5:$S$954,Opps!$D$5:$D$954,A5,Opps!$AE$5:$AE$954,1)/1000000</f>
        <v>347.75445</v>
      </c>
      <c r="F5" s="9" t="n">
        <f aca="false">Inputs!B20</f>
        <v>1100</v>
      </c>
      <c r="G5" s="8" t="n">
        <f aca="false">SUMIFS(Opps!$F$5:$F$954,Opps!$D$5:$D$954,A5,Opps!$AF$5:$AF$954,1)/1000000</f>
        <v>124.263</v>
      </c>
      <c r="H5" s="8" t="n">
        <f aca="false">MAX(F5-G5,0)</f>
        <v>975.737</v>
      </c>
      <c r="I5" s="10" t="n">
        <f aca="false">IF(H5=0,"",E5/H5)</f>
        <v>0.356401827541643</v>
      </c>
      <c r="J5" s="7" t="n">
        <f aca="false">COUNTIFS(Opps!$D$5:$D$954,A5,Opps!$AG$5:$AG$954,1)</f>
        <v>122</v>
      </c>
      <c r="K5" s="7" t="n">
        <f aca="false">COUNTIFS(Opps!$D$5:$D$954,A5,Opps!$AG$5:$AG$954,1,Opps!$E$5:$E$954,"Closed Won")</f>
        <v>40</v>
      </c>
      <c r="L5" s="11" t="n">
        <f aca="false">IF(J5=0,"",K5/J5)</f>
        <v>0.327868852459016</v>
      </c>
      <c r="M5" s="8" t="n">
        <f aca="false">AVERAGEIFS(Opps!$AH$5:$AH$954,Opps!$D$5:$D$954,A5,Opps!$E$5:$E$954,"Closed Won")</f>
        <v>165.275</v>
      </c>
      <c r="N5" s="11" t="n">
        <f aca="false">COUNTIFS(Opps!$D$5:$D$954,A5,Opps!$O$5:$O$954,1,Opps!$AD$5:$AD$954,1)/B5</f>
        <v>0.476190476190476</v>
      </c>
    </row>
    <row r="6" customFormat="false" ht="15" hidden="false" customHeight="false" outlineLevel="0" collapsed="false">
      <c r="A6" s="6" t="str">
        <f aca="false">Inputs!A21</f>
        <v>Tax &amp; Legal</v>
      </c>
      <c r="B6" s="7" t="n">
        <f aca="false">COUNTIFS(Opps!$D$5:$D$954,A6,Opps!$O$5:$O$954,1)</f>
        <v>101</v>
      </c>
      <c r="C6" s="8" t="n">
        <f aca="false">SUMIFS(Opps!$F$5:$F$954,Opps!$D$5:$D$954,A6,Opps!$O$5:$O$954,1)/1000000</f>
        <v>942.23</v>
      </c>
      <c r="D6" s="8" t="n">
        <f aca="false">SUMIFS(Opps!$S$5:$S$954,Opps!$D$5:$D$954,A6,Opps!$O$5:$O$954,1)/1000000</f>
        <v>318.80875</v>
      </c>
      <c r="E6" s="8" t="n">
        <f aca="false">SUMIFS(Opps!$S$5:$S$954,Opps!$D$5:$D$954,A6,Opps!$AE$5:$AE$954,1)/1000000</f>
        <v>309.4824</v>
      </c>
      <c r="F6" s="9" t="n">
        <f aca="false">Inputs!B21</f>
        <v>1500</v>
      </c>
      <c r="G6" s="8" t="n">
        <f aca="false">SUMIFS(Opps!$F$5:$F$954,Opps!$D$5:$D$954,A6,Opps!$AF$5:$AF$954,1)/1000000</f>
        <v>286.747</v>
      </c>
      <c r="H6" s="8" t="n">
        <f aca="false">MAX(F6-G6,0)</f>
        <v>1213.253</v>
      </c>
      <c r="I6" s="10" t="n">
        <f aca="false">IF(H6=0,"",E6/H6)</f>
        <v>0.255084800944238</v>
      </c>
      <c r="J6" s="7" t="n">
        <f aca="false">COUNTIFS(Opps!$D$5:$D$954,A6,Opps!$AG$5:$AG$954,1)</f>
        <v>167</v>
      </c>
      <c r="K6" s="7" t="n">
        <f aca="false">COUNTIFS(Opps!$D$5:$D$954,A6,Opps!$AG$5:$AG$954,1,Opps!$E$5:$E$954,"Closed Won")</f>
        <v>61</v>
      </c>
      <c r="L6" s="11" t="n">
        <f aca="false">IF(J6=0,"",K6/J6)</f>
        <v>0.365269461077844</v>
      </c>
      <c r="M6" s="8" t="n">
        <f aca="false">AVERAGEIFS(Opps!$AH$5:$AH$954,Opps!$D$5:$D$954,A6,Opps!$E$5:$E$954,"Closed Won")</f>
        <v>164.44262295082</v>
      </c>
      <c r="N6" s="11" t="n">
        <f aca="false">COUNTIFS(Opps!$D$5:$D$954,A6,Opps!$O$5:$O$954,1,Opps!$AD$5:$AD$954,1)/B6</f>
        <v>0.485148514851485</v>
      </c>
    </row>
    <row r="7" customFormat="false" ht="15" hidden="false" customHeight="false" outlineLevel="0" collapsed="false">
      <c r="A7" s="6" t="str">
        <f aca="false">Inputs!A22</f>
        <v>Deals</v>
      </c>
      <c r="B7" s="7" t="n">
        <f aca="false">COUNTIFS(Opps!$D$5:$D$954,A7,Opps!$O$5:$O$954,1)</f>
        <v>63</v>
      </c>
      <c r="C7" s="8" t="n">
        <f aca="false">SUMIFS(Opps!$F$5:$F$954,Opps!$D$5:$D$954,A7,Opps!$O$5:$O$954,1)/1000000</f>
        <v>1979.643</v>
      </c>
      <c r="D7" s="8" t="n">
        <f aca="false">SUMIFS(Opps!$S$5:$S$954,Opps!$D$5:$D$954,A7,Opps!$O$5:$O$954,1)/1000000</f>
        <v>924.6952</v>
      </c>
      <c r="E7" s="8" t="n">
        <f aca="false">SUMIFS(Opps!$S$5:$S$954,Opps!$D$5:$D$954,A7,Opps!$AE$5:$AE$954,1)/1000000</f>
        <v>924.6952</v>
      </c>
      <c r="F7" s="9" t="n">
        <f aca="false">Inputs!B22</f>
        <v>900</v>
      </c>
      <c r="G7" s="8" t="n">
        <f aca="false">SUMIFS(Opps!$F$5:$F$954,Opps!$D$5:$D$954,A7,Opps!$AF$5:$AF$954,1)/1000000</f>
        <v>726.163</v>
      </c>
      <c r="H7" s="8" t="n">
        <f aca="false">MAX(F7-G7,0)</f>
        <v>173.837</v>
      </c>
      <c r="I7" s="10" t="n">
        <f aca="false">IF(H7=0,"",E7/H7)</f>
        <v>5.3193232741016</v>
      </c>
      <c r="J7" s="7" t="n">
        <f aca="false">COUNTIFS(Opps!$D$5:$D$954,A7,Opps!$AG$5:$AG$954,1)</f>
        <v>81</v>
      </c>
      <c r="K7" s="7" t="n">
        <f aca="false">COUNTIFS(Opps!$D$5:$D$954,A7,Opps!$AG$5:$AG$954,1,Opps!$E$5:$E$954,"Closed Won")</f>
        <v>38</v>
      </c>
      <c r="L7" s="11" t="n">
        <f aca="false">IF(J7=0,"",K7/J7)</f>
        <v>0.469135802469136</v>
      </c>
      <c r="M7" s="8" t="n">
        <f aca="false">AVERAGEIFS(Opps!$AH$5:$AH$954,Opps!$D$5:$D$954,A7,Opps!$E$5:$E$954,"Closed Won")</f>
        <v>145</v>
      </c>
      <c r="N7" s="11" t="n">
        <f aca="false">COUNTIFS(Opps!$D$5:$D$954,A7,Opps!$O$5:$O$954,1,Opps!$AD$5:$AD$954,1)/B7</f>
        <v>0.349206349206349</v>
      </c>
    </row>
    <row r="8" customFormat="false" ht="15" hidden="false" customHeight="false" outlineLevel="0" collapsed="false">
      <c r="A8" s="6" t="str">
        <f aca="false">Inputs!A23</f>
        <v>Consulting</v>
      </c>
      <c r="B8" s="7" t="n">
        <f aca="false">COUNTIFS(Opps!$D$5:$D$954,A8,Opps!$O$5:$O$954,1)</f>
        <v>95</v>
      </c>
      <c r="C8" s="8" t="n">
        <f aca="false">SUMIFS(Opps!$F$5:$F$954,Opps!$D$5:$D$954,A8,Opps!$O$5:$O$954,1)/1000000</f>
        <v>2486.486</v>
      </c>
      <c r="D8" s="8" t="n">
        <f aca="false">SUMIFS(Opps!$S$5:$S$954,Opps!$D$5:$D$954,A8,Opps!$O$5:$O$954,1)/1000000</f>
        <v>1025.7814</v>
      </c>
      <c r="E8" s="8" t="n">
        <f aca="false">SUMIFS(Opps!$S$5:$S$954,Opps!$D$5:$D$954,A8,Opps!$AE$5:$AE$954,1)/1000000</f>
        <v>1018.95165</v>
      </c>
      <c r="F8" s="9" t="n">
        <f aca="false">Inputs!B23</f>
        <v>1900</v>
      </c>
      <c r="G8" s="8" t="n">
        <f aca="false">SUMIFS(Opps!$F$5:$F$954,Opps!$D$5:$D$954,A8,Opps!$AF$5:$AF$954,1)/1000000</f>
        <v>576.565</v>
      </c>
      <c r="H8" s="8" t="n">
        <f aca="false">MAX(F8-G8,0)</f>
        <v>1323.435</v>
      </c>
      <c r="I8" s="10" t="n">
        <f aca="false">IF(H8=0,"",E8/H8)</f>
        <v>0.769929501637784</v>
      </c>
      <c r="J8" s="7" t="n">
        <f aca="false">COUNTIFS(Opps!$D$5:$D$954,A8,Opps!$AG$5:$AG$954,1)</f>
        <v>152</v>
      </c>
      <c r="K8" s="7" t="n">
        <f aca="false">COUNTIFS(Opps!$D$5:$D$954,A8,Opps!$AG$5:$AG$954,1,Opps!$E$5:$E$954,"Closed Won")</f>
        <v>53</v>
      </c>
      <c r="L8" s="11" t="n">
        <f aca="false">IF(J8=0,"",K8/J8)</f>
        <v>0.348684210526316</v>
      </c>
      <c r="M8" s="8" t="n">
        <f aca="false">AVERAGEIFS(Opps!$AH$5:$AH$954,Opps!$D$5:$D$954,A8,Opps!$E$5:$E$954,"Closed Won")</f>
        <v>159.660377358491</v>
      </c>
      <c r="N8" s="11" t="n">
        <f aca="false">COUNTIFS(Opps!$D$5:$D$954,A8,Opps!$O$5:$O$954,1,Opps!$AD$5:$AD$954,1)/B8</f>
        <v>0.431578947368421</v>
      </c>
    </row>
    <row r="9" customFormat="false" ht="15" hidden="false" customHeight="false" outlineLevel="0" collapsed="false">
      <c r="A9" s="6" t="str">
        <f aca="false">Inputs!A24</f>
        <v>Risk</v>
      </c>
      <c r="B9" s="7" t="n">
        <f aca="false">COUNTIFS(Opps!$D$5:$D$954,A9,Opps!$O$5:$O$954,1)</f>
        <v>30</v>
      </c>
      <c r="C9" s="8" t="n">
        <f aca="false">SUMIFS(Opps!$F$5:$F$954,Opps!$D$5:$D$954,A9,Opps!$O$5:$O$954,1)/1000000</f>
        <v>341.496</v>
      </c>
      <c r="D9" s="8" t="n">
        <f aca="false">SUMIFS(Opps!$S$5:$S$954,Opps!$D$5:$D$954,A9,Opps!$O$5:$O$954,1)/1000000</f>
        <v>97.7875</v>
      </c>
      <c r="E9" s="8" t="n">
        <f aca="false">SUMIFS(Opps!$S$5:$S$954,Opps!$D$5:$D$954,A9,Opps!$AE$5:$AE$954,1)/1000000</f>
        <v>97.7875</v>
      </c>
      <c r="F9" s="9" t="n">
        <f aca="false">Inputs!B24</f>
        <v>600</v>
      </c>
      <c r="G9" s="8" t="n">
        <f aca="false">SUMIFS(Opps!$F$5:$F$954,Opps!$D$5:$D$954,A9,Opps!$AF$5:$AF$954,1)/1000000</f>
        <v>186.987</v>
      </c>
      <c r="H9" s="8" t="n">
        <f aca="false">MAX(F9-G9,0)</f>
        <v>413.013</v>
      </c>
      <c r="I9" s="10" t="n">
        <f aca="false">IF(H9=0,"",E9/H9)</f>
        <v>0.236766155060494</v>
      </c>
      <c r="J9" s="7" t="n">
        <f aca="false">COUNTIFS(Opps!$D$5:$D$954,A9,Opps!$AG$5:$AG$954,1)</f>
        <v>55</v>
      </c>
      <c r="K9" s="7" t="n">
        <f aca="false">COUNTIFS(Opps!$D$5:$D$954,A9,Opps!$AG$5:$AG$954,1,Opps!$E$5:$E$954,"Closed Won")</f>
        <v>24</v>
      </c>
      <c r="L9" s="11" t="n">
        <f aca="false">IF(J9=0,"",K9/J9)</f>
        <v>0.436363636363636</v>
      </c>
      <c r="M9" s="8" t="n">
        <f aca="false">AVERAGEIFS(Opps!$AH$5:$AH$954,Opps!$D$5:$D$954,A9,Opps!$E$5:$E$954,"Closed Won")</f>
        <v>147.5</v>
      </c>
      <c r="N9" s="11" t="n">
        <f aca="false">COUNTIFS(Opps!$D$5:$D$954,A9,Opps!$O$5:$O$954,1,Opps!$AD$5:$AD$954,1)/B9</f>
        <v>0.533333333333333</v>
      </c>
    </row>
    <row r="10" customFormat="false" ht="15" hidden="false" customHeight="false" outlineLevel="0" collapsed="false">
      <c r="A10" s="3" t="s">
        <v>34</v>
      </c>
      <c r="B10" s="12" t="n">
        <f aca="false">SUM(B5:B9)</f>
        <v>373</v>
      </c>
      <c r="C10" s="13" t="n">
        <f aca="false">SUM(C5:C9)</f>
        <v>6815.802</v>
      </c>
      <c r="D10" s="13" t="n">
        <f aca="false">SUM(D5:D9)</f>
        <v>2718.3831</v>
      </c>
      <c r="E10" s="13" t="n">
        <f aca="false">SUM(E5:E9)</f>
        <v>2698.6712</v>
      </c>
      <c r="F10" s="13" t="n">
        <f aca="false">SUM(F5:F9)</f>
        <v>6000</v>
      </c>
      <c r="G10" s="13" t="n">
        <f aca="false">SUM(G5:G9)</f>
        <v>1900.725</v>
      </c>
      <c r="H10" s="13" t="n">
        <f aca="false">SUM(H5:H9)</f>
        <v>4099.275</v>
      </c>
      <c r="I10" s="14" t="n">
        <f aca="false">E10/H10</f>
        <v>0.658328899622494</v>
      </c>
      <c r="J10" s="12" t="n">
        <f aca="false">SUM(J5:J9)</f>
        <v>577</v>
      </c>
      <c r="K10" s="12" t="n">
        <f aca="false">SUM(K5:K9)</f>
        <v>216</v>
      </c>
      <c r="L10" s="15" t="n">
        <f aca="false">K10/J10</f>
        <v>0.374350086655113</v>
      </c>
      <c r="M10" s="13" t="n">
        <f aca="false">AVERAGEIFS(Opps!$AH$5:$AH$954,Opps!$E$5:$E$954,"Closed Won")</f>
        <v>158.12037037037</v>
      </c>
      <c r="N10" s="15" t="n">
        <f aca="false">COUNTIFS(Opps!$O$5:$O$954,1,Opps!$AD$5:$AD$954,1)/B10</f>
        <v>0.450402144772118</v>
      </c>
    </row>
    <row r="12" customFormat="false" ht="15" hidden="false" customHeight="false" outlineLevel="0" collapsed="false">
      <c r="A12" s="2" t="s">
        <v>35</v>
      </c>
    </row>
  </sheetData>
  <conditionalFormatting sqref="I5:I9">
    <cfRule type="cellIs" priority="2" operator="lessThan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4572E"/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9" min="2" style="0" width="15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4" customFormat="false" ht="48" hidden="false" customHeight="true" outlineLevel="0" collapsed="false">
      <c r="A4" s="5" t="s">
        <v>38</v>
      </c>
      <c r="B4" s="5" t="s">
        <v>21</v>
      </c>
      <c r="C4" s="5" t="s">
        <v>22</v>
      </c>
      <c r="D4" s="5" t="s">
        <v>23</v>
      </c>
      <c r="E4" s="5" t="s">
        <v>39</v>
      </c>
      <c r="F4" s="5" t="s">
        <v>29</v>
      </c>
      <c r="G4" s="5" t="s">
        <v>30</v>
      </c>
      <c r="H4" s="5" t="s">
        <v>31</v>
      </c>
      <c r="I4" s="5" t="s">
        <v>33</v>
      </c>
    </row>
    <row r="5" customFormat="false" ht="15" hidden="false" customHeight="false" outlineLevel="0" collapsed="false">
      <c r="A5" s="16" t="s">
        <v>40</v>
      </c>
      <c r="B5" s="7" t="n">
        <f aca="false">COUNTIFS(Opps!$P$5:$P$954,A5,Opps!$O$5:$O$954,1)</f>
        <v>38</v>
      </c>
      <c r="C5" s="8" t="n">
        <f aca="false">SUMIFS(Opps!$F$5:$F$954,Opps!$P$5:$P$954,A5,Opps!$O$5:$O$954,1)/1000000</f>
        <v>671.024</v>
      </c>
      <c r="D5" s="8" t="n">
        <f aca="false">SUMIFS(Opps!$S$5:$S$954,Opps!$P$5:$P$954,A5,Opps!$O$5:$O$954,1)/1000000</f>
        <v>318.40885</v>
      </c>
      <c r="E5" s="11" t="n">
        <f aca="false">D5/D$14</f>
        <v>0.117131705976247</v>
      </c>
      <c r="F5" s="7" t="n">
        <f aca="false">COUNTIFS(Opps!$P$5:$P$954,A5,Opps!$AG$5:$AG$954,1)</f>
        <v>50</v>
      </c>
      <c r="G5" s="7" t="n">
        <f aca="false">COUNTIFS(Opps!$P$5:$P$954,A5,Opps!$AG$5:$AG$954,1,Opps!$E$5:$E$954,"Closed Won")</f>
        <v>16</v>
      </c>
      <c r="H5" s="11" t="n">
        <f aca="false">IF(F5=0,"",G5/F5)</f>
        <v>0.32</v>
      </c>
      <c r="I5" s="11" t="n">
        <f aca="false">IF(B5=0,"",COUNTIFS(Opps!$P$5:$P$954,A5,Opps!$O$5:$O$954,1,Opps!$AD$5:$AD$954,1)/B5)</f>
        <v>0.421052631578947</v>
      </c>
    </row>
    <row r="6" customFormat="false" ht="15" hidden="false" customHeight="false" outlineLevel="0" collapsed="false">
      <c r="A6" s="16" t="s">
        <v>41</v>
      </c>
      <c r="B6" s="7" t="n">
        <f aca="false">COUNTIFS(Opps!$P$5:$P$954,A6,Opps!$O$5:$O$954,1)</f>
        <v>45</v>
      </c>
      <c r="C6" s="8" t="n">
        <f aca="false">SUMIFS(Opps!$F$5:$F$954,Opps!$P$5:$P$954,A6,Opps!$O$5:$O$954,1)/1000000</f>
        <v>741.69</v>
      </c>
      <c r="D6" s="8" t="n">
        <f aca="false">SUMIFS(Opps!$S$5:$S$954,Opps!$P$5:$P$954,A6,Opps!$O$5:$O$954,1)/1000000</f>
        <v>265.83615</v>
      </c>
      <c r="E6" s="11" t="n">
        <f aca="false">D6/D$14</f>
        <v>0.0977920109935939</v>
      </c>
      <c r="F6" s="7" t="n">
        <f aca="false">COUNTIFS(Opps!$P$5:$P$954,A6,Opps!$AG$5:$AG$954,1)</f>
        <v>63</v>
      </c>
      <c r="G6" s="7" t="n">
        <f aca="false">COUNTIFS(Opps!$P$5:$P$954,A6,Opps!$AG$5:$AG$954,1,Opps!$E$5:$E$954,"Closed Won")</f>
        <v>18</v>
      </c>
      <c r="H6" s="11" t="n">
        <f aca="false">IF(F6=0,"",G6/F6)</f>
        <v>0.285714285714286</v>
      </c>
      <c r="I6" s="11" t="n">
        <f aca="false">IF(B6=0,"",COUNTIFS(Opps!$P$5:$P$954,A6,Opps!$O$5:$O$954,1,Opps!$AD$5:$AD$954,1)/B6)</f>
        <v>0.422222222222222</v>
      </c>
    </row>
    <row r="7" customFormat="false" ht="15" hidden="false" customHeight="false" outlineLevel="0" collapsed="false">
      <c r="A7" s="16" t="s">
        <v>42</v>
      </c>
      <c r="B7" s="7" t="n">
        <f aca="false">COUNTIFS(Opps!$P$5:$P$954,A7,Opps!$O$5:$O$954,1)</f>
        <v>44</v>
      </c>
      <c r="C7" s="8" t="n">
        <f aca="false">SUMIFS(Opps!$F$5:$F$954,Opps!$P$5:$P$954,A7,Opps!$O$5:$O$954,1)/1000000</f>
        <v>936.058</v>
      </c>
      <c r="D7" s="8" t="n">
        <f aca="false">SUMIFS(Opps!$S$5:$S$954,Opps!$P$5:$P$954,A7,Opps!$O$5:$O$954,1)/1000000</f>
        <v>394.9023</v>
      </c>
      <c r="E7" s="11" t="n">
        <f aca="false">D7/D$14</f>
        <v>0.145271025264982</v>
      </c>
      <c r="F7" s="7" t="n">
        <f aca="false">COUNTIFS(Opps!$P$5:$P$954,A7,Opps!$AG$5:$AG$954,1)</f>
        <v>56</v>
      </c>
      <c r="G7" s="7" t="n">
        <f aca="false">COUNTIFS(Opps!$P$5:$P$954,A7,Opps!$AG$5:$AG$954,1,Opps!$E$5:$E$954,"Closed Won")</f>
        <v>31</v>
      </c>
      <c r="H7" s="11" t="n">
        <f aca="false">IF(F7=0,"",G7/F7)</f>
        <v>0.553571428571429</v>
      </c>
      <c r="I7" s="11" t="n">
        <f aca="false">IF(B7=0,"",COUNTIFS(Opps!$P$5:$P$954,A7,Opps!$O$5:$O$954,1,Opps!$AD$5:$AD$954,1)/B7)</f>
        <v>0.522727272727273</v>
      </c>
    </row>
    <row r="8" customFormat="false" ht="15" hidden="false" customHeight="false" outlineLevel="0" collapsed="false">
      <c r="A8" s="16" t="s">
        <v>43</v>
      </c>
      <c r="B8" s="7" t="n">
        <f aca="false">COUNTIFS(Opps!$P$5:$P$954,A8,Opps!$O$5:$O$954,1)</f>
        <v>99</v>
      </c>
      <c r="C8" s="8" t="n">
        <f aca="false">SUMIFS(Opps!$F$5:$F$954,Opps!$P$5:$P$954,A8,Opps!$O$5:$O$954,1)/1000000</f>
        <v>1758.697</v>
      </c>
      <c r="D8" s="8" t="n">
        <f aca="false">SUMIFS(Opps!$S$5:$S$954,Opps!$P$5:$P$954,A8,Opps!$O$5:$O$954,1)/1000000</f>
        <v>603.7617</v>
      </c>
      <c r="E8" s="11" t="n">
        <f aca="false">D8/D$14</f>
        <v>0.222103242180986</v>
      </c>
      <c r="F8" s="7" t="n">
        <f aca="false">COUNTIFS(Opps!$P$5:$P$954,A8,Opps!$AG$5:$AG$954,1)</f>
        <v>157</v>
      </c>
      <c r="G8" s="7" t="n">
        <f aca="false">COUNTIFS(Opps!$P$5:$P$954,A8,Opps!$AG$5:$AG$954,1,Opps!$E$5:$E$954,"Closed Won")</f>
        <v>59</v>
      </c>
      <c r="H8" s="11" t="n">
        <f aca="false">IF(F8=0,"",G8/F8)</f>
        <v>0.375796178343949</v>
      </c>
      <c r="I8" s="11" t="n">
        <f aca="false">IF(B8=0,"",COUNTIFS(Opps!$P$5:$P$954,A8,Opps!$O$5:$O$954,1,Opps!$AD$5:$AD$954,1)/B8)</f>
        <v>0.525252525252525</v>
      </c>
    </row>
    <row r="9" customFormat="false" ht="15" hidden="false" customHeight="false" outlineLevel="0" collapsed="false">
      <c r="A9" s="16" t="s">
        <v>44</v>
      </c>
      <c r="B9" s="7" t="n">
        <f aca="false">COUNTIFS(Opps!$P$5:$P$954,A9,Opps!$O$5:$O$954,1)</f>
        <v>13</v>
      </c>
      <c r="C9" s="8" t="n">
        <f aca="false">SUMIFS(Opps!$F$5:$F$954,Opps!$P$5:$P$954,A9,Opps!$O$5:$O$954,1)/1000000</f>
        <v>160.42</v>
      </c>
      <c r="D9" s="8" t="n">
        <f aca="false">SUMIFS(Opps!$S$5:$S$954,Opps!$P$5:$P$954,A9,Opps!$O$5:$O$954,1)/1000000</f>
        <v>64.63045</v>
      </c>
      <c r="E9" s="11" t="n">
        <f aca="false">D9/D$14</f>
        <v>0.0237753280617438</v>
      </c>
      <c r="F9" s="7" t="n">
        <f aca="false">COUNTIFS(Opps!$P$5:$P$954,A9,Opps!$AG$5:$AG$954,1)</f>
        <v>28</v>
      </c>
      <c r="G9" s="7" t="n">
        <f aca="false">COUNTIFS(Opps!$P$5:$P$954,A9,Opps!$AG$5:$AG$954,1,Opps!$E$5:$E$954,"Closed Won")</f>
        <v>16</v>
      </c>
      <c r="H9" s="11" t="n">
        <f aca="false">IF(F9=0,"",G9/F9)</f>
        <v>0.571428571428571</v>
      </c>
      <c r="I9" s="11" t="n">
        <f aca="false">IF(B9=0,"",COUNTIFS(Opps!$P$5:$P$954,A9,Opps!$O$5:$O$954,1,Opps!$AD$5:$AD$954,1)/B9)</f>
        <v>0.461538461538462</v>
      </c>
    </row>
    <row r="10" customFormat="false" ht="15" hidden="false" customHeight="false" outlineLevel="0" collapsed="false">
      <c r="A10" s="16" t="s">
        <v>45</v>
      </c>
      <c r="B10" s="7" t="n">
        <f aca="false">COUNTIFS(Opps!$P$5:$P$954,A10,Opps!$O$5:$O$954,1)</f>
        <v>47</v>
      </c>
      <c r="C10" s="8" t="n">
        <f aca="false">SUMIFS(Opps!$F$5:$F$954,Opps!$P$5:$P$954,A10,Opps!$O$5:$O$954,1)/1000000</f>
        <v>587.049</v>
      </c>
      <c r="D10" s="8" t="n">
        <f aca="false">SUMIFS(Opps!$S$5:$S$954,Opps!$P$5:$P$954,A10,Opps!$O$5:$O$954,1)/1000000</f>
        <v>220.68835</v>
      </c>
      <c r="E10" s="11" t="n">
        <f aca="false">D10/D$14</f>
        <v>0.0811836823146818</v>
      </c>
      <c r="F10" s="7" t="n">
        <f aca="false">COUNTIFS(Opps!$P$5:$P$954,A10,Opps!$AG$5:$AG$954,1)</f>
        <v>73</v>
      </c>
      <c r="G10" s="7" t="n">
        <f aca="false">COUNTIFS(Opps!$P$5:$P$954,A10,Opps!$AG$5:$AG$954,1,Opps!$E$5:$E$954,"Closed Won")</f>
        <v>28</v>
      </c>
      <c r="H10" s="11" t="n">
        <f aca="false">IF(F10=0,"",G10/F10)</f>
        <v>0.383561643835616</v>
      </c>
      <c r="I10" s="11" t="n">
        <f aca="false">IF(B10=0,"",COUNTIFS(Opps!$P$5:$P$954,A10,Opps!$O$5:$O$954,1,Opps!$AD$5:$AD$954,1)/B10)</f>
        <v>0.361702127659575</v>
      </c>
    </row>
    <row r="11" customFormat="false" ht="15" hidden="false" customHeight="false" outlineLevel="0" collapsed="false">
      <c r="A11" s="16" t="s">
        <v>46</v>
      </c>
      <c r="B11" s="7" t="n">
        <f aca="false">COUNTIFS(Opps!$P$5:$P$954,A11,Opps!$O$5:$O$954,1)</f>
        <v>19</v>
      </c>
      <c r="C11" s="8" t="n">
        <f aca="false">SUMIFS(Opps!$F$5:$F$954,Opps!$P$5:$P$954,A11,Opps!$O$5:$O$954,1)/1000000</f>
        <v>536.621</v>
      </c>
      <c r="D11" s="8" t="n">
        <f aca="false">SUMIFS(Opps!$S$5:$S$954,Opps!$P$5:$P$954,A11,Opps!$O$5:$O$954,1)/1000000</f>
        <v>311.1257</v>
      </c>
      <c r="E11" s="11" t="n">
        <f aca="false">D11/D$14</f>
        <v>0.114452484640594</v>
      </c>
      <c r="F11" s="7" t="n">
        <f aca="false">COUNTIFS(Opps!$P$5:$P$954,A11,Opps!$AG$5:$AG$954,1)</f>
        <v>21</v>
      </c>
      <c r="G11" s="7" t="n">
        <f aca="false">COUNTIFS(Opps!$P$5:$P$954,A11,Opps!$AG$5:$AG$954,1,Opps!$E$5:$E$954,"Closed Won")</f>
        <v>6</v>
      </c>
      <c r="H11" s="11" t="n">
        <f aca="false">IF(F11=0,"",G11/F11)</f>
        <v>0.285714285714286</v>
      </c>
      <c r="I11" s="11" t="n">
        <f aca="false">IF(B11=0,"",COUNTIFS(Opps!$P$5:$P$954,A11,Opps!$O$5:$O$954,1,Opps!$AD$5:$AD$954,1)/B11)</f>
        <v>0.368421052631579</v>
      </c>
    </row>
    <row r="12" customFormat="false" ht="15" hidden="false" customHeight="false" outlineLevel="0" collapsed="false">
      <c r="A12" s="16" t="s">
        <v>47</v>
      </c>
      <c r="B12" s="7" t="n">
        <f aca="false">COUNTIFS(Opps!$P$5:$P$954,A12,Opps!$O$5:$O$954,1)</f>
        <v>56</v>
      </c>
      <c r="C12" s="8" t="n">
        <f aca="false">SUMIFS(Opps!$F$5:$F$954,Opps!$P$5:$P$954,A12,Opps!$O$5:$O$954,1)/1000000</f>
        <v>1187.057</v>
      </c>
      <c r="D12" s="8" t="n">
        <f aca="false">SUMIFS(Opps!$S$5:$S$954,Opps!$P$5:$P$954,A12,Opps!$O$5:$O$954,1)/1000000</f>
        <v>443.7796</v>
      </c>
      <c r="E12" s="11" t="n">
        <f aca="false">D12/D$14</f>
        <v>0.163251309206565</v>
      </c>
      <c r="F12" s="7" t="n">
        <f aca="false">COUNTIFS(Opps!$P$5:$P$954,A12,Opps!$AG$5:$AG$954,1)</f>
        <v>100</v>
      </c>
      <c r="G12" s="7" t="n">
        <f aca="false">COUNTIFS(Opps!$P$5:$P$954,A12,Opps!$AG$5:$AG$954,1,Opps!$E$5:$E$954,"Closed Won")</f>
        <v>37</v>
      </c>
      <c r="H12" s="11" t="n">
        <f aca="false">IF(F12=0,"",G12/F12)</f>
        <v>0.37</v>
      </c>
      <c r="I12" s="11" t="n">
        <f aca="false">IF(B12=0,"",COUNTIFS(Opps!$P$5:$P$954,A12,Opps!$O$5:$O$954,1,Opps!$AD$5:$AD$954,1)/B12)</f>
        <v>0.428571428571429</v>
      </c>
    </row>
    <row r="13" customFormat="false" ht="15" hidden="false" customHeight="false" outlineLevel="0" collapsed="false">
      <c r="A13" s="16" t="s">
        <v>48</v>
      </c>
      <c r="B13" s="7" t="n">
        <f aca="false">COUNTIFS(Opps!$P$5:$P$954,A13,Opps!$O$5:$O$954,1)</f>
        <v>12</v>
      </c>
      <c r="C13" s="8" t="n">
        <f aca="false">SUMIFS(Opps!$F$5:$F$954,Opps!$P$5:$P$954,A13,Opps!$O$5:$O$954,1)/1000000</f>
        <v>237.186</v>
      </c>
      <c r="D13" s="8" t="n">
        <f aca="false">SUMIFS(Opps!$S$5:$S$954,Opps!$P$5:$P$954,A13,Opps!$O$5:$O$954,1)/1000000</f>
        <v>95.25</v>
      </c>
      <c r="E13" s="11" t="n">
        <f aca="false">D13/D$14</f>
        <v>0.0350392113606062</v>
      </c>
      <c r="F13" s="7" t="n">
        <f aca="false">COUNTIFS(Opps!$P$5:$P$954,A13,Opps!$AG$5:$AG$954,1)</f>
        <v>29</v>
      </c>
      <c r="G13" s="7" t="n">
        <f aca="false">COUNTIFS(Opps!$P$5:$P$954,A13,Opps!$AG$5:$AG$954,1,Opps!$E$5:$E$954,"Closed Won")</f>
        <v>5</v>
      </c>
      <c r="H13" s="11" t="n">
        <f aca="false">IF(F13=0,"",G13/F13)</f>
        <v>0.172413793103448</v>
      </c>
      <c r="I13" s="11" t="n">
        <f aca="false">IF(B13=0,"",COUNTIFS(Opps!$P$5:$P$954,A13,Opps!$O$5:$O$954,1,Opps!$AD$5:$AD$954,1)/B13)</f>
        <v>0.333333333333333</v>
      </c>
    </row>
    <row r="14" customFormat="false" ht="15" hidden="false" customHeight="false" outlineLevel="0" collapsed="false">
      <c r="A14" s="3" t="s">
        <v>34</v>
      </c>
      <c r="B14" s="12" t="n">
        <f aca="false">SUM(B5:B13)</f>
        <v>373</v>
      </c>
      <c r="C14" s="13" t="n">
        <f aca="false">SUM(C5:C13)</f>
        <v>6815.802</v>
      </c>
      <c r="D14" s="13" t="n">
        <f aca="false">SUM(D5:D13)</f>
        <v>2718.3831</v>
      </c>
      <c r="E14" s="15" t="n">
        <f aca="false">SUM(E5:E13)</f>
        <v>1</v>
      </c>
      <c r="F14" s="12" t="n">
        <f aca="false">SUM(F5:F13)</f>
        <v>577</v>
      </c>
      <c r="G14" s="12" t="n">
        <f aca="false">SUM(G5:G13)</f>
        <v>216</v>
      </c>
      <c r="H14" s="15" t="n">
        <f aca="false">G14/F14</f>
        <v>0.374350086655113</v>
      </c>
    </row>
  </sheetData>
  <conditionalFormatting sqref="D5:D13">
    <cfRule type="dataBar" priority="2">
      <dataBar showValue="1" minLength="10" maxLength="90">
        <cfvo type="num" val="0"/>
        <cfvo type="max" val="0"/>
        <color rgb="FF2E86AB"/>
      </dataBar>
      <extLst>
        <ext xmlns:x14="http://schemas.microsoft.com/office/spreadsheetml/2009/9/main" uri="{B025F937-C7B1-47D3-B67F-A62EFF666E3E}">
          <x14:id>{6889693B-CE4D-4388-8EB4-29346A56C377}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89693B-CE4D-4388-8EB4-29346A56C377}">
            <x14:dataBar minLength="10" maxLength="90" axisPosition="none" gradient="true">
              <x14:cfvo type="num">
                <xm:f>0</xm:f>
              </x14:cfvo>
              <x14:cfvo type="max"/>
              <x14:negativeFillColor rgb="FF2E86AB"/>
              <x14:axisColor rgb="FF000000"/>
            </x14:dataBar>
          </x14:cfRule>
          <xm:sqref>D5:D13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4572E"/>
    <pageSetUpPr fitToPage="false"/>
  </sheetPr>
  <dimension ref="A1:I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43.5" hidden="false" customHeight="true" outlineLevel="0" collapsed="false">
      <c r="A4" s="5" t="s">
        <v>51</v>
      </c>
      <c r="B4" s="5" t="s">
        <v>52</v>
      </c>
      <c r="C4" s="5" t="s">
        <v>38</v>
      </c>
      <c r="D4" s="5" t="s">
        <v>53</v>
      </c>
      <c r="E4" s="5" t="s">
        <v>21</v>
      </c>
      <c r="F4" s="5" t="s">
        <v>23</v>
      </c>
      <c r="G4" s="5" t="s">
        <v>54</v>
      </c>
      <c r="H4" s="5" t="s">
        <v>55</v>
      </c>
      <c r="I4" s="5" t="s">
        <v>56</v>
      </c>
    </row>
    <row r="5" customFormat="false" ht="15" hidden="false" customHeight="false" outlineLevel="0" collapsed="false">
      <c r="A5" s="16" t="s">
        <v>57</v>
      </c>
      <c r="B5" s="17" t="str">
        <f aca="false">INDEX(Accounts!$B$5:$B$336,MATCH(A5,Accounts!$A$5:$A$336,0))</f>
        <v>Jambo Microfinance Limited</v>
      </c>
      <c r="C5" s="17" t="str">
        <f aca="false">INDEX(Accounts!$K$5:$K$336,MATCH(A5,Accounts!$A$5:$A$336,0))</f>
        <v>Financial Services</v>
      </c>
      <c r="D5" s="17" t="str">
        <f aca="false">INDEX(Owners!$B$5:$B$32,MATCH(INDEX(Accounts!$G$5:$G$336,MATCH(A5,Accounts!$A$5:$A$336,0)),Owners!$A$5:$A$32,0))</f>
        <v>Amina Otieno</v>
      </c>
      <c r="E5" s="7" t="n">
        <f aca="false">COUNTIFS(Opps!$B$5:$B$954,A5,Opps!$O$5:$O$954,1)</f>
        <v>4</v>
      </c>
      <c r="F5" s="18" t="n">
        <f aca="false">SUMIFS(Opps!$S$5:$S$954,Opps!$B$5:$B$954,A5,Opps!$O$5:$O$954,1)/1000000</f>
        <v>68.29475</v>
      </c>
      <c r="G5" s="19" t="n">
        <f aca="false">IF(COUNTIFS(Activities!$B$5:$B$1453,A5)=0,"",_xlfn.MAXIFS(Activities!$D$5:$D$1453,Activities!$B$5:$B$1453,A5))</f>
        <v>46259</v>
      </c>
      <c r="H5" s="7" t="n">
        <f aca="false">IF(G5="","",Inputs!$B$4-G5)</f>
        <v>55</v>
      </c>
      <c r="I5" s="3" t="str">
        <f aca="false">IF(OR(E5=0,H5="",H5&gt;90),"Yes","")</f>
        <v/>
      </c>
    </row>
    <row r="6" customFormat="false" ht="15" hidden="false" customHeight="false" outlineLevel="0" collapsed="false">
      <c r="A6" s="16" t="s">
        <v>58</v>
      </c>
      <c r="B6" s="17" t="str">
        <f aca="false">INDEX(Accounts!$B$5:$B$336,MATCH(A6,Accounts!$A$5:$A$336,0))</f>
        <v>Umoja Capital Limited</v>
      </c>
      <c r="C6" s="17" t="str">
        <f aca="false">INDEX(Accounts!$K$5:$K$336,MATCH(A6,Accounts!$A$5:$A$336,0))</f>
        <v>Financial Services</v>
      </c>
      <c r="D6" s="17" t="str">
        <f aca="false">INDEX(Owners!$B$5:$B$32,MATCH(INDEX(Accounts!$G$5:$G$336,MATCH(A6,Accounts!$A$5:$A$336,0)),Owners!$A$5:$A$32,0))</f>
        <v>Brian Chebet</v>
      </c>
      <c r="E6" s="7" t="n">
        <f aca="false">COUNTIFS(Opps!$B$5:$B$954,A6,Opps!$O$5:$O$954,1)</f>
        <v>2</v>
      </c>
      <c r="F6" s="18" t="n">
        <f aca="false">SUMIFS(Opps!$S$5:$S$954,Opps!$B$5:$B$954,A6,Opps!$O$5:$O$954,1)/1000000</f>
        <v>7.272</v>
      </c>
      <c r="G6" s="19" t="n">
        <f aca="false">IF(COUNTIFS(Activities!$B$5:$B$1453,A6)=0,"",_xlfn.MAXIFS(Activities!$D$5:$D$1453,Activities!$B$5:$B$1453,A6))</f>
        <v>46245</v>
      </c>
      <c r="H6" s="7" t="n">
        <f aca="false">IF(G6="","",Inputs!$B$4-G6)</f>
        <v>69</v>
      </c>
      <c r="I6" s="3" t="str">
        <f aca="false">IF(OR(E6=0,H6="",H6&gt;90),"Yes","")</f>
        <v/>
      </c>
    </row>
    <row r="7" customFormat="false" ht="15" hidden="false" customHeight="false" outlineLevel="0" collapsed="false">
      <c r="A7" s="16" t="s">
        <v>59</v>
      </c>
      <c r="B7" s="17" t="str">
        <f aca="false">INDEX(Accounts!$B$5:$B$336,MATCH(A7,Accounts!$A$5:$A$336,0))</f>
        <v>Nile Microfinance Limited</v>
      </c>
      <c r="C7" s="17" t="str">
        <f aca="false">INDEX(Accounts!$K$5:$K$336,MATCH(A7,Accounts!$A$5:$A$336,0))</f>
        <v>Financial Services</v>
      </c>
      <c r="D7" s="17" t="str">
        <f aca="false">INDEX(Owners!$B$5:$B$32,MATCH(INDEX(Accounts!$G$5:$G$336,MATCH(A7,Accounts!$A$5:$A$336,0)),Owners!$A$5:$A$32,0))</f>
        <v>Cynthia Odhiambo</v>
      </c>
      <c r="E7" s="7" t="n">
        <f aca="false">COUNTIFS(Opps!$B$5:$B$954,A7,Opps!$O$5:$O$954,1)</f>
        <v>4</v>
      </c>
      <c r="F7" s="18" t="n">
        <f aca="false">SUMIFS(Opps!$S$5:$S$954,Opps!$B$5:$B$954,A7,Opps!$O$5:$O$954,1)/1000000</f>
        <v>12.8949</v>
      </c>
      <c r="G7" s="19" t="n">
        <f aca="false">IF(COUNTIFS(Activities!$B$5:$B$1453,A7)=0,"",_xlfn.MAXIFS(Activities!$D$5:$D$1453,Activities!$B$5:$B$1453,A7))</f>
        <v>46261</v>
      </c>
      <c r="H7" s="7" t="n">
        <f aca="false">IF(G7="","",Inputs!$B$4-G7)</f>
        <v>53</v>
      </c>
      <c r="I7" s="3" t="str">
        <f aca="false">IF(OR(E7=0,H7="",H7&gt;90),"Yes","")</f>
        <v/>
      </c>
    </row>
    <row r="8" customFormat="false" ht="15" hidden="false" customHeight="false" outlineLevel="0" collapsed="false">
      <c r="A8" s="16" t="s">
        <v>60</v>
      </c>
      <c r="B8" s="17" t="str">
        <f aca="false">INDEX(Accounts!$B$5:$B$336,MATCH(A8,Accounts!$A$5:$A$336,0))</f>
        <v>Pwani Asset Managers Limited</v>
      </c>
      <c r="C8" s="17" t="str">
        <f aca="false">INDEX(Accounts!$K$5:$K$336,MATCH(A8,Accounts!$A$5:$A$336,0))</f>
        <v>Financial Services</v>
      </c>
      <c r="D8" s="17" t="str">
        <f aca="false">INDEX(Owners!$B$5:$B$32,MATCH(INDEX(Accounts!$G$5:$G$336,MATCH(A8,Accounts!$A$5:$A$336,0)),Owners!$A$5:$A$32,0))</f>
        <v>Daniel Wanjiru</v>
      </c>
      <c r="E8" s="7" t="n">
        <f aca="false">COUNTIFS(Opps!$B$5:$B$954,A8,Opps!$O$5:$O$954,1)</f>
        <v>4</v>
      </c>
      <c r="F8" s="18" t="n">
        <f aca="false">SUMIFS(Opps!$S$5:$S$954,Opps!$B$5:$B$954,A8,Opps!$O$5:$O$954,1)/1000000</f>
        <v>11.1043</v>
      </c>
      <c r="G8" s="19" t="n">
        <f aca="false">IF(COUNTIFS(Activities!$B$5:$B$1453,A8)=0,"",_xlfn.MAXIFS(Activities!$D$5:$D$1453,Activities!$B$5:$B$1453,A8))</f>
        <v>46292</v>
      </c>
      <c r="H8" s="7" t="n">
        <f aca="false">IF(G8="","",Inputs!$B$4-G8)</f>
        <v>22</v>
      </c>
      <c r="I8" s="3" t="str">
        <f aca="false">IF(OR(E8=0,H8="",H8&gt;90),"Yes","")</f>
        <v/>
      </c>
    </row>
    <row r="9" customFormat="false" ht="15" hidden="false" customHeight="false" outlineLevel="0" collapsed="false">
      <c r="A9" s="16" t="s">
        <v>61</v>
      </c>
      <c r="B9" s="17" t="str">
        <f aca="false">INDEX(Accounts!$B$5:$B$336,MATCH(A9,Accounts!$A$5:$A$336,0))</f>
        <v>Twiga Agri Limited</v>
      </c>
      <c r="C9" s="17" t="str">
        <f aca="false">INDEX(Accounts!$K$5:$K$336,MATCH(A9,Accounts!$A$5:$A$336,0))</f>
        <v>Agribusiness</v>
      </c>
      <c r="D9" s="17" t="str">
        <f aca="false">INDEX(Owners!$B$5:$B$32,MATCH(INDEX(Accounts!$G$5:$G$336,MATCH(A9,Accounts!$A$5:$A$336,0)),Owners!$A$5:$A$32,0))</f>
        <v>Esther Kiprop</v>
      </c>
      <c r="E9" s="7" t="n">
        <f aca="false">COUNTIFS(Opps!$B$5:$B$954,A9,Opps!$O$5:$O$954,1)</f>
        <v>5</v>
      </c>
      <c r="F9" s="18" t="n">
        <f aca="false">SUMIFS(Opps!$S$5:$S$954,Opps!$B$5:$B$954,A9,Opps!$O$5:$O$954,1)/1000000</f>
        <v>8.21025</v>
      </c>
      <c r="G9" s="19" t="n">
        <f aca="false">IF(COUNTIFS(Activities!$B$5:$B$1453,A9)=0,"",_xlfn.MAXIFS(Activities!$D$5:$D$1453,Activities!$B$5:$B$1453,A9))</f>
        <v>46313</v>
      </c>
      <c r="H9" s="7" t="n">
        <f aca="false">IF(G9="","",Inputs!$B$4-G9)</f>
        <v>1</v>
      </c>
      <c r="I9" s="3" t="str">
        <f aca="false">IF(OR(E9=0,H9="",H9&gt;90),"Yes","")</f>
        <v/>
      </c>
    </row>
    <row r="10" customFormat="false" ht="15" hidden="false" customHeight="false" outlineLevel="0" collapsed="false">
      <c r="A10" s="16" t="s">
        <v>62</v>
      </c>
      <c r="B10" s="17" t="str">
        <f aca="false">INDEX(Accounts!$B$5:$B$336,MATCH(A10,Accounts!$A$5:$A$336,0))</f>
        <v>Kibo Microfinance Limited</v>
      </c>
      <c r="C10" s="17" t="str">
        <f aca="false">INDEX(Accounts!$K$5:$K$336,MATCH(A10,Accounts!$A$5:$A$336,0))</f>
        <v>Financial Services</v>
      </c>
      <c r="D10" s="17" t="str">
        <f aca="false">INDEX(Owners!$B$5:$B$32,MATCH(INDEX(Accounts!$G$5:$G$336,MATCH(A10,Accounts!$A$5:$A$336,0)),Owners!$A$5:$A$32,0))</f>
        <v>Felix Barasa</v>
      </c>
      <c r="E10" s="7" t="n">
        <f aca="false">COUNTIFS(Opps!$B$5:$B$954,A10,Opps!$O$5:$O$954,1)</f>
        <v>2</v>
      </c>
      <c r="F10" s="18" t="n">
        <f aca="false">SUMIFS(Opps!$S$5:$S$954,Opps!$B$5:$B$954,A10,Opps!$O$5:$O$954,1)/1000000</f>
        <v>22.3261</v>
      </c>
      <c r="G10" s="19" t="n">
        <f aca="false">IF(COUNTIFS(Activities!$B$5:$B$1453,A10)=0,"",_xlfn.MAXIFS(Activities!$D$5:$D$1453,Activities!$B$5:$B$1453,A10))</f>
        <v>46286</v>
      </c>
      <c r="H10" s="7" t="n">
        <f aca="false">IF(G10="","",Inputs!$B$4-G10)</f>
        <v>28</v>
      </c>
      <c r="I10" s="3" t="str">
        <f aca="false">IF(OR(E10=0,H10="",H10&gt;90),"Yes","")</f>
        <v/>
      </c>
    </row>
    <row r="11" customFormat="false" ht="15" hidden="false" customHeight="false" outlineLevel="0" collapsed="false">
      <c r="A11" s="16" t="s">
        <v>63</v>
      </c>
      <c r="B11" s="17" t="str">
        <f aca="false">INDEX(Accounts!$B$5:$B$336,MATCH(A11,Accounts!$A$5:$A$336,0))</f>
        <v>Nile County Government</v>
      </c>
      <c r="C11" s="17" t="str">
        <f aca="false">INDEX(Accounts!$K$5:$K$336,MATCH(A11,Accounts!$A$5:$A$336,0))</f>
        <v>Public Sector &amp; Development</v>
      </c>
      <c r="D11" s="17" t="str">
        <f aca="false">INDEX(Owners!$B$5:$B$32,MATCH(INDEX(Accounts!$G$5:$G$336,MATCH(A11,Accounts!$A$5:$A$336,0)),Owners!$A$5:$A$32,0))</f>
        <v>Grace Mwangi</v>
      </c>
      <c r="E11" s="7" t="n">
        <f aca="false">COUNTIFS(Opps!$B$5:$B$954,A11,Opps!$O$5:$O$954,1)</f>
        <v>4</v>
      </c>
      <c r="F11" s="18" t="n">
        <f aca="false">SUMIFS(Opps!$S$5:$S$954,Opps!$B$5:$B$954,A11,Opps!$O$5:$O$954,1)/1000000</f>
        <v>10.19965</v>
      </c>
      <c r="G11" s="19" t="n">
        <f aca="false">IF(COUNTIFS(Activities!$B$5:$B$1453,A11)=0,"",_xlfn.MAXIFS(Activities!$D$5:$D$1453,Activities!$B$5:$B$1453,A11))</f>
        <v>46234</v>
      </c>
      <c r="H11" s="7" t="n">
        <f aca="false">IF(G11="","",Inputs!$B$4-G11)</f>
        <v>80</v>
      </c>
      <c r="I11" s="3" t="str">
        <f aca="false">IF(OR(E11=0,H11="",H11&gt;90),"Yes","")</f>
        <v/>
      </c>
    </row>
    <row r="12" customFormat="false" ht="15" hidden="false" customHeight="false" outlineLevel="0" collapsed="false">
      <c r="A12" s="16" t="s">
        <v>64</v>
      </c>
      <c r="B12" s="17" t="str">
        <f aca="false">INDEX(Accounts!$B$5:$B$336,MATCH(A12,Accounts!$A$5:$A$336,0))</f>
        <v>Tembo Capital Limited</v>
      </c>
      <c r="C12" s="17" t="str">
        <f aca="false">INDEX(Accounts!$K$5:$K$336,MATCH(A12,Accounts!$A$5:$A$336,0))</f>
        <v>Financial Services</v>
      </c>
      <c r="D12" s="17" t="str">
        <f aca="false">INDEX(Owners!$B$5:$B$32,MATCH(INDEX(Accounts!$G$5:$G$336,MATCH(A12,Accounts!$A$5:$A$336,0)),Owners!$A$5:$A$32,0))</f>
        <v>Amina Otieno</v>
      </c>
      <c r="E12" s="7" t="n">
        <f aca="false">COUNTIFS(Opps!$B$5:$B$954,A12,Opps!$O$5:$O$954,1)</f>
        <v>5</v>
      </c>
      <c r="F12" s="18" t="n">
        <f aca="false">SUMIFS(Opps!$S$5:$S$954,Opps!$B$5:$B$954,A12,Opps!$O$5:$O$954,1)/1000000</f>
        <v>10.6029</v>
      </c>
      <c r="G12" s="19" t="n">
        <f aca="false">IF(COUNTIFS(Activities!$B$5:$B$1453,A12)=0,"",_xlfn.MAXIFS(Activities!$D$5:$D$1453,Activities!$B$5:$B$1453,A12))</f>
        <v>46293</v>
      </c>
      <c r="H12" s="7" t="n">
        <f aca="false">IF(G12="","",Inputs!$B$4-G12)</f>
        <v>21</v>
      </c>
      <c r="I12" s="3" t="str">
        <f aca="false">IF(OR(E12=0,H12="",H12&gt;90),"Yes","")</f>
        <v/>
      </c>
    </row>
    <row r="13" customFormat="false" ht="15" hidden="false" customHeight="false" outlineLevel="0" collapsed="false">
      <c r="A13" s="16" t="s">
        <v>65</v>
      </c>
      <c r="B13" s="17" t="str">
        <f aca="false">INDEX(Accounts!$B$5:$B$336,MATCH(A13,Accounts!$A$5:$A$336,0))</f>
        <v>Rift Cloud Limited</v>
      </c>
      <c r="C13" s="17" t="str">
        <f aca="false">INDEX(Accounts!$K$5:$K$336,MATCH(A13,Accounts!$A$5:$A$336,0))</f>
        <v>Technology, Media &amp; Telecom</v>
      </c>
      <c r="D13" s="17" t="str">
        <f aca="false">INDEX(Owners!$B$5:$B$32,MATCH(INDEX(Accounts!$G$5:$G$336,MATCH(A13,Accounts!$A$5:$A$336,0)),Owners!$A$5:$A$32,0))</f>
        <v>Brian Chebet</v>
      </c>
      <c r="E13" s="7" t="n">
        <f aca="false">COUNTIFS(Opps!$B$5:$B$954,A13,Opps!$O$5:$O$954,1)</f>
        <v>2</v>
      </c>
      <c r="F13" s="18" t="n">
        <f aca="false">SUMIFS(Opps!$S$5:$S$954,Opps!$B$5:$B$954,A13,Opps!$O$5:$O$954,1)/1000000</f>
        <v>4.27325</v>
      </c>
      <c r="G13" s="19" t="n">
        <f aca="false">IF(COUNTIFS(Activities!$B$5:$B$1453,A13)=0,"",_xlfn.MAXIFS(Activities!$D$5:$D$1453,Activities!$B$5:$B$1453,A13))</f>
        <v>46306</v>
      </c>
      <c r="H13" s="7" t="n">
        <f aca="false">IF(G13="","",Inputs!$B$4-G13)</f>
        <v>8</v>
      </c>
      <c r="I13" s="3" t="str">
        <f aca="false">IF(OR(E13=0,H13="",H13&gt;90),"Yes","")</f>
        <v/>
      </c>
    </row>
    <row r="14" customFormat="false" ht="15" hidden="false" customHeight="false" outlineLevel="0" collapsed="false">
      <c r="A14" s="16" t="s">
        <v>66</v>
      </c>
      <c r="B14" s="17" t="str">
        <f aca="false">INDEX(Accounts!$B$5:$B$336,MATCH(A14,Accounts!$A$5:$A$336,0))</f>
        <v>Umoja Asset Managers Limited</v>
      </c>
      <c r="C14" s="17" t="str">
        <f aca="false">INDEX(Accounts!$K$5:$K$336,MATCH(A14,Accounts!$A$5:$A$336,0))</f>
        <v>Financial Services</v>
      </c>
      <c r="D14" s="17" t="str">
        <f aca="false">INDEX(Owners!$B$5:$B$32,MATCH(INDEX(Accounts!$G$5:$G$336,MATCH(A14,Accounts!$A$5:$A$336,0)),Owners!$A$5:$A$32,0))</f>
        <v>Cynthia Odhiambo</v>
      </c>
      <c r="E14" s="7" t="n">
        <f aca="false">COUNTIFS(Opps!$B$5:$B$954,A14,Opps!$O$5:$O$954,1)</f>
        <v>4</v>
      </c>
      <c r="F14" s="18" t="n">
        <f aca="false">SUMIFS(Opps!$S$5:$S$954,Opps!$B$5:$B$954,A14,Opps!$O$5:$O$954,1)/1000000</f>
        <v>77.5095</v>
      </c>
      <c r="G14" s="19" t="n">
        <f aca="false">IF(COUNTIFS(Activities!$B$5:$B$1453,A14)=0,"",_xlfn.MAXIFS(Activities!$D$5:$D$1453,Activities!$B$5:$B$1453,A14))</f>
        <v>46262</v>
      </c>
      <c r="H14" s="7" t="n">
        <f aca="false">IF(G14="","",Inputs!$B$4-G14)</f>
        <v>52</v>
      </c>
      <c r="I14" s="3" t="str">
        <f aca="false">IF(OR(E14=0,H14="",H14&gt;90),"Yes","")</f>
        <v/>
      </c>
    </row>
    <row r="15" customFormat="false" ht="15" hidden="false" customHeight="false" outlineLevel="0" collapsed="false">
      <c r="A15" s="16" t="s">
        <v>67</v>
      </c>
      <c r="B15" s="17" t="str">
        <f aca="false">INDEX(Accounts!$B$5:$B$336,MATCH(A15,Accounts!$A$5:$A$336,0))</f>
        <v>Rift Capital Limited</v>
      </c>
      <c r="C15" s="17" t="str">
        <f aca="false">INDEX(Accounts!$K$5:$K$336,MATCH(A15,Accounts!$A$5:$A$336,0))</f>
        <v>Financial Services</v>
      </c>
      <c r="D15" s="17" t="str">
        <f aca="false">INDEX(Owners!$B$5:$B$32,MATCH(INDEX(Accounts!$G$5:$G$336,MATCH(A15,Accounts!$A$5:$A$336,0)),Owners!$A$5:$A$32,0))</f>
        <v>Daniel Wanjiru</v>
      </c>
      <c r="E15" s="7" t="n">
        <f aca="false">COUNTIFS(Opps!$B$5:$B$954,A15,Opps!$O$5:$O$954,1)</f>
        <v>5</v>
      </c>
      <c r="F15" s="18" t="n">
        <f aca="false">SUMIFS(Opps!$S$5:$S$954,Opps!$B$5:$B$954,A15,Opps!$O$5:$O$954,1)/1000000</f>
        <v>20.50555</v>
      </c>
      <c r="G15" s="19" t="n">
        <f aca="false">IF(COUNTIFS(Activities!$B$5:$B$1453,A15)=0,"",_xlfn.MAXIFS(Activities!$D$5:$D$1453,Activities!$B$5:$B$1453,A15))</f>
        <v>46307</v>
      </c>
      <c r="H15" s="7" t="n">
        <f aca="false">IF(G15="","",Inputs!$B$4-G15)</f>
        <v>7</v>
      </c>
      <c r="I15" s="3" t="str">
        <f aca="false">IF(OR(E15=0,H15="",H15&gt;90),"Yes","")</f>
        <v/>
      </c>
    </row>
    <row r="16" customFormat="false" ht="15" hidden="false" customHeight="false" outlineLevel="0" collapsed="false">
      <c r="A16" s="16" t="s">
        <v>68</v>
      </c>
      <c r="B16" s="17" t="str">
        <f aca="false">INDEX(Accounts!$B$5:$B$336,MATCH(A16,Accounts!$A$5:$A$336,0))</f>
        <v>Safari Microfinance Limited</v>
      </c>
      <c r="C16" s="17" t="str">
        <f aca="false">INDEX(Accounts!$K$5:$K$336,MATCH(A16,Accounts!$A$5:$A$336,0))</f>
        <v>Financial Services</v>
      </c>
      <c r="D16" s="17" t="str">
        <f aca="false">INDEX(Owners!$B$5:$B$32,MATCH(INDEX(Accounts!$G$5:$G$336,MATCH(A16,Accounts!$A$5:$A$336,0)),Owners!$A$5:$A$32,0))</f>
        <v>Esther Kiprop</v>
      </c>
      <c r="E16" s="7" t="n">
        <f aca="false">COUNTIFS(Opps!$B$5:$B$954,A16,Opps!$O$5:$O$954,1)</f>
        <v>5</v>
      </c>
      <c r="F16" s="18" t="n">
        <f aca="false">SUMIFS(Opps!$S$5:$S$954,Opps!$B$5:$B$954,A16,Opps!$O$5:$O$954,1)/1000000</f>
        <v>13.684</v>
      </c>
      <c r="G16" s="19" t="n">
        <f aca="false">IF(COUNTIFS(Activities!$B$5:$B$1453,A16)=0,"",_xlfn.MAXIFS(Activities!$D$5:$D$1453,Activities!$B$5:$B$1453,A16))</f>
        <v>46261</v>
      </c>
      <c r="H16" s="7" t="n">
        <f aca="false">IF(G16="","",Inputs!$B$4-G16)</f>
        <v>53</v>
      </c>
      <c r="I16" s="3" t="str">
        <f aca="false">IF(OR(E16=0,H16="",H16&gt;90),"Yes","")</f>
        <v/>
      </c>
    </row>
    <row r="17" customFormat="false" ht="15" hidden="false" customHeight="false" outlineLevel="0" collapsed="false">
      <c r="A17" s="16" t="s">
        <v>69</v>
      </c>
      <c r="B17" s="17" t="str">
        <f aca="false">INDEX(Accounts!$B$5:$B$336,MATCH(A17,Accounts!$A$5:$A$336,0))</f>
        <v>Kilimanjaro Capital Limited</v>
      </c>
      <c r="C17" s="17" t="str">
        <f aca="false">INDEX(Accounts!$K$5:$K$336,MATCH(A17,Accounts!$A$5:$A$336,0))</f>
        <v>Financial Services</v>
      </c>
      <c r="D17" s="17" t="str">
        <f aca="false">INDEX(Owners!$B$5:$B$32,MATCH(INDEX(Accounts!$G$5:$G$336,MATCH(A17,Accounts!$A$5:$A$336,0)),Owners!$A$5:$A$32,0))</f>
        <v>Felix Barasa</v>
      </c>
      <c r="E17" s="7" t="n">
        <f aca="false">COUNTIFS(Opps!$B$5:$B$954,A17,Opps!$O$5:$O$954,1)</f>
        <v>4</v>
      </c>
      <c r="F17" s="18" t="n">
        <f aca="false">SUMIFS(Opps!$S$5:$S$954,Opps!$B$5:$B$954,A17,Opps!$O$5:$O$954,1)/1000000</f>
        <v>26.52175</v>
      </c>
      <c r="G17" s="19" t="n">
        <f aca="false">IF(COUNTIFS(Activities!$B$5:$B$1453,A17)=0,"",_xlfn.MAXIFS(Activities!$D$5:$D$1453,Activities!$B$5:$B$1453,A17))</f>
        <v>46313</v>
      </c>
      <c r="H17" s="7" t="n">
        <f aca="false">IF(G17="","",Inputs!$B$4-G17)</f>
        <v>1</v>
      </c>
      <c r="I17" s="3" t="str">
        <f aca="false">IF(OR(E17=0,H17="",H17&gt;90),"Yes","")</f>
        <v/>
      </c>
    </row>
    <row r="18" customFormat="false" ht="15" hidden="false" customHeight="false" outlineLevel="0" collapsed="false">
      <c r="A18" s="16" t="s">
        <v>70</v>
      </c>
      <c r="B18" s="17" t="str">
        <f aca="false">INDEX(Accounts!$B$5:$B$336,MATCH(A18,Accounts!$A$5:$A$336,0))</f>
        <v>Jua Beverages Limited</v>
      </c>
      <c r="C18" s="17" t="str">
        <f aca="false">INDEX(Accounts!$K$5:$K$336,MATCH(A18,Accounts!$A$5:$A$336,0))</f>
        <v>Consumer &amp; Retail</v>
      </c>
      <c r="D18" s="17" t="str">
        <f aca="false">INDEX(Owners!$B$5:$B$32,MATCH(INDEX(Accounts!$G$5:$G$336,MATCH(A18,Accounts!$A$5:$A$336,0)),Owners!$A$5:$A$32,0))</f>
        <v>Grace Mwangi</v>
      </c>
      <c r="E18" s="7" t="n">
        <f aca="false">COUNTIFS(Opps!$B$5:$B$954,A18,Opps!$O$5:$O$954,1)</f>
        <v>1</v>
      </c>
      <c r="F18" s="18" t="n">
        <f aca="false">SUMIFS(Opps!$S$5:$S$954,Opps!$B$5:$B$954,A18,Opps!$O$5:$O$954,1)/1000000</f>
        <v>0.6075</v>
      </c>
      <c r="G18" s="19" t="n">
        <f aca="false">IF(COUNTIFS(Activities!$B$5:$B$1453,A18)=0,"",_xlfn.MAXIFS(Activities!$D$5:$D$1453,Activities!$B$5:$B$1453,A18))</f>
        <v>46313</v>
      </c>
      <c r="H18" s="7" t="n">
        <f aca="false">IF(G18="","",Inputs!$B$4-G18)</f>
        <v>1</v>
      </c>
      <c r="I18" s="3" t="str">
        <f aca="false">IF(OR(E18=0,H18="",H18&gt;90),"Yes","")</f>
        <v/>
      </c>
    </row>
    <row r="19" customFormat="false" ht="15" hidden="false" customHeight="false" outlineLevel="0" collapsed="false">
      <c r="A19" s="16" t="s">
        <v>71</v>
      </c>
      <c r="B19" s="17" t="str">
        <f aca="false">INDEX(Accounts!$B$5:$B$336,MATCH(A19,Accounts!$A$5:$A$336,0))</f>
        <v>Baobab Energy Limited</v>
      </c>
      <c r="C19" s="17" t="str">
        <f aca="false">INDEX(Accounts!$K$5:$K$336,MATCH(A19,Accounts!$A$5:$A$336,0))</f>
        <v>Energy &amp; Resources</v>
      </c>
      <c r="D19" s="17" t="str">
        <f aca="false">INDEX(Owners!$B$5:$B$32,MATCH(INDEX(Accounts!$G$5:$G$336,MATCH(A19,Accounts!$A$5:$A$336,0)),Owners!$A$5:$A$32,0))</f>
        <v>Amina Otieno</v>
      </c>
      <c r="E19" s="7" t="n">
        <f aca="false">COUNTIFS(Opps!$B$5:$B$954,A19,Opps!$O$5:$O$954,1)</f>
        <v>2</v>
      </c>
      <c r="F19" s="18" t="n">
        <f aca="false">SUMIFS(Opps!$S$5:$S$954,Opps!$B$5:$B$954,A19,Opps!$O$5:$O$954,1)/1000000</f>
        <v>4.0895</v>
      </c>
      <c r="G19" s="19" t="n">
        <f aca="false">IF(COUNTIFS(Activities!$B$5:$B$1453,A19)=0,"",_xlfn.MAXIFS(Activities!$D$5:$D$1453,Activities!$B$5:$B$1453,A19))</f>
        <v>46225</v>
      </c>
      <c r="H19" s="7" t="n">
        <f aca="false">IF(G19="","",Inputs!$B$4-G19)</f>
        <v>89</v>
      </c>
      <c r="I19" s="3" t="str">
        <f aca="false">IF(OR(E19=0,H19="",H19&gt;90),"Yes","")</f>
        <v/>
      </c>
    </row>
    <row r="20" customFormat="false" ht="15" hidden="false" customHeight="false" outlineLevel="0" collapsed="false">
      <c r="A20" s="16" t="s">
        <v>72</v>
      </c>
      <c r="B20" s="17" t="str">
        <f aca="false">INDEX(Accounts!$B$5:$B$336,MATCH(A20,Accounts!$A$5:$A$336,0))</f>
        <v>Mara Foods Limited</v>
      </c>
      <c r="C20" s="17" t="str">
        <f aca="false">INDEX(Accounts!$K$5:$K$336,MATCH(A20,Accounts!$A$5:$A$336,0))</f>
        <v>Consumer &amp; Retail</v>
      </c>
      <c r="D20" s="17" t="str">
        <f aca="false">INDEX(Owners!$B$5:$B$32,MATCH(INDEX(Accounts!$G$5:$G$336,MATCH(A20,Accounts!$A$5:$A$336,0)),Owners!$A$5:$A$32,0))</f>
        <v>Brian Chebet</v>
      </c>
      <c r="E20" s="7" t="n">
        <f aca="false">COUNTIFS(Opps!$B$5:$B$954,A20,Opps!$O$5:$O$954,1)</f>
        <v>2</v>
      </c>
      <c r="F20" s="18" t="n">
        <f aca="false">SUMIFS(Opps!$S$5:$S$954,Opps!$B$5:$B$954,A20,Opps!$O$5:$O$954,1)/1000000</f>
        <v>3.64905</v>
      </c>
      <c r="G20" s="19" t="n">
        <f aca="false">IF(COUNTIFS(Activities!$B$5:$B$1453,A20)=0,"",_xlfn.MAXIFS(Activities!$D$5:$D$1453,Activities!$B$5:$B$1453,A20))</f>
        <v>46231</v>
      </c>
      <c r="H20" s="7" t="n">
        <f aca="false">IF(G20="","",Inputs!$B$4-G20)</f>
        <v>83</v>
      </c>
      <c r="I20" s="3" t="str">
        <f aca="false">IF(OR(E20=0,H20="",H20&gt;90),"Yes","")</f>
        <v/>
      </c>
    </row>
    <row r="21" customFormat="false" ht="15" hidden="false" customHeight="false" outlineLevel="0" collapsed="false">
      <c r="A21" s="16" t="s">
        <v>73</v>
      </c>
      <c r="B21" s="17" t="str">
        <f aca="false">INDEX(Accounts!$B$5:$B$336,MATCH(A21,Accounts!$A$5:$A$336,0))</f>
        <v>Twiga Power Limited</v>
      </c>
      <c r="C21" s="17" t="str">
        <f aca="false">INDEX(Accounts!$K$5:$K$336,MATCH(A21,Accounts!$A$5:$A$336,0))</f>
        <v>Energy &amp; Resources</v>
      </c>
      <c r="D21" s="17" t="str">
        <f aca="false">INDEX(Owners!$B$5:$B$32,MATCH(INDEX(Accounts!$G$5:$G$336,MATCH(A21,Accounts!$A$5:$A$336,0)),Owners!$A$5:$A$32,0))</f>
        <v>Cynthia Odhiambo</v>
      </c>
      <c r="E21" s="7" t="n">
        <f aca="false">COUNTIFS(Opps!$B$5:$B$954,A21,Opps!$O$5:$O$954,1)</f>
        <v>5</v>
      </c>
      <c r="F21" s="18" t="n">
        <f aca="false">SUMIFS(Opps!$S$5:$S$954,Opps!$B$5:$B$954,A21,Opps!$O$5:$O$954,1)/1000000</f>
        <v>31.6397</v>
      </c>
      <c r="G21" s="19" t="n">
        <f aca="false">IF(COUNTIFS(Activities!$B$5:$B$1453,A21)=0,"",_xlfn.MAXIFS(Activities!$D$5:$D$1453,Activities!$B$5:$B$1453,A21))</f>
        <v>46289</v>
      </c>
      <c r="H21" s="7" t="n">
        <f aca="false">IF(G21="","",Inputs!$B$4-G21)</f>
        <v>25</v>
      </c>
      <c r="I21" s="3" t="str">
        <f aca="false">IF(OR(E21=0,H21="",H21&gt;90),"Yes","")</f>
        <v/>
      </c>
    </row>
    <row r="22" customFormat="false" ht="15" hidden="false" customHeight="false" outlineLevel="0" collapsed="false">
      <c r="A22" s="16" t="s">
        <v>74</v>
      </c>
      <c r="B22" s="17" t="str">
        <f aca="false">INDEX(Accounts!$B$5:$B$336,MATCH(A22,Accounts!$A$5:$A$336,0))</f>
        <v>Lakeview Digital Limited</v>
      </c>
      <c r="C22" s="17" t="str">
        <f aca="false">INDEX(Accounts!$K$5:$K$336,MATCH(A22,Accounts!$A$5:$A$336,0))</f>
        <v>Technology, Media &amp; Telecom</v>
      </c>
      <c r="D22" s="17" t="str">
        <f aca="false">INDEX(Owners!$B$5:$B$32,MATCH(INDEX(Accounts!$G$5:$G$336,MATCH(A22,Accounts!$A$5:$A$336,0)),Owners!$A$5:$A$32,0))</f>
        <v>Daniel Wanjiru</v>
      </c>
      <c r="E22" s="7" t="n">
        <f aca="false">COUNTIFS(Opps!$B$5:$B$954,A22,Opps!$O$5:$O$954,1)</f>
        <v>3</v>
      </c>
      <c r="F22" s="18" t="n">
        <f aca="false">SUMIFS(Opps!$S$5:$S$954,Opps!$B$5:$B$954,A22,Opps!$O$5:$O$954,1)/1000000</f>
        <v>39.53275</v>
      </c>
      <c r="G22" s="19" t="n">
        <f aca="false">IF(COUNTIFS(Activities!$B$5:$B$1453,A22)=0,"",_xlfn.MAXIFS(Activities!$D$5:$D$1453,Activities!$B$5:$B$1453,A22))</f>
        <v>46252</v>
      </c>
      <c r="H22" s="7" t="n">
        <f aca="false">IF(G22="","",Inputs!$B$4-G22)</f>
        <v>62</v>
      </c>
      <c r="I22" s="3" t="str">
        <f aca="false">IF(OR(E22=0,H22="",H22&gt;90),"Yes","")</f>
        <v/>
      </c>
    </row>
    <row r="23" customFormat="false" ht="15" hidden="false" customHeight="false" outlineLevel="0" collapsed="false">
      <c r="A23" s="16" t="s">
        <v>75</v>
      </c>
      <c r="B23" s="17" t="str">
        <f aca="false">INDEX(Accounts!$B$5:$B$336,MATCH(A23,Accounts!$A$5:$A$336,0))</f>
        <v>Zuri Media Limited</v>
      </c>
      <c r="C23" s="17" t="str">
        <f aca="false">INDEX(Accounts!$K$5:$K$336,MATCH(A23,Accounts!$A$5:$A$336,0))</f>
        <v>Technology, Media &amp; Telecom</v>
      </c>
      <c r="D23" s="17" t="str">
        <f aca="false">INDEX(Owners!$B$5:$B$32,MATCH(INDEX(Accounts!$G$5:$G$336,MATCH(A23,Accounts!$A$5:$A$336,0)),Owners!$A$5:$A$32,0))</f>
        <v>Esther Kiprop</v>
      </c>
      <c r="E23" s="7" t="n">
        <f aca="false">COUNTIFS(Opps!$B$5:$B$954,A23,Opps!$O$5:$O$954,1)</f>
        <v>4</v>
      </c>
      <c r="F23" s="18" t="n">
        <f aca="false">SUMIFS(Opps!$S$5:$S$954,Opps!$B$5:$B$954,A23,Opps!$O$5:$O$954,1)/1000000</f>
        <v>25.7507</v>
      </c>
      <c r="G23" s="19" t="n">
        <f aca="false">IF(COUNTIFS(Activities!$B$5:$B$1453,A23)=0,"",_xlfn.MAXIFS(Activities!$D$5:$D$1453,Activities!$B$5:$B$1453,A23))</f>
        <v>46275</v>
      </c>
      <c r="H23" s="7" t="n">
        <f aca="false">IF(G23="","",Inputs!$B$4-G23)</f>
        <v>39</v>
      </c>
      <c r="I23" s="3" t="str">
        <f aca="false">IF(OR(E23=0,H23="",H23&gt;90),"Yes","")</f>
        <v/>
      </c>
    </row>
    <row r="24" customFormat="false" ht="15" hidden="false" customHeight="false" outlineLevel="0" collapsed="false">
      <c r="A24" s="16" t="s">
        <v>76</v>
      </c>
      <c r="B24" s="17" t="str">
        <f aca="false">INDEX(Accounts!$B$5:$B$336,MATCH(A24,Accounts!$A$5:$A$336,0))</f>
        <v>Baobab Infrastructure Limited</v>
      </c>
      <c r="C24" s="17" t="str">
        <f aca="false">INDEX(Accounts!$K$5:$K$336,MATCH(A24,Accounts!$A$5:$A$336,0))</f>
        <v>Real Estate &amp; Infrastructure</v>
      </c>
      <c r="D24" s="17" t="str">
        <f aca="false">INDEX(Owners!$B$5:$B$32,MATCH(INDEX(Accounts!$G$5:$G$336,MATCH(A24,Accounts!$A$5:$A$336,0)),Owners!$A$5:$A$32,0))</f>
        <v>Felix Barasa</v>
      </c>
      <c r="E24" s="7" t="n">
        <f aca="false">COUNTIFS(Opps!$B$5:$B$954,A24,Opps!$O$5:$O$954,1)</f>
        <v>2</v>
      </c>
      <c r="F24" s="18" t="n">
        <f aca="false">SUMIFS(Opps!$S$5:$S$954,Opps!$B$5:$B$954,A24,Opps!$O$5:$O$954,1)/1000000</f>
        <v>7.3228</v>
      </c>
      <c r="G24" s="19" t="n">
        <f aca="false">IF(COUNTIFS(Activities!$B$5:$B$1453,A24)=0,"",_xlfn.MAXIFS(Activities!$D$5:$D$1453,Activities!$B$5:$B$1453,A24))</f>
        <v>46296</v>
      </c>
      <c r="H24" s="7" t="n">
        <f aca="false">IF(G24="","",Inputs!$B$4-G24)</f>
        <v>18</v>
      </c>
      <c r="I24" s="3" t="str">
        <f aca="false">IF(OR(E24=0,H24="",H24&gt;90),"Yes","")</f>
        <v/>
      </c>
    </row>
    <row r="25" customFormat="false" ht="15" hidden="false" customHeight="false" outlineLevel="0" collapsed="false">
      <c r="A25" s="16" t="s">
        <v>77</v>
      </c>
      <c r="B25" s="17" t="str">
        <f aca="false">INDEX(Accounts!$B$5:$B$336,MATCH(A25,Accounts!$A$5:$A$336,0))</f>
        <v>Zuri Asset Managers Limited</v>
      </c>
      <c r="C25" s="17" t="str">
        <f aca="false">INDEX(Accounts!$K$5:$K$336,MATCH(A25,Accounts!$A$5:$A$336,0))</f>
        <v>Financial Services</v>
      </c>
      <c r="D25" s="17" t="str">
        <f aca="false">INDEX(Owners!$B$5:$B$32,MATCH(INDEX(Accounts!$G$5:$G$336,MATCH(A25,Accounts!$A$5:$A$336,0)),Owners!$A$5:$A$32,0))</f>
        <v>Grace Mwangi</v>
      </c>
      <c r="E25" s="7" t="n">
        <f aca="false">COUNTIFS(Opps!$B$5:$B$954,A25,Opps!$O$5:$O$954,1)</f>
        <v>5</v>
      </c>
      <c r="F25" s="18" t="n">
        <f aca="false">SUMIFS(Opps!$S$5:$S$954,Opps!$B$5:$B$954,A25,Opps!$O$5:$O$954,1)/1000000</f>
        <v>12.4145</v>
      </c>
      <c r="G25" s="19" t="n">
        <f aca="false">IF(COUNTIFS(Activities!$B$5:$B$1453,A25)=0,"",_xlfn.MAXIFS(Activities!$D$5:$D$1453,Activities!$B$5:$B$1453,A25))</f>
        <v>46171</v>
      </c>
      <c r="H25" s="7" t="n">
        <f aca="false">IF(G25="","",Inputs!$B$4-G25)</f>
        <v>143</v>
      </c>
      <c r="I25" s="3" t="str">
        <f aca="false">IF(OR(E25=0,H25="",H25&gt;90),"Yes","")</f>
        <v>Yes</v>
      </c>
    </row>
    <row r="26" customFormat="false" ht="15" hidden="false" customHeight="false" outlineLevel="0" collapsed="false">
      <c r="A26" s="16" t="s">
        <v>78</v>
      </c>
      <c r="B26" s="17" t="str">
        <f aca="false">INDEX(Accounts!$B$5:$B$336,MATCH(A26,Accounts!$A$5:$A$336,0))</f>
        <v>Savanna Sacco Limited</v>
      </c>
      <c r="C26" s="17" t="str">
        <f aca="false">INDEX(Accounts!$K$5:$K$336,MATCH(A26,Accounts!$A$5:$A$336,0))</f>
        <v>Financial Services</v>
      </c>
      <c r="D26" s="17" t="str">
        <f aca="false">INDEX(Owners!$B$5:$B$32,MATCH(INDEX(Accounts!$G$5:$G$336,MATCH(A26,Accounts!$A$5:$A$336,0)),Owners!$A$5:$A$32,0))</f>
        <v>Amina Otieno</v>
      </c>
      <c r="E26" s="7" t="n">
        <f aca="false">COUNTIFS(Opps!$B$5:$B$954,A26,Opps!$O$5:$O$954,1)</f>
        <v>0</v>
      </c>
      <c r="F26" s="18" t="n">
        <f aca="false">SUMIFS(Opps!$S$5:$S$954,Opps!$B$5:$B$954,A26,Opps!$O$5:$O$954,1)/1000000</f>
        <v>0</v>
      </c>
      <c r="G26" s="19" t="n">
        <f aca="false">IF(COUNTIFS(Activities!$B$5:$B$1453,A26)=0,"",_xlfn.MAXIFS(Activities!$D$5:$D$1453,Activities!$B$5:$B$1453,A26))</f>
        <v>46280</v>
      </c>
      <c r="H26" s="7" t="n">
        <f aca="false">IF(G26="","",Inputs!$B$4-G26)</f>
        <v>34</v>
      </c>
      <c r="I26" s="3" t="str">
        <f aca="false">IF(OR(E26=0,H26="",H26&gt;90),"Yes","")</f>
        <v>Yes</v>
      </c>
    </row>
    <row r="27" customFormat="false" ht="15" hidden="false" customHeight="false" outlineLevel="0" collapsed="false">
      <c r="A27" s="16" t="s">
        <v>79</v>
      </c>
      <c r="B27" s="17" t="str">
        <f aca="false">INDEX(Accounts!$B$5:$B$336,MATCH(A27,Accounts!$A$5:$A$336,0))</f>
        <v>Jambo Petroleum Limited</v>
      </c>
      <c r="C27" s="17" t="str">
        <f aca="false">INDEX(Accounts!$K$5:$K$336,MATCH(A27,Accounts!$A$5:$A$336,0))</f>
        <v>Energy &amp; Resources</v>
      </c>
      <c r="D27" s="17" t="str">
        <f aca="false">INDEX(Owners!$B$5:$B$32,MATCH(INDEX(Accounts!$G$5:$G$336,MATCH(A27,Accounts!$A$5:$A$336,0)),Owners!$A$5:$A$32,0))</f>
        <v>Brian Chebet</v>
      </c>
      <c r="E27" s="7" t="n">
        <f aca="false">COUNTIFS(Opps!$B$5:$B$954,A27,Opps!$O$5:$O$954,1)</f>
        <v>3</v>
      </c>
      <c r="F27" s="18" t="n">
        <f aca="false">SUMIFS(Opps!$S$5:$S$954,Opps!$B$5:$B$954,A27,Opps!$O$5:$O$954,1)/1000000</f>
        <v>29.611</v>
      </c>
      <c r="G27" s="19" t="n">
        <f aca="false">IF(COUNTIFS(Activities!$B$5:$B$1453,A27)=0,"",_xlfn.MAXIFS(Activities!$D$5:$D$1453,Activities!$B$5:$B$1453,A27))</f>
        <v>46304</v>
      </c>
      <c r="H27" s="7" t="n">
        <f aca="false">IF(G27="","",Inputs!$B$4-G27)</f>
        <v>10</v>
      </c>
      <c r="I27" s="3" t="str">
        <f aca="false">IF(OR(E27=0,H27="",H27&gt;90),"Yes","")</f>
        <v/>
      </c>
    </row>
    <row r="28" customFormat="false" ht="15" hidden="false" customHeight="false" outlineLevel="0" collapsed="false">
      <c r="A28" s="16" t="s">
        <v>80</v>
      </c>
      <c r="B28" s="17" t="str">
        <f aca="false">INDEX(Accounts!$B$5:$B$336,MATCH(A28,Accounts!$A$5:$A$336,0))</f>
        <v>Simba Commission</v>
      </c>
      <c r="C28" s="17" t="str">
        <f aca="false">INDEX(Accounts!$K$5:$K$336,MATCH(A28,Accounts!$A$5:$A$336,0))</f>
        <v>Public Sector &amp; Development</v>
      </c>
      <c r="D28" s="17" t="str">
        <f aca="false">INDEX(Owners!$B$5:$B$32,MATCH(INDEX(Accounts!$G$5:$G$336,MATCH(A28,Accounts!$A$5:$A$336,0)),Owners!$A$5:$A$32,0))</f>
        <v>Cynthia Odhiambo</v>
      </c>
      <c r="E28" s="7" t="n">
        <f aca="false">COUNTIFS(Opps!$B$5:$B$954,A28,Opps!$O$5:$O$954,1)</f>
        <v>1</v>
      </c>
      <c r="F28" s="18" t="n">
        <f aca="false">SUMIFS(Opps!$S$5:$S$954,Opps!$B$5:$B$954,A28,Opps!$O$5:$O$954,1)/1000000</f>
        <v>6.7</v>
      </c>
      <c r="G28" s="19" t="n">
        <f aca="false">IF(COUNTIFS(Activities!$B$5:$B$1453,A28)=0,"",_xlfn.MAXIFS(Activities!$D$5:$D$1453,Activities!$B$5:$B$1453,A28))</f>
        <v>46309</v>
      </c>
      <c r="H28" s="7" t="n">
        <f aca="false">IF(G28="","",Inputs!$B$4-G28)</f>
        <v>5</v>
      </c>
      <c r="I28" s="3" t="str">
        <f aca="false">IF(OR(E28=0,H28="",H28&gt;90),"Yes","")</f>
        <v/>
      </c>
    </row>
    <row r="29" customFormat="false" ht="15" hidden="false" customHeight="false" outlineLevel="0" collapsed="false">
      <c r="A29" s="16" t="s">
        <v>81</v>
      </c>
      <c r="B29" s="17" t="str">
        <f aca="false">INDEX(Accounts!$B$5:$B$336,MATCH(A29,Accounts!$A$5:$A$336,0))</f>
        <v>Lakeview Bank Limited</v>
      </c>
      <c r="C29" s="17" t="str">
        <f aca="false">INDEX(Accounts!$K$5:$K$336,MATCH(A29,Accounts!$A$5:$A$336,0))</f>
        <v>Financial Services</v>
      </c>
      <c r="D29" s="17" t="str">
        <f aca="false">INDEX(Owners!$B$5:$B$32,MATCH(INDEX(Accounts!$G$5:$G$336,MATCH(A29,Accounts!$A$5:$A$336,0)),Owners!$A$5:$A$32,0))</f>
        <v>Daniel Wanjiru</v>
      </c>
      <c r="E29" s="7" t="n">
        <f aca="false">COUNTIFS(Opps!$B$5:$B$954,A29,Opps!$O$5:$O$954,1)</f>
        <v>7</v>
      </c>
      <c r="F29" s="18" t="n">
        <f aca="false">SUMIFS(Opps!$S$5:$S$954,Opps!$B$5:$B$954,A29,Opps!$O$5:$O$954,1)/1000000</f>
        <v>49.1659</v>
      </c>
      <c r="G29" s="19" t="n">
        <f aca="false">IF(COUNTIFS(Activities!$B$5:$B$1453,A29)=0,"",_xlfn.MAXIFS(Activities!$D$5:$D$1453,Activities!$B$5:$B$1453,A29))</f>
        <v>46295</v>
      </c>
      <c r="H29" s="7" t="n">
        <f aca="false">IF(G29="","",Inputs!$B$4-G29)</f>
        <v>19</v>
      </c>
      <c r="I29" s="3" t="str">
        <f aca="false">IF(OR(E29=0,H29="",H29&gt;90),"Yes","")</f>
        <v/>
      </c>
    </row>
    <row r="30" customFormat="false" ht="15" hidden="false" customHeight="false" outlineLevel="0" collapsed="false">
      <c r="A30" s="16" t="s">
        <v>82</v>
      </c>
      <c r="B30" s="17" t="str">
        <f aca="false">INDEX(Accounts!$B$5:$B$336,MATCH(A30,Accounts!$A$5:$A$336,0))</f>
        <v>Lakeview Development Fund</v>
      </c>
      <c r="C30" s="17" t="str">
        <f aca="false">INDEX(Accounts!$K$5:$K$336,MATCH(A30,Accounts!$A$5:$A$336,0))</f>
        <v>Public Sector &amp; Development</v>
      </c>
      <c r="D30" s="17" t="str">
        <f aca="false">INDEX(Owners!$B$5:$B$32,MATCH(INDEX(Accounts!$G$5:$G$336,MATCH(A30,Accounts!$A$5:$A$336,0)),Owners!$A$5:$A$32,0))</f>
        <v>Esther Kiprop</v>
      </c>
      <c r="E30" s="7" t="n">
        <f aca="false">COUNTIFS(Opps!$B$5:$B$954,A30,Opps!$O$5:$O$954,1)</f>
        <v>4</v>
      </c>
      <c r="F30" s="18" t="n">
        <f aca="false">SUMIFS(Opps!$S$5:$S$954,Opps!$B$5:$B$954,A30,Opps!$O$5:$O$954,1)/1000000</f>
        <v>12.6637</v>
      </c>
      <c r="G30" s="19" t="n">
        <f aca="false">IF(COUNTIFS(Activities!$B$5:$B$1453,A30)=0,"",_xlfn.MAXIFS(Activities!$D$5:$D$1453,Activities!$B$5:$B$1453,A30))</f>
        <v>46277</v>
      </c>
      <c r="H30" s="7" t="n">
        <f aca="false">IF(G30="","",Inputs!$B$4-G30)</f>
        <v>37</v>
      </c>
      <c r="I30" s="3" t="str">
        <f aca="false">IF(OR(E30=0,H30="",H30&gt;90),"Yes","")</f>
        <v/>
      </c>
    </row>
    <row r="31" customFormat="false" ht="15" hidden="false" customHeight="false" outlineLevel="0" collapsed="false">
      <c r="A31" s="16" t="s">
        <v>83</v>
      </c>
      <c r="B31" s="17" t="str">
        <f aca="false">INDEX(Accounts!$B$5:$B$336,MATCH(A31,Accounts!$A$5:$A$336,0))</f>
        <v>Safari Growers Limited</v>
      </c>
      <c r="C31" s="17" t="str">
        <f aca="false">INDEX(Accounts!$K$5:$K$336,MATCH(A31,Accounts!$A$5:$A$336,0))</f>
        <v>Agribusiness</v>
      </c>
      <c r="D31" s="17" t="str">
        <f aca="false">INDEX(Owners!$B$5:$B$32,MATCH(INDEX(Accounts!$G$5:$G$336,MATCH(A31,Accounts!$A$5:$A$336,0)),Owners!$A$5:$A$32,0))</f>
        <v>Felix Barasa</v>
      </c>
      <c r="E31" s="7" t="n">
        <f aca="false">COUNTIFS(Opps!$B$5:$B$954,A31,Opps!$O$5:$O$954,1)</f>
        <v>5</v>
      </c>
      <c r="F31" s="18" t="n">
        <f aca="false">SUMIFS(Opps!$S$5:$S$954,Opps!$B$5:$B$954,A31,Opps!$O$5:$O$954,1)/1000000</f>
        <v>3.8119</v>
      </c>
      <c r="G31" s="19" t="n">
        <f aca="false">IF(COUNTIFS(Activities!$B$5:$B$1453,A31)=0,"",_xlfn.MAXIFS(Activities!$D$5:$D$1453,Activities!$B$5:$B$1453,A31))</f>
        <v>46295</v>
      </c>
      <c r="H31" s="7" t="n">
        <f aca="false">IF(G31="","",Inputs!$B$4-G31)</f>
        <v>19</v>
      </c>
      <c r="I31" s="3" t="str">
        <f aca="false">IF(OR(E31=0,H31="",H31&gt;90),"Yes","")</f>
        <v/>
      </c>
    </row>
    <row r="32" customFormat="false" ht="15" hidden="false" customHeight="false" outlineLevel="0" collapsed="false">
      <c r="A32" s="16" t="s">
        <v>84</v>
      </c>
      <c r="B32" s="17" t="str">
        <f aca="false">INDEX(Accounts!$B$5:$B$336,MATCH(A32,Accounts!$A$5:$A$336,0))</f>
        <v>Lakeview Hotels Limited</v>
      </c>
      <c r="C32" s="17" t="str">
        <f aca="false">INDEX(Accounts!$K$5:$K$336,MATCH(A32,Accounts!$A$5:$A$336,0))</f>
        <v>Consumer &amp; Retail</v>
      </c>
      <c r="D32" s="17" t="str">
        <f aca="false">INDEX(Owners!$B$5:$B$32,MATCH(INDEX(Accounts!$G$5:$G$336,MATCH(A32,Accounts!$A$5:$A$336,0)),Owners!$A$5:$A$32,0))</f>
        <v>Grace Mwangi</v>
      </c>
      <c r="E32" s="7" t="n">
        <f aca="false">COUNTIFS(Opps!$B$5:$B$954,A32,Opps!$O$5:$O$954,1)</f>
        <v>5</v>
      </c>
      <c r="F32" s="18" t="n">
        <f aca="false">SUMIFS(Opps!$S$5:$S$954,Opps!$B$5:$B$954,A32,Opps!$O$5:$O$954,1)/1000000</f>
        <v>30.74575</v>
      </c>
      <c r="G32" s="19" t="n">
        <f aca="false">IF(COUNTIFS(Activities!$B$5:$B$1453,A32)=0,"",_xlfn.MAXIFS(Activities!$D$5:$D$1453,Activities!$B$5:$B$1453,A32))</f>
        <v>46288</v>
      </c>
      <c r="H32" s="7" t="n">
        <f aca="false">IF(G32="","",Inputs!$B$4-G32)</f>
        <v>26</v>
      </c>
      <c r="I32" s="3" t="str">
        <f aca="false">IF(OR(E32=0,H32="",H32&gt;90),"Yes","")</f>
        <v/>
      </c>
    </row>
    <row r="33" customFormat="false" ht="15" hidden="false" customHeight="false" outlineLevel="0" collapsed="false">
      <c r="A33" s="16" t="s">
        <v>85</v>
      </c>
      <c r="B33" s="17" t="str">
        <f aca="false">INDEX(Accounts!$B$5:$B$336,MATCH(A33,Accounts!$A$5:$A$336,0))</f>
        <v>Acacia Mining Limited</v>
      </c>
      <c r="C33" s="17" t="str">
        <f aca="false">INDEX(Accounts!$K$5:$K$336,MATCH(A33,Accounts!$A$5:$A$336,0))</f>
        <v>Energy &amp; Resources</v>
      </c>
      <c r="D33" s="17" t="str">
        <f aca="false">INDEX(Owners!$B$5:$B$32,MATCH(INDEX(Accounts!$G$5:$G$336,MATCH(A33,Accounts!$A$5:$A$336,0)),Owners!$A$5:$A$32,0))</f>
        <v>Amina Otieno</v>
      </c>
      <c r="E33" s="7" t="n">
        <f aca="false">COUNTIFS(Opps!$B$5:$B$954,A33,Opps!$O$5:$O$954,1)</f>
        <v>5</v>
      </c>
      <c r="F33" s="18" t="n">
        <f aca="false">SUMIFS(Opps!$S$5:$S$954,Opps!$B$5:$B$954,A33,Opps!$O$5:$O$954,1)/1000000</f>
        <v>101.2229</v>
      </c>
      <c r="G33" s="19" t="n">
        <f aca="false">IF(COUNTIFS(Activities!$B$5:$B$1453,A33)=0,"",_xlfn.MAXIFS(Activities!$D$5:$D$1453,Activities!$B$5:$B$1453,A33))</f>
        <v>46307</v>
      </c>
      <c r="H33" s="7" t="n">
        <f aca="false">IF(G33="","",Inputs!$B$4-G33)</f>
        <v>7</v>
      </c>
      <c r="I33" s="3" t="str">
        <f aca="false">IF(OR(E33=0,H33="",H33&gt;90),"Yes","")</f>
        <v/>
      </c>
    </row>
    <row r="34" customFormat="false" ht="15" hidden="false" customHeight="false" outlineLevel="0" collapsed="false">
      <c r="A34" s="16" t="s">
        <v>86</v>
      </c>
      <c r="B34" s="17" t="str">
        <f aca="false">INDEX(Accounts!$B$5:$B$336,MATCH(A34,Accounts!$A$5:$A$336,0))</f>
        <v>Nile Networks Limited</v>
      </c>
      <c r="C34" s="17" t="str">
        <f aca="false">INDEX(Accounts!$K$5:$K$336,MATCH(A34,Accounts!$A$5:$A$336,0))</f>
        <v>Technology, Media &amp; Telecom</v>
      </c>
      <c r="D34" s="17" t="str">
        <f aca="false">INDEX(Owners!$B$5:$B$32,MATCH(INDEX(Accounts!$G$5:$G$336,MATCH(A34,Accounts!$A$5:$A$336,0)),Owners!$A$5:$A$32,0))</f>
        <v>Brian Chebet</v>
      </c>
      <c r="E34" s="7" t="n">
        <f aca="false">COUNTIFS(Opps!$B$5:$B$954,A34,Opps!$O$5:$O$954,1)</f>
        <v>3</v>
      </c>
      <c r="F34" s="18" t="n">
        <f aca="false">SUMIFS(Opps!$S$5:$S$954,Opps!$B$5:$B$954,A34,Opps!$O$5:$O$954,1)/1000000</f>
        <v>15.3378</v>
      </c>
      <c r="G34" s="19" t="n">
        <f aca="false">IF(COUNTIFS(Activities!$B$5:$B$1453,A34)=0,"",_xlfn.MAXIFS(Activities!$D$5:$D$1453,Activities!$B$5:$B$1453,A34))</f>
        <v>46308</v>
      </c>
      <c r="H34" s="7" t="n">
        <f aca="false">IF(G34="","",Inputs!$B$4-G34)</f>
        <v>6</v>
      </c>
      <c r="I34" s="3" t="str">
        <f aca="false">IF(OR(E34=0,H34="",H34&gt;90),"Yes","")</f>
        <v/>
      </c>
    </row>
    <row r="35" customFormat="false" ht="15" hidden="false" customHeight="false" outlineLevel="0" collapsed="false">
      <c r="A35" s="16" t="s">
        <v>87</v>
      </c>
      <c r="B35" s="17" t="str">
        <f aca="false">INDEX(Accounts!$B$5:$B$336,MATCH(A35,Accounts!$A$5:$A$336,0))</f>
        <v>Acacia Hospital Limited</v>
      </c>
      <c r="C35" s="17" t="str">
        <f aca="false">INDEX(Accounts!$K$5:$K$336,MATCH(A35,Accounts!$A$5:$A$336,0))</f>
        <v>Unassigned</v>
      </c>
      <c r="D35" s="17" t="str">
        <f aca="false">INDEX(Owners!$B$5:$B$32,MATCH(INDEX(Accounts!$G$5:$G$336,MATCH(A35,Accounts!$A$5:$A$336,0)),Owners!$A$5:$A$32,0))</f>
        <v>Cynthia Odhiambo</v>
      </c>
      <c r="E35" s="7" t="n">
        <f aca="false">COUNTIFS(Opps!$B$5:$B$954,A35,Opps!$O$5:$O$954,1)</f>
        <v>1</v>
      </c>
      <c r="F35" s="18" t="n">
        <f aca="false">SUMIFS(Opps!$S$5:$S$954,Opps!$B$5:$B$954,A35,Opps!$O$5:$O$954,1)/1000000</f>
        <v>2.91325</v>
      </c>
      <c r="G35" s="19" t="n">
        <f aca="false">IF(COUNTIFS(Activities!$B$5:$B$1453,A35)=0,"",_xlfn.MAXIFS(Activities!$D$5:$D$1453,Activities!$B$5:$B$1453,A35))</f>
        <v>46312</v>
      </c>
      <c r="H35" s="7" t="n">
        <f aca="false">IF(G35="","",Inputs!$B$4-G35)</f>
        <v>2</v>
      </c>
      <c r="I35" s="3" t="str">
        <f aca="false">IF(OR(E35=0,H35="",H35&gt;90),"Yes","")</f>
        <v/>
      </c>
    </row>
    <row r="36" customFormat="false" ht="15" hidden="false" customHeight="false" outlineLevel="0" collapsed="false">
      <c r="A36" s="16" t="s">
        <v>88</v>
      </c>
      <c r="B36" s="17" t="str">
        <f aca="false">INDEX(Accounts!$B$5:$B$336,MATCH(A36,Accounts!$A$5:$A$336,0))</f>
        <v>Jambo Tea Estates Limited</v>
      </c>
      <c r="C36" s="17" t="str">
        <f aca="false">INDEX(Accounts!$K$5:$K$336,MATCH(A36,Accounts!$A$5:$A$336,0))</f>
        <v>Agribusiness</v>
      </c>
      <c r="D36" s="17" t="str">
        <f aca="false">INDEX(Owners!$B$5:$B$32,MATCH(INDEX(Accounts!$G$5:$G$336,MATCH(A36,Accounts!$A$5:$A$336,0)),Owners!$A$5:$A$32,0))</f>
        <v>Daniel Wanjiru</v>
      </c>
      <c r="E36" s="7" t="n">
        <f aca="false">COUNTIFS(Opps!$B$5:$B$954,A36,Opps!$O$5:$O$954,1)</f>
        <v>7</v>
      </c>
      <c r="F36" s="18" t="n">
        <f aca="false">SUMIFS(Opps!$S$5:$S$954,Opps!$B$5:$B$954,A36,Opps!$O$5:$O$954,1)/1000000</f>
        <v>161.6568</v>
      </c>
      <c r="G36" s="19" t="n">
        <f aca="false">IF(COUNTIFS(Activities!$B$5:$B$1453,A36)=0,"",_xlfn.MAXIFS(Activities!$D$5:$D$1453,Activities!$B$5:$B$1453,A36))</f>
        <v>46298</v>
      </c>
      <c r="H36" s="7" t="n">
        <f aca="false">IF(G36="","",Inputs!$B$4-G36)</f>
        <v>16</v>
      </c>
      <c r="I36" s="3" t="str">
        <f aca="false">IF(OR(E36=0,H36="",H36&gt;90),"Yes","")</f>
        <v/>
      </c>
    </row>
    <row r="37" customFormat="false" ht="15" hidden="false" customHeight="false" outlineLevel="0" collapsed="false">
      <c r="A37" s="16" t="s">
        <v>89</v>
      </c>
      <c r="B37" s="17" t="str">
        <f aca="false">INDEX(Accounts!$B$5:$B$336,MATCH(A37,Accounts!$A$5:$A$336,0))</f>
        <v>Twiga Horticulture Limited</v>
      </c>
      <c r="C37" s="17" t="str">
        <f aca="false">INDEX(Accounts!$K$5:$K$336,MATCH(A37,Accounts!$A$5:$A$336,0))</f>
        <v>Agribusiness</v>
      </c>
      <c r="D37" s="17" t="str">
        <f aca="false">INDEX(Owners!$B$5:$B$32,MATCH(INDEX(Accounts!$G$5:$G$336,MATCH(A37,Accounts!$A$5:$A$336,0)),Owners!$A$5:$A$32,0))</f>
        <v>Esther Kiprop</v>
      </c>
      <c r="E37" s="7" t="n">
        <f aca="false">COUNTIFS(Opps!$B$5:$B$954,A37,Opps!$O$5:$O$954,1)</f>
        <v>5</v>
      </c>
      <c r="F37" s="18" t="n">
        <f aca="false">SUMIFS(Opps!$S$5:$S$954,Opps!$B$5:$B$954,A37,Opps!$O$5:$O$954,1)/1000000</f>
        <v>42.512</v>
      </c>
      <c r="G37" s="19" t="n">
        <f aca="false">IF(COUNTIFS(Activities!$B$5:$B$1453,A37)=0,"",_xlfn.MAXIFS(Activities!$D$5:$D$1453,Activities!$B$5:$B$1453,A37))</f>
        <v>46277</v>
      </c>
      <c r="H37" s="7" t="n">
        <f aca="false">IF(G37="","",Inputs!$B$4-G37)</f>
        <v>37</v>
      </c>
      <c r="I37" s="3" t="str">
        <f aca="false">IF(OR(E37=0,H37="",H37&gt;90),"Yes","")</f>
        <v/>
      </c>
    </row>
    <row r="38" customFormat="false" ht="15" hidden="false" customHeight="false" outlineLevel="0" collapsed="false">
      <c r="A38" s="16" t="s">
        <v>90</v>
      </c>
      <c r="B38" s="17" t="str">
        <f aca="false">INDEX(Accounts!$B$5:$B$336,MATCH(A38,Accounts!$A$5:$A$336,0))</f>
        <v>Harambee Capital Limited</v>
      </c>
      <c r="C38" s="17" t="str">
        <f aca="false">INDEX(Accounts!$K$5:$K$336,MATCH(A38,Accounts!$A$5:$A$336,0))</f>
        <v>Financial Services</v>
      </c>
      <c r="D38" s="17" t="str">
        <f aca="false">INDEX(Owners!$B$5:$B$32,MATCH(INDEX(Accounts!$G$5:$G$336,MATCH(A38,Accounts!$A$5:$A$336,0)),Owners!$A$5:$A$32,0))</f>
        <v>Felix Barasa</v>
      </c>
      <c r="E38" s="7" t="n">
        <f aca="false">COUNTIFS(Opps!$B$5:$B$954,A38,Opps!$O$5:$O$954,1)</f>
        <v>3</v>
      </c>
      <c r="F38" s="18" t="n">
        <f aca="false">SUMIFS(Opps!$S$5:$S$954,Opps!$B$5:$B$954,A38,Opps!$O$5:$O$954,1)/1000000</f>
        <v>7.75755</v>
      </c>
      <c r="G38" s="19" t="n">
        <f aca="false">IF(COUNTIFS(Activities!$B$5:$B$1453,A38)=0,"",_xlfn.MAXIFS(Activities!$D$5:$D$1453,Activities!$B$5:$B$1453,A38))</f>
        <v>46193</v>
      </c>
      <c r="H38" s="7" t="n">
        <f aca="false">IF(G38="","",Inputs!$B$4-G38)</f>
        <v>121</v>
      </c>
      <c r="I38" s="3" t="str">
        <f aca="false">IF(OR(E38=0,H38="",H38&gt;90),"Yes","")</f>
        <v>Yes</v>
      </c>
    </row>
    <row r="39" customFormat="false" ht="15" hidden="false" customHeight="false" outlineLevel="0" collapsed="false">
      <c r="A39" s="16" t="s">
        <v>91</v>
      </c>
      <c r="B39" s="17" t="str">
        <f aca="false">INDEX(Accounts!$B$5:$B$336,MATCH(A39,Accounts!$A$5:$A$336,0))</f>
        <v>Kilimanjaro Media Limited</v>
      </c>
      <c r="C39" s="17" t="str">
        <f aca="false">INDEX(Accounts!$K$5:$K$336,MATCH(A39,Accounts!$A$5:$A$336,0))</f>
        <v>Technology, Media &amp; Telecom</v>
      </c>
      <c r="D39" s="17" t="str">
        <f aca="false">INDEX(Owners!$B$5:$B$32,MATCH(INDEX(Accounts!$G$5:$G$336,MATCH(A39,Accounts!$A$5:$A$336,0)),Owners!$A$5:$A$32,0))</f>
        <v>Grace Mwangi</v>
      </c>
      <c r="E39" s="7" t="n">
        <f aca="false">COUNTIFS(Opps!$B$5:$B$954,A39,Opps!$O$5:$O$954,1)</f>
        <v>3</v>
      </c>
      <c r="F39" s="18" t="n">
        <f aca="false">SUMIFS(Opps!$S$5:$S$954,Opps!$B$5:$B$954,A39,Opps!$O$5:$O$954,1)/1000000</f>
        <v>40.66575</v>
      </c>
      <c r="G39" s="19" t="n">
        <f aca="false">IF(COUNTIFS(Activities!$B$5:$B$1453,A39)=0,"",_xlfn.MAXIFS(Activities!$D$5:$D$1453,Activities!$B$5:$B$1453,A39))</f>
        <v>46293</v>
      </c>
      <c r="H39" s="7" t="n">
        <f aca="false">IF(G39="","",Inputs!$B$4-G39)</f>
        <v>21</v>
      </c>
      <c r="I39" s="3" t="str">
        <f aca="false">IF(OR(E39=0,H39="",H39&gt;90),"Yes","")</f>
        <v/>
      </c>
    </row>
    <row r="40" customFormat="false" ht="15" hidden="false" customHeight="false" outlineLevel="0" collapsed="false">
      <c r="A40" s="16" t="s">
        <v>92</v>
      </c>
      <c r="B40" s="17" t="str">
        <f aca="false">INDEX(Accounts!$B$5:$B$336,MATCH(A40,Accounts!$A$5:$A$336,0))</f>
        <v>Amani Authority</v>
      </c>
      <c r="C40" s="17" t="str">
        <f aca="false">INDEX(Accounts!$K$5:$K$336,MATCH(A40,Accounts!$A$5:$A$336,0))</f>
        <v>Public Sector &amp; Development</v>
      </c>
      <c r="D40" s="17" t="str">
        <f aca="false">INDEX(Owners!$B$5:$B$32,MATCH(INDEX(Accounts!$G$5:$G$336,MATCH(A40,Accounts!$A$5:$A$336,0)),Owners!$A$5:$A$32,0))</f>
        <v>Amina Otieno</v>
      </c>
      <c r="E40" s="7" t="n">
        <f aca="false">COUNTIFS(Opps!$B$5:$B$954,A40,Opps!$O$5:$O$954,1)</f>
        <v>7</v>
      </c>
      <c r="F40" s="18" t="n">
        <f aca="false">SUMIFS(Opps!$S$5:$S$954,Opps!$B$5:$B$954,A40,Opps!$O$5:$O$954,1)/1000000</f>
        <v>45.67655</v>
      </c>
      <c r="G40" s="19" t="n">
        <f aca="false">IF(COUNTIFS(Activities!$B$5:$B$1453,A40)=0,"",_xlfn.MAXIFS(Activities!$D$5:$D$1453,Activities!$B$5:$B$1453,A40))</f>
        <v>46256</v>
      </c>
      <c r="H40" s="7" t="n">
        <f aca="false">IF(G40="","",Inputs!$B$4-G40)</f>
        <v>58</v>
      </c>
      <c r="I40" s="3" t="str">
        <f aca="false">IF(OR(E40=0,H40="",H40&gt;90),"Yes","")</f>
        <v/>
      </c>
    </row>
    <row r="41" customFormat="false" ht="15" hidden="false" customHeight="false" outlineLevel="0" collapsed="false">
      <c r="A41" s="16" t="s">
        <v>93</v>
      </c>
      <c r="B41" s="17" t="str">
        <f aca="false">INDEX(Accounts!$B$5:$B$336,MATCH(A41,Accounts!$A$5:$A$336,0))</f>
        <v>Zuri Hotels Limited</v>
      </c>
      <c r="C41" s="17" t="str">
        <f aca="false">INDEX(Accounts!$K$5:$K$336,MATCH(A41,Accounts!$A$5:$A$336,0))</f>
        <v>Unassigned</v>
      </c>
      <c r="D41" s="17" t="str">
        <f aca="false">INDEX(Owners!$B$5:$B$32,MATCH(INDEX(Accounts!$G$5:$G$336,MATCH(A41,Accounts!$A$5:$A$336,0)),Owners!$A$5:$A$32,0))</f>
        <v>Brian Chebet</v>
      </c>
      <c r="E41" s="7" t="n">
        <f aca="false">COUNTIFS(Opps!$B$5:$B$954,A41,Opps!$O$5:$O$954,1)</f>
        <v>0</v>
      </c>
      <c r="F41" s="18" t="n">
        <f aca="false">SUMIFS(Opps!$S$5:$S$954,Opps!$B$5:$B$954,A41,Opps!$O$5:$O$954,1)/1000000</f>
        <v>0</v>
      </c>
      <c r="G41" s="19" t="n">
        <f aca="false">IF(COUNTIFS(Activities!$B$5:$B$1453,A41)=0,"",_xlfn.MAXIFS(Activities!$D$5:$D$1453,Activities!$B$5:$B$1453,A41))</f>
        <v>46310</v>
      </c>
      <c r="H41" s="7" t="n">
        <f aca="false">IF(G41="","",Inputs!$B$4-G41)</f>
        <v>4</v>
      </c>
      <c r="I41" s="3" t="str">
        <f aca="false">IF(OR(E41=0,H41="",H41&gt;90),"Yes","")</f>
        <v>Yes</v>
      </c>
    </row>
    <row r="42" customFormat="false" ht="15" hidden="false" customHeight="false" outlineLevel="0" collapsed="false">
      <c r="A42" s="16" t="s">
        <v>94</v>
      </c>
      <c r="B42" s="17" t="str">
        <f aca="false">INDEX(Accounts!$B$5:$B$336,MATCH(A42,Accounts!$A$5:$A$336,0))</f>
        <v>Pwani Media Limited</v>
      </c>
      <c r="C42" s="17" t="str">
        <f aca="false">INDEX(Accounts!$K$5:$K$336,MATCH(A42,Accounts!$A$5:$A$336,0))</f>
        <v>Technology, Media &amp; Telecom</v>
      </c>
      <c r="D42" s="17" t="str">
        <f aca="false">INDEX(Owners!$B$5:$B$32,MATCH(INDEX(Accounts!$G$5:$G$336,MATCH(A42,Accounts!$A$5:$A$336,0)),Owners!$A$5:$A$32,0))</f>
        <v>Cynthia Odhiambo</v>
      </c>
      <c r="E42" s="7" t="n">
        <f aca="false">COUNTIFS(Opps!$B$5:$B$954,A42,Opps!$O$5:$O$954,1)</f>
        <v>4</v>
      </c>
      <c r="F42" s="18" t="n">
        <f aca="false">SUMIFS(Opps!$S$5:$S$954,Opps!$B$5:$B$954,A42,Opps!$O$5:$O$954,1)/1000000</f>
        <v>94.2655</v>
      </c>
      <c r="G42" s="19" t="n">
        <f aca="false">IF(COUNTIFS(Activities!$B$5:$B$1453,A42)=0,"",_xlfn.MAXIFS(Activities!$D$5:$D$1453,Activities!$B$5:$B$1453,A42))</f>
        <v>46270</v>
      </c>
      <c r="H42" s="7" t="n">
        <f aca="false">IF(G42="","",Inputs!$B$4-G42)</f>
        <v>44</v>
      </c>
      <c r="I42" s="3" t="str">
        <f aca="false">IF(OR(E42=0,H42="",H42&gt;90),"Yes","")</f>
        <v/>
      </c>
    </row>
    <row r="43" customFormat="false" ht="15" hidden="false" customHeight="false" outlineLevel="0" collapsed="false">
      <c r="A43" s="16" t="s">
        <v>95</v>
      </c>
      <c r="B43" s="17" t="str">
        <f aca="false">INDEX(Accounts!$B$5:$B$336,MATCH(A43,Accounts!$A$5:$A$336,0))</f>
        <v>Baobab Power Limited</v>
      </c>
      <c r="C43" s="17" t="str">
        <f aca="false">INDEX(Accounts!$K$5:$K$336,MATCH(A43,Accounts!$A$5:$A$336,0))</f>
        <v>Energy &amp; Resources</v>
      </c>
      <c r="D43" s="17" t="str">
        <f aca="false">INDEX(Owners!$B$5:$B$32,MATCH(INDEX(Accounts!$G$5:$G$336,MATCH(A43,Accounts!$A$5:$A$336,0)),Owners!$A$5:$A$32,0))</f>
        <v>Daniel Wanjiru</v>
      </c>
      <c r="E43" s="7" t="n">
        <f aca="false">COUNTIFS(Opps!$B$5:$B$954,A43,Opps!$O$5:$O$954,1)</f>
        <v>3</v>
      </c>
      <c r="F43" s="18" t="n">
        <f aca="false">SUMIFS(Opps!$S$5:$S$954,Opps!$B$5:$B$954,A43,Opps!$O$5:$O$954,1)/1000000</f>
        <v>10.67625</v>
      </c>
      <c r="G43" s="19" t="n">
        <f aca="false">IF(COUNTIFS(Activities!$B$5:$B$1453,A43)=0,"",_xlfn.MAXIFS(Activities!$D$5:$D$1453,Activities!$B$5:$B$1453,A43))</f>
        <v>46218</v>
      </c>
      <c r="H43" s="7" t="n">
        <f aca="false">IF(G43="","",Inputs!$B$4-G43)</f>
        <v>96</v>
      </c>
      <c r="I43" s="3" t="str">
        <f aca="false">IF(OR(E43=0,H43="",H43&gt;90),"Yes","")</f>
        <v>Yes</v>
      </c>
    </row>
    <row r="44" customFormat="false" ht="15" hidden="false" customHeight="false" outlineLevel="0" collapsed="false">
      <c r="A44" s="16" t="s">
        <v>96</v>
      </c>
      <c r="B44" s="17" t="str">
        <f aca="false">INDEX(Accounts!$B$5:$B$336,MATCH(A44,Accounts!$A$5:$A$336,0))</f>
        <v>Amani Insurance Limited</v>
      </c>
      <c r="C44" s="17" t="str">
        <f aca="false">INDEX(Accounts!$K$5:$K$336,MATCH(A44,Accounts!$A$5:$A$336,0))</f>
        <v>Financial Services</v>
      </c>
      <c r="D44" s="17" t="str">
        <f aca="false">INDEX(Owners!$B$5:$B$32,MATCH(INDEX(Accounts!$G$5:$G$336,MATCH(A44,Accounts!$A$5:$A$336,0)),Owners!$A$5:$A$32,0))</f>
        <v>Esther Kiprop</v>
      </c>
      <c r="E44" s="7" t="n">
        <f aca="false">COUNTIFS(Opps!$B$5:$B$954,A44,Opps!$O$5:$O$954,1)</f>
        <v>2</v>
      </c>
      <c r="F44" s="18" t="n">
        <f aca="false">SUMIFS(Opps!$S$5:$S$954,Opps!$B$5:$B$954,A44,Opps!$O$5:$O$954,1)/1000000</f>
        <v>16.7685</v>
      </c>
      <c r="G44" s="19" t="n">
        <f aca="false">IF(COUNTIFS(Activities!$B$5:$B$1453,A44)=0,"",_xlfn.MAXIFS(Activities!$D$5:$D$1453,Activities!$B$5:$B$1453,A44))</f>
        <v>46312</v>
      </c>
      <c r="H44" s="7" t="n">
        <f aca="false">IF(G44="","",Inputs!$B$4-G44)</f>
        <v>2</v>
      </c>
      <c r="I44" s="3" t="str">
        <f aca="false">IF(OR(E44=0,H44="",H44&gt;90),"Yes","")</f>
        <v/>
      </c>
    </row>
    <row r="46" customFormat="false" ht="15" hidden="false" customHeight="false" outlineLevel="0" collapsed="false">
      <c r="A46" s="3" t="s">
        <v>97</v>
      </c>
      <c r="E46" s="7" t="n">
        <f aca="false">COUNTA(A5:A44)</f>
        <v>40</v>
      </c>
    </row>
    <row r="47" customFormat="false" ht="15" hidden="false" customHeight="false" outlineLevel="0" collapsed="false">
      <c r="A47" s="3" t="s">
        <v>98</v>
      </c>
      <c r="E47" s="7" t="n">
        <f aca="false">COUNTIF(E5:E44,"&gt;0")</f>
        <v>38</v>
      </c>
    </row>
    <row r="48" customFormat="false" ht="15" hidden="false" customHeight="false" outlineLevel="0" collapsed="false">
      <c r="A48" s="3" t="s">
        <v>99</v>
      </c>
      <c r="E48" s="7" t="n">
        <f aca="false">COUNTIFS(H5:H44,"&lt;=90")</f>
        <v>37</v>
      </c>
    </row>
    <row r="49" customFormat="false" ht="15" hidden="false" customHeight="false" outlineLevel="0" collapsed="false">
      <c r="A49" s="3" t="s">
        <v>100</v>
      </c>
      <c r="E49" s="7" t="n">
        <f aca="false">COUNTIF(I5:I44,"Yes")</f>
        <v>5</v>
      </c>
    </row>
  </sheetData>
  <conditionalFormatting sqref="I5:I44">
    <cfRule type="cellIs" priority="2" operator="equal" aboveAverage="0" equalAverage="0" bottom="0" percent="0" rank="0" text="" dxfId="1">
      <formula>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4572E"/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101</v>
      </c>
    </row>
    <row r="2" customFormat="false" ht="15" hidden="false" customHeight="false" outlineLevel="0" collapsed="false">
      <c r="A2" s="2" t="s">
        <v>102</v>
      </c>
    </row>
    <row r="4" customFormat="false" ht="36" hidden="false" customHeight="true" outlineLevel="0" collapsed="false">
      <c r="A4" s="5" t="s">
        <v>103</v>
      </c>
      <c r="B4" s="5" t="s">
        <v>104</v>
      </c>
      <c r="C4" s="5" t="s">
        <v>105</v>
      </c>
      <c r="D4" s="5" t="s">
        <v>106</v>
      </c>
      <c r="E4" s="5" t="s">
        <v>107</v>
      </c>
      <c r="F4" s="5" t="s">
        <v>108</v>
      </c>
    </row>
    <row r="5" customFormat="false" ht="15" hidden="false" customHeight="false" outlineLevel="0" collapsed="false">
      <c r="A5" s="17" t="s">
        <v>109</v>
      </c>
      <c r="B5" s="17" t="s">
        <v>110</v>
      </c>
      <c r="C5" s="7" t="n">
        <f aca="false">SUM(Opps!$U$5:$U$954)</f>
        <v>66</v>
      </c>
      <c r="D5" s="7" t="n">
        <f aca="false">COUNTA(Opps!$A$5:$A$954)</f>
        <v>950</v>
      </c>
      <c r="E5" s="20" t="n">
        <f aca="false">C5/D5</f>
        <v>0.0694736842105263</v>
      </c>
      <c r="F5" s="17" t="s">
        <v>111</v>
      </c>
    </row>
    <row r="6" customFormat="false" ht="15" hidden="false" customHeight="false" outlineLevel="0" collapsed="false">
      <c r="A6" s="17" t="s">
        <v>112</v>
      </c>
      <c r="B6" s="17" t="s">
        <v>110</v>
      </c>
      <c r="C6" s="7" t="n">
        <f aca="false">SUM(Opps!$V$5:$V$954)</f>
        <v>27</v>
      </c>
      <c r="D6" s="7" t="n">
        <f aca="false">COUNTA(Opps!$A$5:$A$954)</f>
        <v>950</v>
      </c>
      <c r="E6" s="20" t="n">
        <f aca="false">C6/D6</f>
        <v>0.0284210526315789</v>
      </c>
      <c r="F6" s="17" t="s">
        <v>113</v>
      </c>
    </row>
    <row r="7" customFormat="false" ht="15" hidden="false" customHeight="false" outlineLevel="0" collapsed="false">
      <c r="A7" s="17" t="s">
        <v>114</v>
      </c>
      <c r="B7" s="17" t="s">
        <v>115</v>
      </c>
      <c r="C7" s="7" t="n">
        <f aca="false">SUM(Opps!$W$5:$W$954)</f>
        <v>40</v>
      </c>
      <c r="D7" s="7" t="n">
        <f aca="false">SUM(Opps!$O$5:$O$954)</f>
        <v>373</v>
      </c>
      <c r="E7" s="20" t="n">
        <f aca="false">C7/D7</f>
        <v>0.107238605898123</v>
      </c>
      <c r="F7" s="17" t="s">
        <v>116</v>
      </c>
    </row>
    <row r="8" customFormat="false" ht="15" hidden="false" customHeight="false" outlineLevel="0" collapsed="false">
      <c r="A8" s="17" t="s">
        <v>117</v>
      </c>
      <c r="B8" s="17" t="s">
        <v>115</v>
      </c>
      <c r="C8" s="7" t="n">
        <f aca="false">SUM(Opps!$X$5:$X$954)</f>
        <v>56</v>
      </c>
      <c r="D8" s="7" t="n">
        <f aca="false">SUM(Opps!$O$5:$O$954)</f>
        <v>373</v>
      </c>
      <c r="E8" s="20" t="n">
        <f aca="false">C8/D8</f>
        <v>0.150134048257373</v>
      </c>
      <c r="F8" s="17" t="s">
        <v>118</v>
      </c>
    </row>
    <row r="9" customFormat="false" ht="15" hidden="false" customHeight="false" outlineLevel="0" collapsed="false">
      <c r="A9" s="17" t="s">
        <v>119</v>
      </c>
      <c r="B9" s="17" t="s">
        <v>115</v>
      </c>
      <c r="C9" s="7" t="n">
        <f aca="false">SUM(Opps!$Y$5:$Y$954)</f>
        <v>82</v>
      </c>
      <c r="D9" s="7" t="n">
        <f aca="false">SUM(Opps!$O$5:$O$954)</f>
        <v>373</v>
      </c>
      <c r="E9" s="20" t="n">
        <f aca="false">C9/D9</f>
        <v>0.219839142091153</v>
      </c>
      <c r="F9" s="17" t="s">
        <v>120</v>
      </c>
    </row>
    <row r="10" customFormat="false" ht="15" hidden="false" customHeight="false" outlineLevel="0" collapsed="false">
      <c r="A10" s="17" t="s">
        <v>121</v>
      </c>
      <c r="B10" s="17" t="s">
        <v>115</v>
      </c>
      <c r="C10" s="7" t="n">
        <f aca="false">SUM(Opps!$Z$5:$Z$954)</f>
        <v>22</v>
      </c>
      <c r="D10" s="7" t="n">
        <f aca="false">SUM(Opps!$O$5:$O$954)</f>
        <v>373</v>
      </c>
      <c r="E10" s="20" t="n">
        <f aca="false">C10/D10</f>
        <v>0.0589812332439678</v>
      </c>
      <c r="F10" s="17" t="s">
        <v>122</v>
      </c>
    </row>
    <row r="11" customFormat="false" ht="15" hidden="false" customHeight="false" outlineLevel="0" collapsed="false">
      <c r="A11" s="17" t="s">
        <v>123</v>
      </c>
      <c r="B11" s="17" t="s">
        <v>115</v>
      </c>
      <c r="C11" s="7" t="n">
        <f aca="false">SUM(Opps!$AA$5:$AA$954)</f>
        <v>29</v>
      </c>
      <c r="D11" s="7" t="n">
        <f aca="false">SUM(Opps!$O$5:$O$954)</f>
        <v>373</v>
      </c>
      <c r="E11" s="20" t="n">
        <f aca="false">C11/D11</f>
        <v>0.0777479892761394</v>
      </c>
      <c r="F11" s="17" t="s">
        <v>124</v>
      </c>
    </row>
    <row r="12" customFormat="false" ht="15" hidden="false" customHeight="false" outlineLevel="0" collapsed="false">
      <c r="A12" s="17" t="s">
        <v>125</v>
      </c>
      <c r="B12" s="17" t="s">
        <v>126</v>
      </c>
      <c r="C12" s="7" t="n">
        <f aca="false">SUM(Opps!$AB$5:$AB$954)</f>
        <v>64</v>
      </c>
      <c r="D12" s="7" t="n">
        <f aca="false">COUNTIFS(Opps!$E$5:$E$954,"Closed Lost")</f>
        <v>361</v>
      </c>
      <c r="E12" s="20" t="n">
        <f aca="false">C12/D12</f>
        <v>0.177285318559557</v>
      </c>
      <c r="F12" s="17" t="s">
        <v>127</v>
      </c>
    </row>
    <row r="14" customFormat="false" ht="15" hidden="false" customHeight="false" outlineLevel="0" collapsed="false">
      <c r="A14" s="17" t="s">
        <v>128</v>
      </c>
      <c r="C14" s="7" t="n">
        <f aca="false">SUM(Accounts!$L$5:$L$336)</f>
        <v>17</v>
      </c>
      <c r="D14" s="7" t="n">
        <f aca="false">COUNTA(Accounts!$A$5:$A$336)</f>
        <v>332</v>
      </c>
      <c r="E14" s="11" t="n">
        <f aca="false">C14/D14</f>
        <v>0.0512048192771084</v>
      </c>
    </row>
    <row r="15" customFormat="false" ht="15" hidden="false" customHeight="false" outlineLevel="0" collapsed="false">
      <c r="A15" s="17" t="s">
        <v>129</v>
      </c>
      <c r="C15" s="7" t="n">
        <f aca="false">SUM(Accounts!$I$5:$I$336)</f>
        <v>24</v>
      </c>
      <c r="D15" s="7" t="n">
        <f aca="false">COUNTA(Accounts!$A$5:$A$336)</f>
        <v>332</v>
      </c>
      <c r="E15" s="11" t="n">
        <f aca="false">C15/D15</f>
        <v>0.072289156626506</v>
      </c>
    </row>
    <row r="17" customFormat="false" ht="15" hidden="false" customHeight="false" outlineLevel="0" collapsed="false">
      <c r="A17" s="3" t="s">
        <v>130</v>
      </c>
      <c r="C17" s="12" t="n">
        <f aca="false">COUNTIFS(Opps!$O$5:$O$954,1,Opps!$AD$5:$AD$954,1)</f>
        <v>168</v>
      </c>
      <c r="D17" s="12" t="n">
        <f aca="false">SUM(Opps!$O$5:$O$954)</f>
        <v>373</v>
      </c>
      <c r="E17" s="21" t="n">
        <f aca="false">C17/D17</f>
        <v>0.450402144772118</v>
      </c>
    </row>
    <row r="18" customFormat="false" ht="15" hidden="false" customHeight="false" outlineLevel="0" collapsed="false">
      <c r="A18" s="17" t="s">
        <v>131</v>
      </c>
      <c r="C18" s="7" t="n">
        <f aca="false">D17-C17</f>
        <v>205</v>
      </c>
      <c r="E18" s="11" t="n">
        <f aca="false">C18/D17</f>
        <v>0.549597855227882</v>
      </c>
    </row>
    <row r="19" customFormat="false" ht="15" hidden="false" customHeight="false" outlineLevel="0" collapsed="false">
      <c r="A19" s="17" t="s">
        <v>132</v>
      </c>
      <c r="C19" s="7" t="n">
        <f aca="false">SUM(Opps!$AC$5:$AC$954)</f>
        <v>386</v>
      </c>
    </row>
  </sheetData>
  <conditionalFormatting sqref="E5:E12">
    <cfRule type="dataBar" priority="2">
      <dataBar showValue="1" minLength="10" maxLength="90">
        <cfvo type="num" val="0"/>
        <cfvo type="num" val="0.4"/>
        <color rgb="FFE4572E"/>
      </dataBar>
      <extLst>
        <ext xmlns:x14="http://schemas.microsoft.com/office/spreadsheetml/2009/9/main" uri="{B025F937-C7B1-47D3-B67F-A62EFF666E3E}">
          <x14:id>{18278376-5078-4E67-A4B0-4DA1483CB155}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278376-5078-4E67-A4B0-4DA1483CB155}">
            <x14:dataBar minLength="10" maxLength="90" axisPosition="none" gradient="true">
              <x14:cfvo type="num">
                <xm:f>0</xm:f>
              </x14:cfvo>
              <x14:cfvo type="num">
                <xm:f>0.4</xm:f>
              </x14:cfvo>
              <x14:negativeFillColor rgb="FFE4572E"/>
              <x14:axisColor rgb="FF000000"/>
            </x14:dataBar>
          </x14:cfRule>
          <xm:sqref>E5:E12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4572E"/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133</v>
      </c>
    </row>
    <row r="2" customFormat="false" ht="15" hidden="false" customHeight="false" outlineLevel="0" collapsed="false">
      <c r="A2" s="2" t="s">
        <v>134</v>
      </c>
    </row>
    <row r="4" customFormat="false" ht="36" hidden="false" customHeight="true" outlineLevel="0" collapsed="false">
      <c r="A4" s="5" t="s">
        <v>135</v>
      </c>
      <c r="B4" s="5" t="s">
        <v>136</v>
      </c>
      <c r="C4" s="5" t="s">
        <v>137</v>
      </c>
      <c r="D4" s="5" t="s">
        <v>138</v>
      </c>
      <c r="E4" s="5" t="s">
        <v>21</v>
      </c>
      <c r="F4" s="5" t="s">
        <v>139</v>
      </c>
      <c r="G4" s="5" t="s">
        <v>140</v>
      </c>
      <c r="H4" s="5" t="s">
        <v>141</v>
      </c>
    </row>
    <row r="5" customFormat="false" ht="15" hidden="false" customHeight="false" outlineLevel="0" collapsed="false">
      <c r="A5" s="6" t="str">
        <f aca="false">Owners!A5</f>
        <v>U001</v>
      </c>
      <c r="B5" s="6" t="str">
        <f aca="false">Owners!B5</f>
        <v>Amina Otieno</v>
      </c>
      <c r="C5" s="6" t="str">
        <f aca="false">Owners!C5</f>
        <v>Partner</v>
      </c>
      <c r="D5" s="6" t="str">
        <f aca="false">Owners!E5</f>
        <v>Yes</v>
      </c>
      <c r="E5" s="7" t="n">
        <f aca="false">COUNTIFS(Opps!$K$5:$K$954,A5,Opps!$O$5:$O$954,1)</f>
        <v>23</v>
      </c>
      <c r="F5" s="7" t="n">
        <f aca="false">COUNTIFS(Opps!$K$5:$K$954,A5,Opps!$O$5:$O$954,1,Opps!$AD$5:$AD$954,0)</f>
        <v>10</v>
      </c>
      <c r="G5" s="11" t="n">
        <f aca="false">IF(E5=0,"",1-F5/E5)</f>
        <v>0.565217391304348</v>
      </c>
      <c r="H5" s="7" t="n">
        <f aca="false">SUMIFS(Opps!$AC$5:$AC$954,Opps!$K$5:$K$954,A5,Opps!$O$5:$O$954,1)</f>
        <v>13</v>
      </c>
    </row>
    <row r="6" customFormat="false" ht="15" hidden="false" customHeight="false" outlineLevel="0" collapsed="false">
      <c r="A6" s="6" t="str">
        <f aca="false">Owners!A6</f>
        <v>U002</v>
      </c>
      <c r="B6" s="6" t="str">
        <f aca="false">Owners!B6</f>
        <v>Brian Chebet</v>
      </c>
      <c r="C6" s="6" t="str">
        <f aca="false">Owners!C6</f>
        <v>Partner</v>
      </c>
      <c r="D6" s="6" t="str">
        <f aca="false">Owners!E6</f>
        <v>Yes</v>
      </c>
      <c r="E6" s="7" t="n">
        <f aca="false">COUNTIFS(Opps!$K$5:$K$954,A6,Opps!$O$5:$O$954,1)</f>
        <v>14</v>
      </c>
      <c r="F6" s="7" t="n">
        <f aca="false">COUNTIFS(Opps!$K$5:$K$954,A6,Opps!$O$5:$O$954,1,Opps!$AD$5:$AD$954,0)</f>
        <v>7</v>
      </c>
      <c r="G6" s="11" t="n">
        <f aca="false">IF(E6=0,"",1-F6/E6)</f>
        <v>0.5</v>
      </c>
      <c r="H6" s="7" t="n">
        <f aca="false">SUMIFS(Opps!$AC$5:$AC$954,Opps!$K$5:$K$954,A6,Opps!$O$5:$O$954,1)</f>
        <v>8</v>
      </c>
    </row>
    <row r="7" customFormat="false" ht="15" hidden="false" customHeight="false" outlineLevel="0" collapsed="false">
      <c r="A7" s="6" t="str">
        <f aca="false">Owners!A7</f>
        <v>U003</v>
      </c>
      <c r="B7" s="6" t="str">
        <f aca="false">Owners!B7</f>
        <v>Cynthia Odhiambo</v>
      </c>
      <c r="C7" s="6" t="str">
        <f aca="false">Owners!C7</f>
        <v>Partner</v>
      </c>
      <c r="D7" s="6" t="str">
        <f aca="false">Owners!E7</f>
        <v>Yes</v>
      </c>
      <c r="E7" s="7" t="n">
        <f aca="false">COUNTIFS(Opps!$K$5:$K$954,A7,Opps!$O$5:$O$954,1)</f>
        <v>22</v>
      </c>
      <c r="F7" s="7" t="n">
        <f aca="false">COUNTIFS(Opps!$K$5:$K$954,A7,Opps!$O$5:$O$954,1,Opps!$AD$5:$AD$954,0)</f>
        <v>8</v>
      </c>
      <c r="G7" s="11" t="n">
        <f aca="false">IF(E7=0,"",1-F7/E7)</f>
        <v>0.636363636363636</v>
      </c>
      <c r="H7" s="7" t="n">
        <f aca="false">SUMIFS(Opps!$AC$5:$AC$954,Opps!$K$5:$K$954,A7,Opps!$O$5:$O$954,1)</f>
        <v>8</v>
      </c>
    </row>
    <row r="8" customFormat="false" ht="15" hidden="false" customHeight="false" outlineLevel="0" collapsed="false">
      <c r="A8" s="6" t="str">
        <f aca="false">Owners!A8</f>
        <v>U004</v>
      </c>
      <c r="B8" s="6" t="str">
        <f aca="false">Owners!B8</f>
        <v>Daniel Wanjiru</v>
      </c>
      <c r="C8" s="6" t="str">
        <f aca="false">Owners!C8</f>
        <v>Partner</v>
      </c>
      <c r="D8" s="6" t="str">
        <f aca="false">Owners!E8</f>
        <v>Yes</v>
      </c>
      <c r="E8" s="7" t="n">
        <f aca="false">COUNTIFS(Opps!$K$5:$K$954,A8,Opps!$O$5:$O$954,1)</f>
        <v>21</v>
      </c>
      <c r="F8" s="7" t="n">
        <f aca="false">COUNTIFS(Opps!$K$5:$K$954,A8,Opps!$O$5:$O$954,1,Opps!$AD$5:$AD$954,0)</f>
        <v>10</v>
      </c>
      <c r="G8" s="11" t="n">
        <f aca="false">IF(E8=0,"",1-F8/E8)</f>
        <v>0.523809523809524</v>
      </c>
      <c r="H8" s="7" t="n">
        <f aca="false">SUMIFS(Opps!$AC$5:$AC$954,Opps!$K$5:$K$954,A8,Opps!$O$5:$O$954,1)</f>
        <v>11</v>
      </c>
    </row>
    <row r="9" customFormat="false" ht="15" hidden="false" customHeight="false" outlineLevel="0" collapsed="false">
      <c r="A9" s="6" t="str">
        <f aca="false">Owners!A9</f>
        <v>U005</v>
      </c>
      <c r="B9" s="6" t="str">
        <f aca="false">Owners!B9</f>
        <v>Esther Kiprop</v>
      </c>
      <c r="C9" s="6" t="str">
        <f aca="false">Owners!C9</f>
        <v>Partner</v>
      </c>
      <c r="D9" s="6" t="str">
        <f aca="false">Owners!E9</f>
        <v>Yes</v>
      </c>
      <c r="E9" s="7" t="n">
        <f aca="false">COUNTIFS(Opps!$K$5:$K$954,A9,Opps!$O$5:$O$954,1)</f>
        <v>21</v>
      </c>
      <c r="F9" s="7" t="n">
        <f aca="false">COUNTIFS(Opps!$K$5:$K$954,A9,Opps!$O$5:$O$954,1,Opps!$AD$5:$AD$954,0)</f>
        <v>11</v>
      </c>
      <c r="G9" s="11" t="n">
        <f aca="false">IF(E9=0,"",1-F9/E9)</f>
        <v>0.476190476190476</v>
      </c>
      <c r="H9" s="7" t="n">
        <f aca="false">SUMIFS(Opps!$AC$5:$AC$954,Opps!$K$5:$K$954,A9,Opps!$O$5:$O$954,1)</f>
        <v>12</v>
      </c>
    </row>
    <row r="10" customFormat="false" ht="15" hidden="false" customHeight="false" outlineLevel="0" collapsed="false">
      <c r="A10" s="6" t="str">
        <f aca="false">Owners!A10</f>
        <v>U006</v>
      </c>
      <c r="B10" s="6" t="str">
        <f aca="false">Owners!B10</f>
        <v>Felix Barasa</v>
      </c>
      <c r="C10" s="6" t="str">
        <f aca="false">Owners!C10</f>
        <v>Partner</v>
      </c>
      <c r="D10" s="6" t="str">
        <f aca="false">Owners!E10</f>
        <v>Yes</v>
      </c>
      <c r="E10" s="7" t="n">
        <f aca="false">COUNTIFS(Opps!$K$5:$K$954,A10,Opps!$O$5:$O$954,1)</f>
        <v>16</v>
      </c>
      <c r="F10" s="7" t="n">
        <f aca="false">COUNTIFS(Opps!$K$5:$K$954,A10,Opps!$O$5:$O$954,1,Opps!$AD$5:$AD$954,0)</f>
        <v>9</v>
      </c>
      <c r="G10" s="11" t="n">
        <f aca="false">IF(E10=0,"",1-F10/E10)</f>
        <v>0.4375</v>
      </c>
      <c r="H10" s="7" t="n">
        <f aca="false">SUMIFS(Opps!$AC$5:$AC$954,Opps!$K$5:$K$954,A10,Opps!$O$5:$O$954,1)</f>
        <v>13</v>
      </c>
    </row>
    <row r="11" customFormat="false" ht="15" hidden="false" customHeight="false" outlineLevel="0" collapsed="false">
      <c r="A11" s="6" t="str">
        <f aca="false">Owners!A11</f>
        <v>U007</v>
      </c>
      <c r="B11" s="6" t="str">
        <f aca="false">Owners!B11</f>
        <v>Grace Mwangi</v>
      </c>
      <c r="C11" s="6" t="str">
        <f aca="false">Owners!C11</f>
        <v>Partner</v>
      </c>
      <c r="D11" s="6" t="str">
        <f aca="false">Owners!E11</f>
        <v>Yes</v>
      </c>
      <c r="E11" s="7" t="n">
        <f aca="false">COUNTIFS(Opps!$K$5:$K$954,A11,Opps!$O$5:$O$954,1)</f>
        <v>16</v>
      </c>
      <c r="F11" s="7" t="n">
        <f aca="false">COUNTIFS(Opps!$K$5:$K$954,A11,Opps!$O$5:$O$954,1,Opps!$AD$5:$AD$954,0)</f>
        <v>10</v>
      </c>
      <c r="G11" s="11" t="n">
        <f aca="false">IF(E11=0,"",1-F11/E11)</f>
        <v>0.375</v>
      </c>
      <c r="H11" s="7" t="n">
        <f aca="false">SUMIFS(Opps!$AC$5:$AC$954,Opps!$K$5:$K$954,A11,Opps!$O$5:$O$954,1)</f>
        <v>14</v>
      </c>
    </row>
    <row r="12" customFormat="false" ht="15" hidden="false" customHeight="false" outlineLevel="0" collapsed="false">
      <c r="A12" s="6" t="str">
        <f aca="false">Owners!A12</f>
        <v>U008</v>
      </c>
      <c r="B12" s="6" t="str">
        <f aca="false">Owners!B12</f>
        <v>Hassan Mutua</v>
      </c>
      <c r="C12" s="6" t="str">
        <f aca="false">Owners!C12</f>
        <v>Director</v>
      </c>
      <c r="D12" s="6" t="str">
        <f aca="false">Owners!E12</f>
        <v>Yes</v>
      </c>
      <c r="E12" s="7" t="n">
        <f aca="false">COUNTIFS(Opps!$K$5:$K$954,A12,Opps!$O$5:$O$954,1)</f>
        <v>13</v>
      </c>
      <c r="F12" s="7" t="n">
        <f aca="false">COUNTIFS(Opps!$K$5:$K$954,A12,Opps!$O$5:$O$954,1,Opps!$AD$5:$AD$954,0)</f>
        <v>2</v>
      </c>
      <c r="G12" s="11" t="n">
        <f aca="false">IF(E12=0,"",1-F12/E12)</f>
        <v>0.846153846153846</v>
      </c>
      <c r="H12" s="7" t="n">
        <f aca="false">SUMIFS(Opps!$AC$5:$AC$954,Opps!$K$5:$K$954,A12,Opps!$O$5:$O$954,1)</f>
        <v>4</v>
      </c>
    </row>
    <row r="13" customFormat="false" ht="15" hidden="false" customHeight="false" outlineLevel="0" collapsed="false">
      <c r="A13" s="6" t="str">
        <f aca="false">Owners!A13</f>
        <v>U009</v>
      </c>
      <c r="B13" s="6" t="str">
        <f aca="false">Owners!B13</f>
        <v>Irene Nyambura</v>
      </c>
      <c r="C13" s="6" t="str">
        <f aca="false">Owners!C13</f>
        <v>Director</v>
      </c>
      <c r="D13" s="6" t="str">
        <f aca="false">Owners!E13</f>
        <v>Yes</v>
      </c>
      <c r="E13" s="7" t="n">
        <f aca="false">COUNTIFS(Opps!$K$5:$K$954,A13,Opps!$O$5:$O$954,1)</f>
        <v>11</v>
      </c>
      <c r="F13" s="7" t="n">
        <f aca="false">COUNTIFS(Opps!$K$5:$K$954,A13,Opps!$O$5:$O$954,1,Opps!$AD$5:$AD$954,0)</f>
        <v>4</v>
      </c>
      <c r="G13" s="11" t="n">
        <f aca="false">IF(E13=0,"",1-F13/E13)</f>
        <v>0.636363636363636</v>
      </c>
      <c r="H13" s="7" t="n">
        <f aca="false">SUMIFS(Opps!$AC$5:$AC$954,Opps!$K$5:$K$954,A13,Opps!$O$5:$O$954,1)</f>
        <v>8</v>
      </c>
    </row>
    <row r="14" customFormat="false" ht="15" hidden="false" customHeight="false" outlineLevel="0" collapsed="false">
      <c r="A14" s="6" t="str">
        <f aca="false">Owners!A14</f>
        <v>U010</v>
      </c>
      <c r="B14" s="6" t="str">
        <f aca="false">Owners!B14</f>
        <v>James Kamau</v>
      </c>
      <c r="C14" s="6" t="str">
        <f aca="false">Owners!C14</f>
        <v>Director</v>
      </c>
      <c r="D14" s="6" t="str">
        <f aca="false">Owners!E14</f>
        <v>Yes</v>
      </c>
      <c r="E14" s="7" t="n">
        <f aca="false">COUNTIFS(Opps!$K$5:$K$954,A14,Opps!$O$5:$O$954,1)</f>
        <v>9</v>
      </c>
      <c r="F14" s="7" t="n">
        <f aca="false">COUNTIFS(Opps!$K$5:$K$954,A14,Opps!$O$5:$O$954,1,Opps!$AD$5:$AD$954,0)</f>
        <v>6</v>
      </c>
      <c r="G14" s="11" t="n">
        <f aca="false">IF(E14=0,"",1-F14/E14)</f>
        <v>0.333333333333333</v>
      </c>
      <c r="H14" s="7" t="n">
        <f aca="false">SUMIFS(Opps!$AC$5:$AC$954,Opps!$K$5:$K$954,A14,Opps!$O$5:$O$954,1)</f>
        <v>8</v>
      </c>
    </row>
    <row r="15" customFormat="false" ht="15" hidden="false" customHeight="false" outlineLevel="0" collapsed="false">
      <c r="A15" s="6" t="str">
        <f aca="false">Owners!A15</f>
        <v>U011</v>
      </c>
      <c r="B15" s="6" t="str">
        <f aca="false">Owners!B15</f>
        <v>Kevin Ochieng</v>
      </c>
      <c r="C15" s="6" t="str">
        <f aca="false">Owners!C15</f>
        <v>Director</v>
      </c>
      <c r="D15" s="6" t="str">
        <f aca="false">Owners!E15</f>
        <v>Yes</v>
      </c>
      <c r="E15" s="7" t="n">
        <f aca="false">COUNTIFS(Opps!$K$5:$K$954,A15,Opps!$O$5:$O$954,1)</f>
        <v>9</v>
      </c>
      <c r="F15" s="7" t="n">
        <f aca="false">COUNTIFS(Opps!$K$5:$K$954,A15,Opps!$O$5:$O$954,1,Opps!$AD$5:$AD$954,0)</f>
        <v>6</v>
      </c>
      <c r="G15" s="11" t="n">
        <f aca="false">IF(E15=0,"",1-F15/E15)</f>
        <v>0.333333333333333</v>
      </c>
      <c r="H15" s="7" t="n">
        <f aca="false">SUMIFS(Opps!$AC$5:$AC$954,Opps!$K$5:$K$954,A15,Opps!$O$5:$O$954,1)</f>
        <v>7</v>
      </c>
    </row>
    <row r="16" customFormat="false" ht="15" hidden="false" customHeight="false" outlineLevel="0" collapsed="false">
      <c r="A16" s="6" t="str">
        <f aca="false">Owners!A16</f>
        <v>U012</v>
      </c>
      <c r="B16" s="6" t="str">
        <f aca="false">Owners!B16</f>
        <v>Lucy Kariuki</v>
      </c>
      <c r="C16" s="6" t="str">
        <f aca="false">Owners!C16</f>
        <v>Director</v>
      </c>
      <c r="D16" s="6" t="str">
        <f aca="false">Owners!E16</f>
        <v>No</v>
      </c>
      <c r="E16" s="7" t="n">
        <f aca="false">COUNTIFS(Opps!$K$5:$K$954,A16,Opps!$O$5:$O$954,1)</f>
        <v>24</v>
      </c>
      <c r="F16" s="7" t="n">
        <f aca="false">COUNTIFS(Opps!$K$5:$K$954,A16,Opps!$O$5:$O$954,1,Opps!$AD$5:$AD$954,0)</f>
        <v>24</v>
      </c>
      <c r="G16" s="11" t="n">
        <f aca="false">IF(E16=0,"",1-F16/E16)</f>
        <v>0</v>
      </c>
      <c r="H16" s="7" t="n">
        <f aca="false">SUMIFS(Opps!$AC$5:$AC$954,Opps!$K$5:$K$954,A16,Opps!$O$5:$O$954,1)</f>
        <v>32</v>
      </c>
    </row>
    <row r="17" customFormat="false" ht="15" hidden="false" customHeight="false" outlineLevel="0" collapsed="false">
      <c r="A17" s="6" t="str">
        <f aca="false">Owners!A17</f>
        <v>U013</v>
      </c>
      <c r="B17" s="6" t="str">
        <f aca="false">Owners!B17</f>
        <v>Mark Njoroge</v>
      </c>
      <c r="C17" s="6" t="str">
        <f aca="false">Owners!C17</f>
        <v>Director</v>
      </c>
      <c r="D17" s="6" t="str">
        <f aca="false">Owners!E17</f>
        <v>Yes</v>
      </c>
      <c r="E17" s="7" t="n">
        <f aca="false">COUNTIFS(Opps!$K$5:$K$954,A17,Opps!$O$5:$O$954,1)</f>
        <v>8</v>
      </c>
      <c r="F17" s="7" t="n">
        <f aca="false">COUNTIFS(Opps!$K$5:$K$954,A17,Opps!$O$5:$O$954,1,Opps!$AD$5:$AD$954,0)</f>
        <v>5</v>
      </c>
      <c r="G17" s="11" t="n">
        <f aca="false">IF(E17=0,"",1-F17/E17)</f>
        <v>0.375</v>
      </c>
      <c r="H17" s="7" t="n">
        <f aca="false">SUMIFS(Opps!$AC$5:$AC$954,Opps!$K$5:$K$954,A17,Opps!$O$5:$O$954,1)</f>
        <v>7</v>
      </c>
    </row>
    <row r="18" customFormat="false" ht="15" hidden="false" customHeight="false" outlineLevel="0" collapsed="false">
      <c r="A18" s="6" t="str">
        <f aca="false">Owners!A18</f>
        <v>U014</v>
      </c>
      <c r="B18" s="6" t="str">
        <f aca="false">Owners!B18</f>
        <v>Nancy Wafula</v>
      </c>
      <c r="C18" s="6" t="str">
        <f aca="false">Owners!C18</f>
        <v>Director</v>
      </c>
      <c r="D18" s="6" t="str">
        <f aca="false">Owners!E18</f>
        <v>Yes</v>
      </c>
      <c r="E18" s="7" t="n">
        <f aca="false">COUNTIFS(Opps!$K$5:$K$954,A18,Opps!$O$5:$O$954,1)</f>
        <v>10</v>
      </c>
      <c r="F18" s="7" t="n">
        <f aca="false">COUNTIFS(Opps!$K$5:$K$954,A18,Opps!$O$5:$O$954,1,Opps!$AD$5:$AD$954,0)</f>
        <v>6</v>
      </c>
      <c r="G18" s="11" t="n">
        <f aca="false">IF(E18=0,"",1-F18/E18)</f>
        <v>0.4</v>
      </c>
      <c r="H18" s="7" t="n">
        <f aca="false">SUMIFS(Opps!$AC$5:$AC$954,Opps!$K$5:$K$954,A18,Opps!$O$5:$O$954,1)</f>
        <v>9</v>
      </c>
    </row>
    <row r="19" customFormat="false" ht="15" hidden="false" customHeight="false" outlineLevel="0" collapsed="false">
      <c r="A19" s="6" t="str">
        <f aca="false">Owners!A19</f>
        <v>U015</v>
      </c>
      <c r="B19" s="6" t="str">
        <f aca="false">Owners!B19</f>
        <v>Omar Juma</v>
      </c>
      <c r="C19" s="6" t="str">
        <f aca="false">Owners!C19</f>
        <v>Senior Manager</v>
      </c>
      <c r="D19" s="6" t="str">
        <f aca="false">Owners!E19</f>
        <v>Yes</v>
      </c>
      <c r="E19" s="7" t="n">
        <f aca="false">COUNTIFS(Opps!$K$5:$K$954,A19,Opps!$O$5:$O$954,1)</f>
        <v>13</v>
      </c>
      <c r="F19" s="7" t="n">
        <f aca="false">COUNTIFS(Opps!$K$5:$K$954,A19,Opps!$O$5:$O$954,1,Opps!$AD$5:$AD$954,0)</f>
        <v>3</v>
      </c>
      <c r="G19" s="11" t="n">
        <f aca="false">IF(E19=0,"",1-F19/E19)</f>
        <v>0.769230769230769</v>
      </c>
      <c r="H19" s="7" t="n">
        <f aca="false">SUMIFS(Opps!$AC$5:$AC$954,Opps!$K$5:$K$954,A19,Opps!$O$5:$O$954,1)</f>
        <v>3</v>
      </c>
    </row>
    <row r="20" customFormat="false" ht="15" hidden="false" customHeight="false" outlineLevel="0" collapsed="false">
      <c r="A20" s="6" t="str">
        <f aca="false">Owners!A20</f>
        <v>U016</v>
      </c>
      <c r="B20" s="6" t="str">
        <f aca="false">Owners!B20</f>
        <v>Purity Achieng</v>
      </c>
      <c r="C20" s="6" t="str">
        <f aca="false">Owners!C20</f>
        <v>Senior Manager</v>
      </c>
      <c r="D20" s="6" t="str">
        <f aca="false">Owners!E20</f>
        <v>Yes</v>
      </c>
      <c r="E20" s="7" t="n">
        <f aca="false">COUNTIFS(Opps!$K$5:$K$954,A20,Opps!$O$5:$O$954,1)</f>
        <v>10</v>
      </c>
      <c r="F20" s="7" t="n">
        <f aca="false">COUNTIFS(Opps!$K$5:$K$954,A20,Opps!$O$5:$O$954,1,Opps!$AD$5:$AD$954,0)</f>
        <v>5</v>
      </c>
      <c r="G20" s="11" t="n">
        <f aca="false">IF(E20=0,"",1-F20/E20)</f>
        <v>0.5</v>
      </c>
      <c r="H20" s="7" t="n">
        <f aca="false">SUMIFS(Opps!$AC$5:$AC$954,Opps!$K$5:$K$954,A20,Opps!$O$5:$O$954,1)</f>
        <v>5</v>
      </c>
    </row>
    <row r="21" customFormat="false" ht="15" hidden="false" customHeight="false" outlineLevel="0" collapsed="false">
      <c r="A21" s="6" t="str">
        <f aca="false">Owners!A21</f>
        <v>U017</v>
      </c>
      <c r="B21" s="6" t="str">
        <f aca="false">Owners!B21</f>
        <v>Quincy Karanja</v>
      </c>
      <c r="C21" s="6" t="str">
        <f aca="false">Owners!C21</f>
        <v>Senior Manager</v>
      </c>
      <c r="D21" s="6" t="str">
        <f aca="false">Owners!E21</f>
        <v>Yes</v>
      </c>
      <c r="E21" s="7" t="n">
        <f aca="false">COUNTIFS(Opps!$K$5:$K$954,A21,Opps!$O$5:$O$954,1)</f>
        <v>6</v>
      </c>
      <c r="F21" s="7" t="n">
        <f aca="false">COUNTIFS(Opps!$K$5:$K$954,A21,Opps!$O$5:$O$954,1,Opps!$AD$5:$AD$954,0)</f>
        <v>4</v>
      </c>
      <c r="G21" s="11" t="n">
        <f aca="false">IF(E21=0,"",1-F21/E21)</f>
        <v>0.333333333333333</v>
      </c>
      <c r="H21" s="7" t="n">
        <f aca="false">SUMIFS(Opps!$AC$5:$AC$954,Opps!$K$5:$K$954,A21,Opps!$O$5:$O$954,1)</f>
        <v>4</v>
      </c>
    </row>
    <row r="22" customFormat="false" ht="15" hidden="false" customHeight="false" outlineLevel="0" collapsed="false">
      <c r="A22" s="6" t="str">
        <f aca="false">Owners!A22</f>
        <v>U018</v>
      </c>
      <c r="B22" s="6" t="str">
        <f aca="false">Owners!B22</f>
        <v>Rose Langat</v>
      </c>
      <c r="C22" s="6" t="str">
        <f aca="false">Owners!C22</f>
        <v>Senior Manager</v>
      </c>
      <c r="D22" s="6" t="str">
        <f aca="false">Owners!E22</f>
        <v>Yes</v>
      </c>
      <c r="E22" s="7" t="n">
        <f aca="false">COUNTIFS(Opps!$K$5:$K$954,A22,Opps!$O$5:$O$954,1)</f>
        <v>8</v>
      </c>
      <c r="F22" s="7" t="n">
        <f aca="false">COUNTIFS(Opps!$K$5:$K$954,A22,Opps!$O$5:$O$954,1,Opps!$AD$5:$AD$954,0)</f>
        <v>7</v>
      </c>
      <c r="G22" s="11" t="n">
        <f aca="false">IF(E22=0,"",1-F22/E22)</f>
        <v>0.125</v>
      </c>
      <c r="H22" s="7" t="n">
        <f aca="false">SUMIFS(Opps!$AC$5:$AC$954,Opps!$K$5:$K$954,A22,Opps!$O$5:$O$954,1)</f>
        <v>8</v>
      </c>
    </row>
    <row r="23" customFormat="false" ht="15" hidden="false" customHeight="false" outlineLevel="0" collapsed="false">
      <c r="A23" s="6" t="str">
        <f aca="false">Owners!A23</f>
        <v>U019</v>
      </c>
      <c r="B23" s="6" t="str">
        <f aca="false">Owners!B23</f>
        <v>Samuel Abdi</v>
      </c>
      <c r="C23" s="6" t="str">
        <f aca="false">Owners!C23</f>
        <v>Senior Manager</v>
      </c>
      <c r="D23" s="6" t="str">
        <f aca="false">Owners!E23</f>
        <v>Yes</v>
      </c>
      <c r="E23" s="7" t="n">
        <f aca="false">COUNTIFS(Opps!$K$5:$K$954,A23,Opps!$O$5:$O$954,1)</f>
        <v>13</v>
      </c>
      <c r="F23" s="7" t="n">
        <f aca="false">COUNTIFS(Opps!$K$5:$K$954,A23,Opps!$O$5:$O$954,1,Opps!$AD$5:$AD$954,0)</f>
        <v>6</v>
      </c>
      <c r="G23" s="11" t="n">
        <f aca="false">IF(E23=0,"",1-F23/E23)</f>
        <v>0.538461538461538</v>
      </c>
      <c r="H23" s="7" t="n">
        <f aca="false">SUMIFS(Opps!$AC$5:$AC$954,Opps!$K$5:$K$954,A23,Opps!$O$5:$O$954,1)</f>
        <v>6</v>
      </c>
    </row>
    <row r="24" customFormat="false" ht="15" hidden="false" customHeight="false" outlineLevel="0" collapsed="false">
      <c r="A24" s="6" t="str">
        <f aca="false">Owners!A24</f>
        <v>U020</v>
      </c>
      <c r="B24" s="6" t="str">
        <f aca="false">Owners!B24</f>
        <v>Tabitha Maina</v>
      </c>
      <c r="C24" s="6" t="str">
        <f aca="false">Owners!C24</f>
        <v>Senior Manager</v>
      </c>
      <c r="D24" s="6" t="str">
        <f aca="false">Owners!E24</f>
        <v>Yes</v>
      </c>
      <c r="E24" s="7" t="n">
        <f aca="false">COUNTIFS(Opps!$K$5:$K$954,A24,Opps!$O$5:$O$954,1)</f>
        <v>8</v>
      </c>
      <c r="F24" s="7" t="n">
        <f aca="false">COUNTIFS(Opps!$K$5:$K$954,A24,Opps!$O$5:$O$954,1,Opps!$AD$5:$AD$954,0)</f>
        <v>3</v>
      </c>
      <c r="G24" s="11" t="n">
        <f aca="false">IF(E24=0,"",1-F24/E24)</f>
        <v>0.625</v>
      </c>
      <c r="H24" s="7" t="n">
        <f aca="false">SUMIFS(Opps!$AC$5:$AC$954,Opps!$K$5:$K$954,A24,Opps!$O$5:$O$954,1)</f>
        <v>3</v>
      </c>
    </row>
    <row r="25" customFormat="false" ht="15" hidden="false" customHeight="false" outlineLevel="0" collapsed="false">
      <c r="A25" s="6" t="str">
        <f aca="false">Owners!A25</f>
        <v>U021</v>
      </c>
      <c r="B25" s="6" t="str">
        <f aca="false">Owners!B25</f>
        <v>Victor Otieno</v>
      </c>
      <c r="C25" s="6" t="str">
        <f aca="false">Owners!C25</f>
        <v>Senior Manager</v>
      </c>
      <c r="D25" s="6" t="str">
        <f aca="false">Owners!E25</f>
        <v>Yes</v>
      </c>
      <c r="E25" s="7" t="n">
        <f aca="false">COUNTIFS(Opps!$K$5:$K$954,A25,Opps!$O$5:$O$954,1)</f>
        <v>7</v>
      </c>
      <c r="F25" s="7" t="n">
        <f aca="false">COUNTIFS(Opps!$K$5:$K$954,A25,Opps!$O$5:$O$954,1,Opps!$AD$5:$AD$954,0)</f>
        <v>3</v>
      </c>
      <c r="G25" s="11" t="n">
        <f aca="false">IF(E25=0,"",1-F25/E25)</f>
        <v>0.571428571428571</v>
      </c>
      <c r="H25" s="7" t="n">
        <f aca="false">SUMIFS(Opps!$AC$5:$AC$954,Opps!$K$5:$K$954,A25,Opps!$O$5:$O$954,1)</f>
        <v>3</v>
      </c>
    </row>
    <row r="26" customFormat="false" ht="15" hidden="false" customHeight="false" outlineLevel="0" collapsed="false">
      <c r="A26" s="6" t="str">
        <f aca="false">Owners!A26</f>
        <v>U022</v>
      </c>
      <c r="B26" s="6" t="str">
        <f aca="false">Owners!B26</f>
        <v>Winnie Chebet</v>
      </c>
      <c r="C26" s="6" t="str">
        <f aca="false">Owners!C26</f>
        <v>Senior Manager</v>
      </c>
      <c r="D26" s="6" t="str">
        <f aca="false">Owners!E26</f>
        <v>Yes</v>
      </c>
      <c r="E26" s="7" t="n">
        <f aca="false">COUNTIFS(Opps!$K$5:$K$954,A26,Opps!$O$5:$O$954,1)</f>
        <v>14</v>
      </c>
      <c r="F26" s="7" t="n">
        <f aca="false">COUNTIFS(Opps!$K$5:$K$954,A26,Opps!$O$5:$O$954,1,Opps!$AD$5:$AD$954,0)</f>
        <v>7</v>
      </c>
      <c r="G26" s="11" t="n">
        <f aca="false">IF(E26=0,"",1-F26/E26)</f>
        <v>0.5</v>
      </c>
      <c r="H26" s="7" t="n">
        <f aca="false">SUMIFS(Opps!$AC$5:$AC$954,Opps!$K$5:$K$954,A26,Opps!$O$5:$O$954,1)</f>
        <v>7</v>
      </c>
    </row>
    <row r="27" customFormat="false" ht="15" hidden="false" customHeight="false" outlineLevel="0" collapsed="false">
      <c r="A27" s="6" t="str">
        <f aca="false">Owners!A27</f>
        <v>U023</v>
      </c>
      <c r="B27" s="6" t="str">
        <f aca="false">Owners!B27</f>
        <v>Yusuf Odhiambo</v>
      </c>
      <c r="C27" s="6" t="str">
        <f aca="false">Owners!C27</f>
        <v>Senior Manager</v>
      </c>
      <c r="D27" s="6" t="str">
        <f aca="false">Owners!E27</f>
        <v>Yes</v>
      </c>
      <c r="E27" s="7" t="n">
        <f aca="false">COUNTIFS(Opps!$K$5:$K$954,A27,Opps!$O$5:$O$954,1)</f>
        <v>5</v>
      </c>
      <c r="F27" s="7" t="n">
        <f aca="false">COUNTIFS(Opps!$K$5:$K$954,A27,Opps!$O$5:$O$954,1,Opps!$AD$5:$AD$954,0)</f>
        <v>3</v>
      </c>
      <c r="G27" s="11" t="n">
        <f aca="false">IF(E27=0,"",1-F27/E27)</f>
        <v>0.4</v>
      </c>
      <c r="H27" s="7" t="n">
        <f aca="false">SUMIFS(Opps!$AC$5:$AC$954,Opps!$K$5:$K$954,A27,Opps!$O$5:$O$954,1)</f>
        <v>3</v>
      </c>
    </row>
    <row r="28" customFormat="false" ht="15" hidden="false" customHeight="false" outlineLevel="0" collapsed="false">
      <c r="A28" s="6" t="str">
        <f aca="false">Owners!A28</f>
        <v>U024</v>
      </c>
      <c r="B28" s="6" t="str">
        <f aca="false">Owners!B28</f>
        <v>Zainab Wanjiru</v>
      </c>
      <c r="C28" s="6" t="str">
        <f aca="false">Owners!C28</f>
        <v>Senior Manager</v>
      </c>
      <c r="D28" s="6" t="str">
        <f aca="false">Owners!E28</f>
        <v>No</v>
      </c>
      <c r="E28" s="7" t="n">
        <f aca="false">COUNTIFS(Opps!$K$5:$K$954,A28,Opps!$O$5:$O$954,1)</f>
        <v>16</v>
      </c>
      <c r="F28" s="7" t="n">
        <f aca="false">COUNTIFS(Opps!$K$5:$K$954,A28,Opps!$O$5:$O$954,1,Opps!$AD$5:$AD$954,0)</f>
        <v>16</v>
      </c>
      <c r="G28" s="11" t="n">
        <f aca="false">IF(E28=0,"",1-F28/E28)</f>
        <v>0</v>
      </c>
      <c r="H28" s="7" t="n">
        <f aca="false">SUMIFS(Opps!$AC$5:$AC$954,Opps!$K$5:$K$954,A28,Opps!$O$5:$O$954,1)</f>
        <v>28</v>
      </c>
    </row>
    <row r="29" customFormat="false" ht="15" hidden="false" customHeight="false" outlineLevel="0" collapsed="false">
      <c r="A29" s="6" t="str">
        <f aca="false">Owners!A29</f>
        <v>U025</v>
      </c>
      <c r="B29" s="6" t="str">
        <f aca="false">Owners!B29</f>
        <v>Peter Kiprop</v>
      </c>
      <c r="C29" s="6" t="str">
        <f aca="false">Owners!C29</f>
        <v>Senior Manager</v>
      </c>
      <c r="D29" s="6" t="str">
        <f aca="false">Owners!E29</f>
        <v>Yes</v>
      </c>
      <c r="E29" s="7" t="n">
        <f aca="false">COUNTIFS(Opps!$K$5:$K$954,A29,Opps!$O$5:$O$954,1)</f>
        <v>10</v>
      </c>
      <c r="F29" s="7" t="n">
        <f aca="false">COUNTIFS(Opps!$K$5:$K$954,A29,Opps!$O$5:$O$954,1,Opps!$AD$5:$AD$954,0)</f>
        <v>8</v>
      </c>
      <c r="G29" s="11" t="n">
        <f aca="false">IF(E29=0,"",1-F29/E29)</f>
        <v>0.2</v>
      </c>
      <c r="H29" s="7" t="n">
        <f aca="false">SUMIFS(Opps!$AC$5:$AC$954,Opps!$K$5:$K$954,A29,Opps!$O$5:$O$954,1)</f>
        <v>12</v>
      </c>
    </row>
    <row r="30" customFormat="false" ht="15" hidden="false" customHeight="false" outlineLevel="0" collapsed="false">
      <c r="A30" s="6" t="str">
        <f aca="false">Owners!A30</f>
        <v>U026</v>
      </c>
      <c r="B30" s="6" t="str">
        <f aca="false">Owners!B30</f>
        <v>Mercy Barasa</v>
      </c>
      <c r="C30" s="6" t="str">
        <f aca="false">Owners!C30</f>
        <v>Senior Manager</v>
      </c>
      <c r="D30" s="6" t="str">
        <f aca="false">Owners!E30</f>
        <v>Yes</v>
      </c>
      <c r="E30" s="7" t="n">
        <f aca="false">COUNTIFS(Opps!$K$5:$K$954,A30,Opps!$O$5:$O$954,1)</f>
        <v>14</v>
      </c>
      <c r="F30" s="7" t="n">
        <f aca="false">COUNTIFS(Opps!$K$5:$K$954,A30,Opps!$O$5:$O$954,1,Opps!$AD$5:$AD$954,0)</f>
        <v>5</v>
      </c>
      <c r="G30" s="11" t="n">
        <f aca="false">IF(E30=0,"",1-F30/E30)</f>
        <v>0.642857142857143</v>
      </c>
      <c r="H30" s="7" t="n">
        <f aca="false">SUMIFS(Opps!$AC$5:$AC$954,Opps!$K$5:$K$954,A30,Opps!$O$5:$O$954,1)</f>
        <v>8</v>
      </c>
    </row>
    <row r="31" customFormat="false" ht="15" hidden="false" customHeight="false" outlineLevel="0" collapsed="false">
      <c r="A31" s="6" t="str">
        <f aca="false">Owners!A31</f>
        <v>U027</v>
      </c>
      <c r="B31" s="6" t="str">
        <f aca="false">Owners!B31</f>
        <v>Joseph Mwangi</v>
      </c>
      <c r="C31" s="6" t="str">
        <f aca="false">Owners!C31</f>
        <v>Senior Manager</v>
      </c>
      <c r="D31" s="6" t="str">
        <f aca="false">Owners!E31</f>
        <v>Yes</v>
      </c>
      <c r="E31" s="7" t="n">
        <f aca="false">COUNTIFS(Opps!$K$5:$K$954,A31,Opps!$O$5:$O$954,1)</f>
        <v>13</v>
      </c>
      <c r="F31" s="7" t="n">
        <f aca="false">COUNTIFS(Opps!$K$5:$K$954,A31,Opps!$O$5:$O$954,1,Opps!$AD$5:$AD$954,0)</f>
        <v>5</v>
      </c>
      <c r="G31" s="11" t="n">
        <f aca="false">IF(E31=0,"",1-F31/E31)</f>
        <v>0.615384615384615</v>
      </c>
      <c r="H31" s="7" t="n">
        <f aca="false">SUMIFS(Opps!$AC$5:$AC$954,Opps!$K$5:$K$954,A31,Opps!$O$5:$O$954,1)</f>
        <v>5</v>
      </c>
    </row>
    <row r="32" customFormat="false" ht="15" hidden="false" customHeight="false" outlineLevel="0" collapsed="false">
      <c r="A32" s="6" t="str">
        <f aca="false">Owners!A32</f>
        <v>U028</v>
      </c>
      <c r="B32" s="6" t="str">
        <f aca="false">Owners!B32</f>
        <v>Faith Mutua</v>
      </c>
      <c r="C32" s="6" t="str">
        <f aca="false">Owners!C32</f>
        <v>Senior Manager</v>
      </c>
      <c r="D32" s="6" t="str">
        <f aca="false">Owners!E32</f>
        <v>Yes</v>
      </c>
      <c r="E32" s="7" t="n">
        <f aca="false">COUNTIFS(Opps!$K$5:$K$954,A32,Opps!$O$5:$O$954,1)</f>
        <v>9</v>
      </c>
      <c r="F32" s="7" t="n">
        <f aca="false">COUNTIFS(Opps!$K$5:$K$954,A32,Opps!$O$5:$O$954,1,Opps!$AD$5:$AD$954,0)</f>
        <v>2</v>
      </c>
      <c r="G32" s="11" t="n">
        <f aca="false">IF(E32=0,"",1-F32/E32)</f>
        <v>0.777777777777778</v>
      </c>
      <c r="H32" s="7" t="n">
        <f aca="false">SUMIFS(Opps!$AC$5:$AC$954,Opps!$K$5:$K$954,A32,Opps!$O$5:$O$954,1)</f>
        <v>2</v>
      </c>
    </row>
    <row r="33" customFormat="false" ht="15" hidden="false" customHeight="false" outlineLevel="0" collapsed="false">
      <c r="B33" s="3" t="s">
        <v>142</v>
      </c>
      <c r="E33" s="7" t="n">
        <f aca="false">COUNTIFS(Opps!$K$5:$K$954,"",Opps!$O$5:$O$954,1)</f>
        <v>10</v>
      </c>
      <c r="F33" s="7" t="n">
        <f aca="false">COUNTIFS(Opps!$K$5:$K$954,"",Opps!$O$5:$O$954,1,Opps!$AD$5:$AD$954,0)</f>
        <v>10</v>
      </c>
      <c r="H33" s="7" t="n">
        <f aca="false">SUMIFS(Opps!$AC$5:$AC$954,Opps!$K$5:$K$954,"",Opps!$O$5:$O$954,1)</f>
        <v>20</v>
      </c>
    </row>
    <row r="34" customFormat="false" ht="15" hidden="false" customHeight="false" outlineLevel="0" collapsed="false">
      <c r="B34" s="3" t="s">
        <v>34</v>
      </c>
      <c r="E34" s="12" t="n">
        <f aca="false">SUM(E5:E33)</f>
        <v>373</v>
      </c>
      <c r="F34" s="12" t="n">
        <f aca="false">SUM(F5:F33)</f>
        <v>205</v>
      </c>
      <c r="H34" s="12" t="n">
        <f aca="false">SUM(H5:H33)</f>
        <v>271</v>
      </c>
    </row>
  </sheetData>
  <conditionalFormatting sqref="G5:G32">
    <cfRule type="cellIs" priority="2" operator="lessThan" aboveAverage="0" equalAverage="0" bottom="0" percent="0" rank="0" text="" dxfId="0">
      <formula>0.4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false"/>
  </sheetPr>
  <dimension ref="A1:P1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56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2" min="12" style="0" width="36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11"/>
    <col collapsed="false" customWidth="true" hidden="false" outlineLevel="0" max="16" min="16" style="0" width="12"/>
  </cols>
  <sheetData>
    <row r="1" customFormat="false" ht="17.35" hidden="false" customHeight="false" outlineLevel="0" collapsed="false">
      <c r="A1" s="1" t="s">
        <v>143</v>
      </c>
    </row>
    <row r="2" customFormat="false" ht="15" hidden="false" customHeight="false" outlineLevel="0" collapsed="false">
      <c r="A2" s="2" t="s">
        <v>144</v>
      </c>
    </row>
    <row r="4" customFormat="false" ht="36" hidden="false" customHeight="true" outlineLevel="0" collapsed="false">
      <c r="A4" s="5" t="s">
        <v>145</v>
      </c>
      <c r="B4" s="5" t="s">
        <v>51</v>
      </c>
      <c r="C4" s="5" t="s">
        <v>20</v>
      </c>
      <c r="D4" s="5" t="s">
        <v>146</v>
      </c>
      <c r="E4" s="5" t="s">
        <v>147</v>
      </c>
      <c r="F4" s="5" t="s">
        <v>148</v>
      </c>
      <c r="G4" s="5" t="s">
        <v>149</v>
      </c>
      <c r="H4" s="5" t="s">
        <v>150</v>
      </c>
      <c r="I4" s="5" t="s">
        <v>151</v>
      </c>
      <c r="L4" s="5" t="s">
        <v>20</v>
      </c>
      <c r="M4" s="5" t="s">
        <v>152</v>
      </c>
      <c r="N4" s="5" t="s">
        <v>153</v>
      </c>
      <c r="O4" s="5" t="s">
        <v>154</v>
      </c>
      <c r="P4" s="5" t="s">
        <v>155</v>
      </c>
    </row>
    <row r="5" customFormat="false" ht="15" hidden="false" customHeight="false" outlineLevel="0" collapsed="false">
      <c r="A5" s="16" t="s">
        <v>156</v>
      </c>
      <c r="B5" s="16" t="s">
        <v>157</v>
      </c>
      <c r="C5" s="16" t="s">
        <v>158</v>
      </c>
      <c r="D5" s="22" t="n">
        <v>46287</v>
      </c>
      <c r="E5" s="16" t="n">
        <v>5</v>
      </c>
      <c r="F5" s="16" t="s">
        <v>159</v>
      </c>
      <c r="G5" s="16" t="s">
        <v>160</v>
      </c>
      <c r="H5" s="16" t="s">
        <v>161</v>
      </c>
      <c r="I5" s="17" t="str">
        <f aca="false">IF(E5&gt;=4,"Positive",IF(E5&lt;=2,"Negative","Neutral"))</f>
        <v>Positive</v>
      </c>
      <c r="L5" s="17" t="s">
        <v>162</v>
      </c>
      <c r="M5" s="7" t="n">
        <f aca="false">COUNTIFS($C$5:$C$184,L5)</f>
        <v>42</v>
      </c>
      <c r="N5" s="18" t="n">
        <f aca="false">AVERAGEIFS($E$5:$E$184,$C$5:$C$184,L5)</f>
        <v>3.4047619047619</v>
      </c>
      <c r="O5" s="11" t="n">
        <f aca="false">COUNTIFS($C$5:$C$184,L5,$I$5:$I$184,"Positive")/M5</f>
        <v>0.476190476190476</v>
      </c>
      <c r="P5" s="11" t="n">
        <f aca="false">COUNTIFS($C$5:$C$184,L5,$I$5:$I$184,"Negative")/M5</f>
        <v>0.214285714285714</v>
      </c>
    </row>
    <row r="6" customFormat="false" ht="15" hidden="false" customHeight="false" outlineLevel="0" collapsed="false">
      <c r="A6" s="16" t="s">
        <v>163</v>
      </c>
      <c r="B6" s="16" t="s">
        <v>164</v>
      </c>
      <c r="C6" s="16" t="s">
        <v>165</v>
      </c>
      <c r="D6" s="22" t="n">
        <v>46281</v>
      </c>
      <c r="E6" s="16" t="n">
        <v>5</v>
      </c>
      <c r="F6" s="16" t="s">
        <v>159</v>
      </c>
      <c r="G6" s="16" t="s">
        <v>166</v>
      </c>
      <c r="H6" s="16" t="s">
        <v>161</v>
      </c>
      <c r="I6" s="17" t="str">
        <f aca="false">IF(E6&gt;=4,"Positive",IF(E6&lt;=2,"Negative","Neutral"))</f>
        <v>Positive</v>
      </c>
      <c r="L6" s="17" t="s">
        <v>167</v>
      </c>
      <c r="M6" s="7" t="n">
        <f aca="false">COUNTIFS($C$5:$C$184,L6)</f>
        <v>42</v>
      </c>
      <c r="N6" s="18" t="n">
        <f aca="false">AVERAGEIFS($E$5:$E$184,$C$5:$C$184,L6)</f>
        <v>3.66666666666667</v>
      </c>
      <c r="O6" s="11" t="n">
        <f aca="false">COUNTIFS($C$5:$C$184,L6,$I$5:$I$184,"Positive")/M6</f>
        <v>0.642857142857143</v>
      </c>
      <c r="P6" s="11" t="n">
        <f aca="false">COUNTIFS($C$5:$C$184,L6,$I$5:$I$184,"Negative")/M6</f>
        <v>0.166666666666667</v>
      </c>
    </row>
    <row r="7" customFormat="false" ht="15" hidden="false" customHeight="false" outlineLevel="0" collapsed="false">
      <c r="A7" s="16" t="s">
        <v>168</v>
      </c>
      <c r="B7" s="16" t="s">
        <v>84</v>
      </c>
      <c r="C7" s="16" t="s">
        <v>162</v>
      </c>
      <c r="D7" s="22" t="n">
        <v>46045</v>
      </c>
      <c r="E7" s="16" t="n">
        <v>5</v>
      </c>
      <c r="F7" s="16" t="s">
        <v>169</v>
      </c>
      <c r="G7" s="16" t="s">
        <v>160</v>
      </c>
      <c r="H7" s="16" t="s">
        <v>170</v>
      </c>
      <c r="I7" s="17" t="str">
        <f aca="false">IF(E7&gt;=4,"Positive",IF(E7&lt;=2,"Negative","Neutral"))</f>
        <v>Positive</v>
      </c>
      <c r="L7" s="17" t="s">
        <v>158</v>
      </c>
      <c r="M7" s="7" t="n">
        <f aca="false">COUNTIFS($C$5:$C$184,L7)</f>
        <v>27</v>
      </c>
      <c r="N7" s="18" t="n">
        <f aca="false">AVERAGEIFS($E$5:$E$184,$C$5:$C$184,L7)</f>
        <v>3.74074074074074</v>
      </c>
      <c r="O7" s="11" t="n">
        <f aca="false">COUNTIFS($C$5:$C$184,L7,$I$5:$I$184,"Positive")/M7</f>
        <v>0.666666666666667</v>
      </c>
      <c r="P7" s="11" t="n">
        <f aca="false">COUNTIFS($C$5:$C$184,L7,$I$5:$I$184,"Negative")/M7</f>
        <v>0.148148148148148</v>
      </c>
    </row>
    <row r="8" customFormat="false" ht="15" hidden="false" customHeight="false" outlineLevel="0" collapsed="false">
      <c r="A8" s="16" t="s">
        <v>171</v>
      </c>
      <c r="B8" s="16" t="s">
        <v>93</v>
      </c>
      <c r="C8" s="16" t="s">
        <v>165</v>
      </c>
      <c r="D8" s="22" t="n">
        <v>45995</v>
      </c>
      <c r="E8" s="16" t="n">
        <v>1</v>
      </c>
      <c r="F8" s="16" t="s">
        <v>172</v>
      </c>
      <c r="G8" s="16" t="s">
        <v>160</v>
      </c>
      <c r="H8" s="16" t="s">
        <v>173</v>
      </c>
      <c r="I8" s="17" t="str">
        <f aca="false">IF(E8&gt;=4,"Positive",IF(E8&lt;=2,"Negative","Neutral"))</f>
        <v>Negative</v>
      </c>
      <c r="L8" s="17" t="s">
        <v>165</v>
      </c>
      <c r="M8" s="7" t="n">
        <f aca="false">COUNTIFS($C$5:$C$184,L8)</f>
        <v>52</v>
      </c>
      <c r="N8" s="18" t="n">
        <f aca="false">AVERAGEIFS($E$5:$E$184,$C$5:$C$184,L8)</f>
        <v>3.80769230769231</v>
      </c>
      <c r="O8" s="11" t="n">
        <f aca="false">COUNTIFS($C$5:$C$184,L8,$I$5:$I$184,"Positive")/M8</f>
        <v>0.711538461538462</v>
      </c>
      <c r="P8" s="11" t="n">
        <f aca="false">COUNTIFS($C$5:$C$184,L8,$I$5:$I$184,"Negative")/M8</f>
        <v>0.173076923076923</v>
      </c>
    </row>
    <row r="9" customFormat="false" ht="15" hidden="false" customHeight="false" outlineLevel="0" collapsed="false">
      <c r="A9" s="16" t="s">
        <v>174</v>
      </c>
      <c r="B9" s="16" t="s">
        <v>175</v>
      </c>
      <c r="C9" s="16" t="s">
        <v>158</v>
      </c>
      <c r="D9" s="22" t="n">
        <v>46306</v>
      </c>
      <c r="E9" s="16" t="n">
        <v>3</v>
      </c>
      <c r="F9" s="16" t="s">
        <v>176</v>
      </c>
      <c r="G9" s="16" t="s">
        <v>166</v>
      </c>
      <c r="H9" s="16" t="s">
        <v>173</v>
      </c>
      <c r="I9" s="17" t="str">
        <f aca="false">IF(E9&gt;=4,"Positive",IF(E9&lt;=2,"Negative","Neutral"))</f>
        <v>Neutral</v>
      </c>
      <c r="L9" s="17" t="s">
        <v>177</v>
      </c>
      <c r="M9" s="7" t="n">
        <f aca="false">COUNTIFS($C$5:$C$184,L9)</f>
        <v>17</v>
      </c>
      <c r="N9" s="18" t="n">
        <f aca="false">AVERAGEIFS($E$5:$E$184,$C$5:$C$184,L9)</f>
        <v>3.47058823529412</v>
      </c>
      <c r="O9" s="11" t="n">
        <f aca="false">COUNTIFS($C$5:$C$184,L9,$I$5:$I$184,"Positive")/M9</f>
        <v>0.588235294117647</v>
      </c>
      <c r="P9" s="11" t="n">
        <f aca="false">COUNTIFS($C$5:$C$184,L9,$I$5:$I$184,"Negative")/M9</f>
        <v>0.294117647058824</v>
      </c>
    </row>
    <row r="10" customFormat="false" ht="15" hidden="false" customHeight="false" outlineLevel="0" collapsed="false">
      <c r="A10" s="16" t="s">
        <v>178</v>
      </c>
      <c r="B10" s="16" t="s">
        <v>91</v>
      </c>
      <c r="C10" s="16" t="s">
        <v>167</v>
      </c>
      <c r="D10" s="22" t="n">
        <v>46164</v>
      </c>
      <c r="E10" s="16" t="n">
        <v>3</v>
      </c>
      <c r="F10" s="16" t="s">
        <v>179</v>
      </c>
      <c r="G10" s="16" t="s">
        <v>160</v>
      </c>
      <c r="H10" s="16" t="s">
        <v>180</v>
      </c>
      <c r="I10" s="17" t="str">
        <f aca="false">IF(E10&gt;=4,"Positive",IF(E10&lt;=2,"Negative","Neutral"))</f>
        <v>Neutral</v>
      </c>
    </row>
    <row r="11" customFormat="false" ht="15" hidden="false" customHeight="false" outlineLevel="0" collapsed="false">
      <c r="A11" s="16" t="s">
        <v>181</v>
      </c>
      <c r="B11" s="16" t="s">
        <v>182</v>
      </c>
      <c r="C11" s="16" t="s">
        <v>167</v>
      </c>
      <c r="D11" s="22" t="n">
        <v>46197</v>
      </c>
      <c r="E11" s="16" t="n">
        <v>5</v>
      </c>
      <c r="F11" s="16" t="s">
        <v>169</v>
      </c>
      <c r="G11" s="16" t="s">
        <v>160</v>
      </c>
      <c r="H11" s="16" t="s">
        <v>170</v>
      </c>
      <c r="I11" s="17" t="str">
        <f aca="false">IF(E11&gt;=4,"Positive",IF(E11&lt;=2,"Negative","Neutral"))</f>
        <v>Positive</v>
      </c>
      <c r="L11" s="3" t="s">
        <v>183</v>
      </c>
      <c r="M11" s="12" t="n">
        <f aca="false">COUNTA($A$5:$A$184)</f>
        <v>180</v>
      </c>
      <c r="N11" s="23" t="n">
        <f aca="false">AVERAGE($E$5:$E$184)</f>
        <v>3.63888888888889</v>
      </c>
      <c r="O11" s="15" t="n">
        <f aca="false">COUNTIF($I$5:$I$184,"Positive")/M11</f>
        <v>0.622222222222222</v>
      </c>
      <c r="P11" s="15" t="n">
        <f aca="false">COUNTIF($I$5:$I$184,"Negative")/M11</f>
        <v>0.188888888888889</v>
      </c>
    </row>
    <row r="12" customFormat="false" ht="15" hidden="false" customHeight="false" outlineLevel="0" collapsed="false">
      <c r="A12" s="16" t="s">
        <v>184</v>
      </c>
      <c r="B12" s="16" t="s">
        <v>185</v>
      </c>
      <c r="C12" s="16" t="s">
        <v>165</v>
      </c>
      <c r="D12" s="22" t="n">
        <v>46269</v>
      </c>
      <c r="E12" s="16" t="n">
        <v>5</v>
      </c>
      <c r="F12" s="16" t="s">
        <v>186</v>
      </c>
      <c r="G12" s="16" t="s">
        <v>187</v>
      </c>
      <c r="H12" s="16" t="s">
        <v>170</v>
      </c>
      <c r="I12" s="17" t="str">
        <f aca="false">IF(E12&gt;=4,"Positive",IF(E12&lt;=2,"Negative","Neutral"))</f>
        <v>Positive</v>
      </c>
      <c r="L12" s="3" t="s">
        <v>188</v>
      </c>
      <c r="P12" s="24" t="n">
        <f aca="false">(O11-P11)*100</f>
        <v>43.3333333333333</v>
      </c>
    </row>
    <row r="13" customFormat="false" ht="15" hidden="false" customHeight="false" outlineLevel="0" collapsed="false">
      <c r="A13" s="16" t="s">
        <v>189</v>
      </c>
      <c r="B13" s="16" t="s">
        <v>190</v>
      </c>
      <c r="C13" s="16" t="s">
        <v>162</v>
      </c>
      <c r="D13" s="22" t="n">
        <v>46091</v>
      </c>
      <c r="E13" s="16" t="n">
        <v>4</v>
      </c>
      <c r="F13" s="16" t="s">
        <v>176</v>
      </c>
      <c r="G13" s="16" t="s">
        <v>187</v>
      </c>
      <c r="H13" s="16" t="s">
        <v>173</v>
      </c>
      <c r="I13" s="17" t="str">
        <f aca="false">IF(E13&gt;=4,"Positive",IF(E13&lt;=2,"Negative","Neutral"))</f>
        <v>Positive</v>
      </c>
      <c r="L13" s="17" t="s">
        <v>191</v>
      </c>
      <c r="P13" s="7" t="n">
        <f aca="false">COUNTIF($G$5:$G$184,"Open")</f>
        <v>50</v>
      </c>
    </row>
    <row r="14" customFormat="false" ht="15" hidden="false" customHeight="false" outlineLevel="0" collapsed="false">
      <c r="A14" s="16" t="s">
        <v>192</v>
      </c>
      <c r="B14" s="16" t="s">
        <v>193</v>
      </c>
      <c r="C14" s="16" t="s">
        <v>162</v>
      </c>
      <c r="D14" s="22" t="n">
        <v>46017</v>
      </c>
      <c r="E14" s="16" t="n">
        <v>2</v>
      </c>
      <c r="F14" s="16" t="s">
        <v>194</v>
      </c>
      <c r="G14" s="16" t="s">
        <v>160</v>
      </c>
      <c r="H14" s="16" t="s">
        <v>195</v>
      </c>
      <c r="I14" s="17" t="str">
        <f aca="false">IF(E14&gt;=4,"Positive",IF(E14&lt;=2,"Negative","Neutral"))</f>
        <v>Negative</v>
      </c>
    </row>
    <row r="15" customFormat="false" ht="15" hidden="false" customHeight="false" outlineLevel="0" collapsed="false">
      <c r="A15" s="16" t="s">
        <v>196</v>
      </c>
      <c r="B15" s="16" t="s">
        <v>70</v>
      </c>
      <c r="C15" s="16" t="s">
        <v>162</v>
      </c>
      <c r="D15" s="22" t="n">
        <v>46016</v>
      </c>
      <c r="E15" s="16" t="n">
        <v>4</v>
      </c>
      <c r="F15" s="16" t="s">
        <v>197</v>
      </c>
      <c r="G15" s="16" t="s">
        <v>187</v>
      </c>
      <c r="H15" s="16" t="s">
        <v>180</v>
      </c>
      <c r="I15" s="17" t="str">
        <f aca="false">IF(E15&gt;=4,"Positive",IF(E15&lt;=2,"Negative","Neutral"))</f>
        <v>Positive</v>
      </c>
    </row>
    <row r="16" customFormat="false" ht="30" hidden="false" customHeight="true" outlineLevel="0" collapsed="false">
      <c r="A16" s="16" t="s">
        <v>198</v>
      </c>
      <c r="B16" s="16" t="s">
        <v>199</v>
      </c>
      <c r="C16" s="16" t="s">
        <v>167</v>
      </c>
      <c r="D16" s="22" t="n">
        <v>46132</v>
      </c>
      <c r="E16" s="16" t="n">
        <v>2</v>
      </c>
      <c r="F16" s="16" t="s">
        <v>200</v>
      </c>
      <c r="G16" s="16" t="s">
        <v>166</v>
      </c>
      <c r="H16" s="16" t="s">
        <v>170</v>
      </c>
      <c r="I16" s="17" t="str">
        <f aca="false">IF(E16&gt;=4,"Positive",IF(E16&lt;=2,"Negative","Neutral"))</f>
        <v>Negative</v>
      </c>
      <c r="L16" s="5" t="s">
        <v>201</v>
      </c>
      <c r="M16" s="5" t="s">
        <v>202</v>
      </c>
      <c r="N16" s="5" t="s">
        <v>203</v>
      </c>
      <c r="O16" s="5" t="s">
        <v>204</v>
      </c>
      <c r="P16" s="5" t="s">
        <v>34</v>
      </c>
    </row>
    <row r="17" customFormat="false" ht="15" hidden="false" customHeight="false" outlineLevel="0" collapsed="false">
      <c r="A17" s="16" t="s">
        <v>205</v>
      </c>
      <c r="B17" s="16" t="s">
        <v>206</v>
      </c>
      <c r="C17" s="16" t="s">
        <v>177</v>
      </c>
      <c r="D17" s="22" t="n">
        <v>46183</v>
      </c>
      <c r="E17" s="16" t="n">
        <v>4</v>
      </c>
      <c r="F17" s="16" t="s">
        <v>176</v>
      </c>
      <c r="G17" s="16" t="s">
        <v>187</v>
      </c>
      <c r="H17" s="16" t="s">
        <v>173</v>
      </c>
      <c r="I17" s="17" t="str">
        <f aca="false">IF(E17&gt;=4,"Positive",IF(E17&lt;=2,"Negative","Neutral"))</f>
        <v>Positive</v>
      </c>
      <c r="L17" s="17" t="s">
        <v>161</v>
      </c>
      <c r="M17" s="7" t="n">
        <f aca="false">COUNTIFS($H$5:$H$184,L17,$I$5:$I$184,"Positive")</f>
        <v>18</v>
      </c>
      <c r="N17" s="7" t="n">
        <f aca="false">COUNTIFS($H$5:$H$184,L17,$I$5:$I$184,"Neutral")</f>
        <v>3</v>
      </c>
      <c r="O17" s="7" t="n">
        <f aca="false">COUNTIFS($H$5:$H$184,L17,$I$5:$I$184,"Negative")</f>
        <v>4</v>
      </c>
      <c r="P17" s="7" t="n">
        <f aca="false">SUM(M17:O17)</f>
        <v>25</v>
      </c>
    </row>
    <row r="18" customFormat="false" ht="15" hidden="false" customHeight="false" outlineLevel="0" collapsed="false">
      <c r="A18" s="16" t="s">
        <v>207</v>
      </c>
      <c r="B18" s="16" t="s">
        <v>208</v>
      </c>
      <c r="C18" s="16" t="s">
        <v>167</v>
      </c>
      <c r="D18" s="22" t="n">
        <v>46251</v>
      </c>
      <c r="E18" s="16" t="n">
        <v>2</v>
      </c>
      <c r="F18" s="16" t="s">
        <v>194</v>
      </c>
      <c r="G18" s="16" t="s">
        <v>166</v>
      </c>
      <c r="H18" s="16" t="s">
        <v>195</v>
      </c>
      <c r="I18" s="17" t="str">
        <f aca="false">IF(E18&gt;=4,"Positive",IF(E18&lt;=2,"Negative","Neutral"))</f>
        <v>Negative</v>
      </c>
      <c r="L18" s="17" t="s">
        <v>180</v>
      </c>
      <c r="M18" s="7" t="n">
        <f aca="false">COUNTIFS($H$5:$H$184,L18,$I$5:$I$184,"Positive")</f>
        <v>22</v>
      </c>
      <c r="N18" s="7" t="n">
        <f aca="false">COUNTIFS($H$5:$H$184,L18,$I$5:$I$184,"Neutral")</f>
        <v>10</v>
      </c>
      <c r="O18" s="7" t="n">
        <f aca="false">COUNTIFS($H$5:$H$184,L18,$I$5:$I$184,"Negative")</f>
        <v>5</v>
      </c>
      <c r="P18" s="7" t="n">
        <f aca="false">SUM(M18:O18)</f>
        <v>37</v>
      </c>
    </row>
    <row r="19" customFormat="false" ht="15" hidden="false" customHeight="false" outlineLevel="0" collapsed="false">
      <c r="A19" s="16" t="s">
        <v>209</v>
      </c>
      <c r="B19" s="16" t="s">
        <v>210</v>
      </c>
      <c r="C19" s="16" t="s">
        <v>167</v>
      </c>
      <c r="D19" s="22" t="n">
        <v>45987</v>
      </c>
      <c r="E19" s="16" t="n">
        <v>4</v>
      </c>
      <c r="F19" s="16" t="s">
        <v>186</v>
      </c>
      <c r="G19" s="16" t="s">
        <v>187</v>
      </c>
      <c r="H19" s="16" t="s">
        <v>170</v>
      </c>
      <c r="I19" s="17" t="str">
        <f aca="false">IF(E19&gt;=4,"Positive",IF(E19&lt;=2,"Negative","Neutral"))</f>
        <v>Positive</v>
      </c>
      <c r="L19" s="17" t="s">
        <v>195</v>
      </c>
      <c r="M19" s="7" t="n">
        <f aca="false">COUNTIFS($H$5:$H$184,L19,$I$5:$I$184,"Positive")</f>
        <v>24</v>
      </c>
      <c r="N19" s="7" t="n">
        <f aca="false">COUNTIFS($H$5:$H$184,L19,$I$5:$I$184,"Neutral")</f>
        <v>4</v>
      </c>
      <c r="O19" s="7" t="n">
        <f aca="false">COUNTIFS($H$5:$H$184,L19,$I$5:$I$184,"Negative")</f>
        <v>6</v>
      </c>
      <c r="P19" s="7" t="n">
        <f aca="false">SUM(M19:O19)</f>
        <v>34</v>
      </c>
    </row>
    <row r="20" customFormat="false" ht="15" hidden="false" customHeight="false" outlineLevel="0" collapsed="false">
      <c r="A20" s="16" t="s">
        <v>211</v>
      </c>
      <c r="B20" s="16" t="s">
        <v>206</v>
      </c>
      <c r="C20" s="16" t="s">
        <v>162</v>
      </c>
      <c r="D20" s="22" t="n">
        <v>46056</v>
      </c>
      <c r="E20" s="16" t="n">
        <v>4</v>
      </c>
      <c r="F20" s="16" t="s">
        <v>212</v>
      </c>
      <c r="G20" s="16" t="s">
        <v>166</v>
      </c>
      <c r="H20" s="16" t="s">
        <v>195</v>
      </c>
      <c r="I20" s="17" t="str">
        <f aca="false">IF(E20&gt;=4,"Positive",IF(E20&lt;=2,"Negative","Neutral"))</f>
        <v>Positive</v>
      </c>
      <c r="L20" s="17" t="s">
        <v>173</v>
      </c>
      <c r="M20" s="7" t="n">
        <f aca="false">COUNTIFS($H$5:$H$184,L20,$I$5:$I$184,"Positive")</f>
        <v>23</v>
      </c>
      <c r="N20" s="7" t="n">
        <f aca="false">COUNTIFS($H$5:$H$184,L20,$I$5:$I$184,"Neutral")</f>
        <v>11</v>
      </c>
      <c r="O20" s="7" t="n">
        <f aca="false">COUNTIFS($H$5:$H$184,L20,$I$5:$I$184,"Negative")</f>
        <v>12</v>
      </c>
      <c r="P20" s="7" t="n">
        <f aca="false">SUM(M20:O20)</f>
        <v>46</v>
      </c>
    </row>
    <row r="21" customFormat="false" ht="15" hidden="false" customHeight="false" outlineLevel="0" collapsed="false">
      <c r="A21" s="16" t="s">
        <v>213</v>
      </c>
      <c r="B21" s="16" t="s">
        <v>214</v>
      </c>
      <c r="C21" s="16" t="s">
        <v>158</v>
      </c>
      <c r="D21" s="22" t="n">
        <v>46164</v>
      </c>
      <c r="E21" s="16" t="n">
        <v>5</v>
      </c>
      <c r="F21" s="16" t="s">
        <v>169</v>
      </c>
      <c r="G21" s="16" t="s">
        <v>166</v>
      </c>
      <c r="H21" s="16" t="s">
        <v>170</v>
      </c>
      <c r="I21" s="17" t="str">
        <f aca="false">IF(E21&gt;=4,"Positive",IF(E21&lt;=2,"Negative","Neutral"))</f>
        <v>Positive</v>
      </c>
      <c r="L21" s="17" t="s">
        <v>170</v>
      </c>
      <c r="M21" s="7" t="n">
        <f aca="false">COUNTIFS($H$5:$H$184,L21,$I$5:$I$184,"Positive")</f>
        <v>25</v>
      </c>
      <c r="N21" s="7" t="n">
        <f aca="false">COUNTIFS($H$5:$H$184,L21,$I$5:$I$184,"Neutral")</f>
        <v>6</v>
      </c>
      <c r="O21" s="7" t="n">
        <f aca="false">COUNTIFS($H$5:$H$184,L21,$I$5:$I$184,"Negative")</f>
        <v>7</v>
      </c>
      <c r="P21" s="7" t="n">
        <f aca="false">SUM(M21:O21)</f>
        <v>38</v>
      </c>
    </row>
    <row r="22" customFormat="false" ht="15" hidden="false" customHeight="false" outlineLevel="0" collapsed="false">
      <c r="A22" s="16" t="s">
        <v>215</v>
      </c>
      <c r="B22" s="16" t="s">
        <v>216</v>
      </c>
      <c r="C22" s="16" t="s">
        <v>162</v>
      </c>
      <c r="D22" s="22" t="n">
        <v>46023</v>
      </c>
      <c r="E22" s="16" t="n">
        <v>2</v>
      </c>
      <c r="F22" s="16" t="s">
        <v>194</v>
      </c>
      <c r="G22" s="16" t="s">
        <v>187</v>
      </c>
      <c r="H22" s="16" t="s">
        <v>195</v>
      </c>
      <c r="I22" s="17" t="str">
        <f aca="false">IF(E22&gt;=4,"Positive",IF(E22&lt;=2,"Negative","Neutral"))</f>
        <v>Negative</v>
      </c>
    </row>
    <row r="23" customFormat="false" ht="15" hidden="false" customHeight="false" outlineLevel="0" collapsed="false">
      <c r="A23" s="16" t="s">
        <v>217</v>
      </c>
      <c r="B23" s="16" t="s">
        <v>218</v>
      </c>
      <c r="C23" s="16" t="s">
        <v>167</v>
      </c>
      <c r="D23" s="22" t="n">
        <v>46042</v>
      </c>
      <c r="E23" s="16" t="n">
        <v>3</v>
      </c>
      <c r="F23" s="16" t="s">
        <v>159</v>
      </c>
      <c r="G23" s="16" t="s">
        <v>166</v>
      </c>
      <c r="H23" s="16" t="s">
        <v>161</v>
      </c>
      <c r="I23" s="17" t="str">
        <f aca="false">IF(E23&gt;=4,"Positive",IF(E23&lt;=2,"Negative","Neutral"))</f>
        <v>Neutral</v>
      </c>
    </row>
    <row r="24" customFormat="false" ht="15" hidden="false" customHeight="false" outlineLevel="0" collapsed="false">
      <c r="A24" s="16" t="s">
        <v>219</v>
      </c>
      <c r="B24" s="16" t="s">
        <v>220</v>
      </c>
      <c r="C24" s="16" t="s">
        <v>162</v>
      </c>
      <c r="D24" s="22" t="n">
        <v>46146</v>
      </c>
      <c r="E24" s="16" t="n">
        <v>5</v>
      </c>
      <c r="F24" s="16" t="s">
        <v>169</v>
      </c>
      <c r="G24" s="16" t="s">
        <v>166</v>
      </c>
      <c r="H24" s="16" t="s">
        <v>170</v>
      </c>
      <c r="I24" s="17" t="str">
        <f aca="false">IF(E24&gt;=4,"Positive",IF(E24&lt;=2,"Negative","Neutral"))</f>
        <v>Positive</v>
      </c>
    </row>
    <row r="25" customFormat="false" ht="15" hidden="false" customHeight="false" outlineLevel="0" collapsed="false">
      <c r="A25" s="16" t="s">
        <v>221</v>
      </c>
      <c r="B25" s="16" t="s">
        <v>222</v>
      </c>
      <c r="C25" s="16" t="s">
        <v>167</v>
      </c>
      <c r="D25" s="22" t="n">
        <v>46164</v>
      </c>
      <c r="E25" s="16" t="n">
        <v>4</v>
      </c>
      <c r="F25" s="16" t="s">
        <v>197</v>
      </c>
      <c r="G25" s="16" t="s">
        <v>187</v>
      </c>
      <c r="H25" s="16" t="s">
        <v>180</v>
      </c>
      <c r="I25" s="17" t="str">
        <f aca="false">IF(E25&gt;=4,"Positive",IF(E25&lt;=2,"Negative","Neutral"))</f>
        <v>Positive</v>
      </c>
    </row>
    <row r="26" customFormat="false" ht="15" hidden="false" customHeight="false" outlineLevel="0" collapsed="false">
      <c r="A26" s="16" t="s">
        <v>223</v>
      </c>
      <c r="B26" s="16" t="s">
        <v>224</v>
      </c>
      <c r="C26" s="16" t="s">
        <v>162</v>
      </c>
      <c r="D26" s="22" t="n">
        <v>46246</v>
      </c>
      <c r="E26" s="16" t="n">
        <v>4</v>
      </c>
      <c r="F26" s="16" t="s">
        <v>225</v>
      </c>
      <c r="G26" s="16" t="s">
        <v>187</v>
      </c>
      <c r="H26" s="16" t="s">
        <v>195</v>
      </c>
      <c r="I26" s="17" t="str">
        <f aca="false">IF(E26&gt;=4,"Positive",IF(E26&lt;=2,"Negative","Neutral"))</f>
        <v>Positive</v>
      </c>
    </row>
    <row r="27" customFormat="false" ht="15" hidden="false" customHeight="false" outlineLevel="0" collapsed="false">
      <c r="A27" s="16" t="s">
        <v>226</v>
      </c>
      <c r="B27" s="16" t="s">
        <v>227</v>
      </c>
      <c r="C27" s="16" t="s">
        <v>162</v>
      </c>
      <c r="D27" s="22" t="n">
        <v>46296</v>
      </c>
      <c r="E27" s="16" t="n">
        <v>4</v>
      </c>
      <c r="F27" s="16" t="s">
        <v>186</v>
      </c>
      <c r="G27" s="16" t="s">
        <v>166</v>
      </c>
      <c r="H27" s="16" t="s">
        <v>170</v>
      </c>
      <c r="I27" s="17" t="str">
        <f aca="false">IF(E27&gt;=4,"Positive",IF(E27&lt;=2,"Negative","Neutral"))</f>
        <v>Positive</v>
      </c>
    </row>
    <row r="28" customFormat="false" ht="15" hidden="false" customHeight="false" outlineLevel="0" collapsed="false">
      <c r="A28" s="16" t="s">
        <v>228</v>
      </c>
      <c r="B28" s="16" t="s">
        <v>229</v>
      </c>
      <c r="C28" s="16" t="s">
        <v>162</v>
      </c>
      <c r="D28" s="22" t="n">
        <v>46042</v>
      </c>
      <c r="E28" s="16" t="n">
        <v>4</v>
      </c>
      <c r="F28" s="16" t="s">
        <v>169</v>
      </c>
      <c r="G28" s="16" t="s">
        <v>166</v>
      </c>
      <c r="H28" s="16" t="s">
        <v>170</v>
      </c>
      <c r="I28" s="17" t="str">
        <f aca="false">IF(E28&gt;=4,"Positive",IF(E28&lt;=2,"Negative","Neutral"))</f>
        <v>Positive</v>
      </c>
    </row>
    <row r="29" customFormat="false" ht="15" hidden="false" customHeight="false" outlineLevel="0" collapsed="false">
      <c r="A29" s="16" t="s">
        <v>230</v>
      </c>
      <c r="B29" s="16" t="s">
        <v>231</v>
      </c>
      <c r="C29" s="16" t="s">
        <v>165</v>
      </c>
      <c r="D29" s="22" t="n">
        <v>46171</v>
      </c>
      <c r="E29" s="16" t="n">
        <v>3</v>
      </c>
      <c r="F29" s="16" t="s">
        <v>232</v>
      </c>
      <c r="G29" s="16" t="s">
        <v>166</v>
      </c>
      <c r="H29" s="16" t="s">
        <v>173</v>
      </c>
      <c r="I29" s="17" t="str">
        <f aca="false">IF(E29&gt;=4,"Positive",IF(E29&lt;=2,"Negative","Neutral"))</f>
        <v>Neutral</v>
      </c>
    </row>
    <row r="30" customFormat="false" ht="15" hidden="false" customHeight="false" outlineLevel="0" collapsed="false">
      <c r="A30" s="16" t="s">
        <v>233</v>
      </c>
      <c r="B30" s="16" t="s">
        <v>234</v>
      </c>
      <c r="C30" s="16" t="s">
        <v>177</v>
      </c>
      <c r="D30" s="22" t="n">
        <v>46207</v>
      </c>
      <c r="E30" s="16" t="n">
        <v>2</v>
      </c>
      <c r="F30" s="16" t="s">
        <v>179</v>
      </c>
      <c r="G30" s="16" t="s">
        <v>187</v>
      </c>
      <c r="H30" s="16" t="s">
        <v>180</v>
      </c>
      <c r="I30" s="17" t="str">
        <f aca="false">IF(E30&gt;=4,"Positive",IF(E30&lt;=2,"Negative","Neutral"))</f>
        <v>Negative</v>
      </c>
    </row>
    <row r="31" customFormat="false" ht="15" hidden="false" customHeight="false" outlineLevel="0" collapsed="false">
      <c r="A31" s="16" t="s">
        <v>235</v>
      </c>
      <c r="B31" s="16" t="s">
        <v>236</v>
      </c>
      <c r="C31" s="16" t="s">
        <v>165</v>
      </c>
      <c r="D31" s="22" t="n">
        <v>46306</v>
      </c>
      <c r="E31" s="16" t="n">
        <v>4</v>
      </c>
      <c r="F31" s="16" t="s">
        <v>197</v>
      </c>
      <c r="G31" s="16" t="s">
        <v>160</v>
      </c>
      <c r="H31" s="16" t="s">
        <v>180</v>
      </c>
      <c r="I31" s="17" t="str">
        <f aca="false">IF(E31&gt;=4,"Positive",IF(E31&lt;=2,"Negative","Neutral"))</f>
        <v>Positive</v>
      </c>
    </row>
    <row r="32" customFormat="false" ht="15" hidden="false" customHeight="false" outlineLevel="0" collapsed="false">
      <c r="A32" s="16" t="s">
        <v>237</v>
      </c>
      <c r="B32" s="16" t="s">
        <v>238</v>
      </c>
      <c r="C32" s="16" t="s">
        <v>162</v>
      </c>
      <c r="D32" s="22" t="n">
        <v>46309</v>
      </c>
      <c r="E32" s="16" t="n">
        <v>3</v>
      </c>
      <c r="F32" s="16" t="s">
        <v>172</v>
      </c>
      <c r="G32" s="16" t="s">
        <v>187</v>
      </c>
      <c r="H32" s="16" t="s">
        <v>173</v>
      </c>
      <c r="I32" s="17" t="str">
        <f aca="false">IF(E32&gt;=4,"Positive",IF(E32&lt;=2,"Negative","Neutral"))</f>
        <v>Neutral</v>
      </c>
    </row>
    <row r="33" customFormat="false" ht="15" hidden="false" customHeight="false" outlineLevel="0" collapsed="false">
      <c r="A33" s="16" t="s">
        <v>239</v>
      </c>
      <c r="B33" s="16" t="s">
        <v>240</v>
      </c>
      <c r="C33" s="16" t="s">
        <v>158</v>
      </c>
      <c r="D33" s="22" t="n">
        <v>46132</v>
      </c>
      <c r="E33" s="16" t="n">
        <v>4</v>
      </c>
      <c r="F33" s="16" t="s">
        <v>176</v>
      </c>
      <c r="G33" s="16" t="s">
        <v>187</v>
      </c>
      <c r="H33" s="16" t="s">
        <v>173</v>
      </c>
      <c r="I33" s="17" t="str">
        <f aca="false">IF(E33&gt;=4,"Positive",IF(E33&lt;=2,"Negative","Neutral"))</f>
        <v>Positive</v>
      </c>
    </row>
    <row r="34" customFormat="false" ht="15" hidden="false" customHeight="false" outlineLevel="0" collapsed="false">
      <c r="A34" s="16" t="s">
        <v>241</v>
      </c>
      <c r="B34" s="16" t="s">
        <v>242</v>
      </c>
      <c r="C34" s="16" t="s">
        <v>162</v>
      </c>
      <c r="D34" s="22" t="n">
        <v>46239</v>
      </c>
      <c r="E34" s="16" t="n">
        <v>3</v>
      </c>
      <c r="F34" s="16" t="s">
        <v>186</v>
      </c>
      <c r="G34" s="16" t="s">
        <v>187</v>
      </c>
      <c r="H34" s="16" t="s">
        <v>170</v>
      </c>
      <c r="I34" s="17" t="str">
        <f aca="false">IF(E34&gt;=4,"Positive",IF(E34&lt;=2,"Negative","Neutral"))</f>
        <v>Neutral</v>
      </c>
    </row>
    <row r="35" customFormat="false" ht="15" hidden="false" customHeight="false" outlineLevel="0" collapsed="false">
      <c r="A35" s="16" t="s">
        <v>243</v>
      </c>
      <c r="B35" s="16" t="s">
        <v>244</v>
      </c>
      <c r="C35" s="16" t="s">
        <v>158</v>
      </c>
      <c r="D35" s="22" t="n">
        <v>46173</v>
      </c>
      <c r="E35" s="16" t="n">
        <v>5</v>
      </c>
      <c r="F35" s="16" t="s">
        <v>232</v>
      </c>
      <c r="G35" s="16" t="s">
        <v>160</v>
      </c>
      <c r="H35" s="16" t="s">
        <v>173</v>
      </c>
      <c r="I35" s="17" t="str">
        <f aca="false">IF(E35&gt;=4,"Positive",IF(E35&lt;=2,"Negative","Neutral"))</f>
        <v>Positive</v>
      </c>
    </row>
    <row r="36" customFormat="false" ht="15" hidden="false" customHeight="false" outlineLevel="0" collapsed="false">
      <c r="A36" s="16" t="s">
        <v>245</v>
      </c>
      <c r="B36" s="16" t="s">
        <v>246</v>
      </c>
      <c r="C36" s="16" t="s">
        <v>167</v>
      </c>
      <c r="D36" s="22" t="n">
        <v>46169</v>
      </c>
      <c r="E36" s="16" t="n">
        <v>4</v>
      </c>
      <c r="F36" s="16" t="s">
        <v>194</v>
      </c>
      <c r="G36" s="16" t="s">
        <v>166</v>
      </c>
      <c r="H36" s="16" t="s">
        <v>195</v>
      </c>
      <c r="I36" s="17" t="str">
        <f aca="false">IF(E36&gt;=4,"Positive",IF(E36&lt;=2,"Negative","Neutral"))</f>
        <v>Positive</v>
      </c>
    </row>
    <row r="37" customFormat="false" ht="15" hidden="false" customHeight="false" outlineLevel="0" collapsed="false">
      <c r="A37" s="16" t="s">
        <v>247</v>
      </c>
      <c r="B37" s="16" t="s">
        <v>248</v>
      </c>
      <c r="C37" s="16" t="s">
        <v>162</v>
      </c>
      <c r="D37" s="22" t="n">
        <v>46021</v>
      </c>
      <c r="E37" s="16" t="n">
        <v>4</v>
      </c>
      <c r="F37" s="16" t="s">
        <v>159</v>
      </c>
      <c r="G37" s="16" t="s">
        <v>166</v>
      </c>
      <c r="H37" s="16" t="s">
        <v>161</v>
      </c>
      <c r="I37" s="17" t="str">
        <f aca="false">IF(E37&gt;=4,"Positive",IF(E37&lt;=2,"Negative","Neutral"))</f>
        <v>Positive</v>
      </c>
    </row>
    <row r="38" customFormat="false" ht="15" hidden="false" customHeight="false" outlineLevel="0" collapsed="false">
      <c r="A38" s="16" t="s">
        <v>249</v>
      </c>
      <c r="B38" s="16" t="s">
        <v>250</v>
      </c>
      <c r="C38" s="16" t="s">
        <v>167</v>
      </c>
      <c r="D38" s="22" t="n">
        <v>46069</v>
      </c>
      <c r="E38" s="16" t="n">
        <v>3</v>
      </c>
      <c r="F38" s="16" t="s">
        <v>176</v>
      </c>
      <c r="G38" s="16" t="s">
        <v>187</v>
      </c>
      <c r="H38" s="16" t="s">
        <v>173</v>
      </c>
      <c r="I38" s="17" t="str">
        <f aca="false">IF(E38&gt;=4,"Positive",IF(E38&lt;=2,"Negative","Neutral"))</f>
        <v>Neutral</v>
      </c>
    </row>
    <row r="39" customFormat="false" ht="15" hidden="false" customHeight="false" outlineLevel="0" collapsed="false">
      <c r="A39" s="16" t="s">
        <v>251</v>
      </c>
      <c r="B39" s="16" t="s">
        <v>252</v>
      </c>
      <c r="C39" s="16" t="s">
        <v>162</v>
      </c>
      <c r="D39" s="22" t="n">
        <v>46228</v>
      </c>
      <c r="E39" s="16" t="n">
        <v>3</v>
      </c>
      <c r="F39" s="16" t="s">
        <v>186</v>
      </c>
      <c r="G39" s="16" t="s">
        <v>166</v>
      </c>
      <c r="H39" s="16" t="s">
        <v>170</v>
      </c>
      <c r="I39" s="17" t="str">
        <f aca="false">IF(E39&gt;=4,"Positive",IF(E39&lt;=2,"Negative","Neutral"))</f>
        <v>Neutral</v>
      </c>
    </row>
    <row r="40" customFormat="false" ht="15" hidden="false" customHeight="false" outlineLevel="0" collapsed="false">
      <c r="A40" s="16" t="s">
        <v>253</v>
      </c>
      <c r="B40" s="16" t="s">
        <v>254</v>
      </c>
      <c r="C40" s="16" t="s">
        <v>165</v>
      </c>
      <c r="D40" s="22" t="n">
        <v>46227</v>
      </c>
      <c r="E40" s="16" t="n">
        <v>4</v>
      </c>
      <c r="F40" s="16" t="s">
        <v>159</v>
      </c>
      <c r="G40" s="16" t="s">
        <v>166</v>
      </c>
      <c r="H40" s="16" t="s">
        <v>161</v>
      </c>
      <c r="I40" s="17" t="str">
        <f aca="false">IF(E40&gt;=4,"Positive",IF(E40&lt;=2,"Negative","Neutral"))</f>
        <v>Positive</v>
      </c>
    </row>
    <row r="41" customFormat="false" ht="15" hidden="false" customHeight="false" outlineLevel="0" collapsed="false">
      <c r="A41" s="16" t="s">
        <v>255</v>
      </c>
      <c r="B41" s="16" t="s">
        <v>256</v>
      </c>
      <c r="C41" s="16" t="s">
        <v>162</v>
      </c>
      <c r="D41" s="22" t="n">
        <v>46187</v>
      </c>
      <c r="E41" s="16" t="n">
        <v>3</v>
      </c>
      <c r="F41" s="16" t="s">
        <v>186</v>
      </c>
      <c r="G41" s="16" t="s">
        <v>160</v>
      </c>
      <c r="H41" s="16" t="s">
        <v>170</v>
      </c>
      <c r="I41" s="17" t="str">
        <f aca="false">IF(E41&gt;=4,"Positive",IF(E41&lt;=2,"Negative","Neutral"))</f>
        <v>Neutral</v>
      </c>
    </row>
    <row r="42" customFormat="false" ht="15" hidden="false" customHeight="false" outlineLevel="0" collapsed="false">
      <c r="A42" s="16" t="s">
        <v>257</v>
      </c>
      <c r="B42" s="16" t="s">
        <v>258</v>
      </c>
      <c r="C42" s="16" t="s">
        <v>165</v>
      </c>
      <c r="D42" s="22" t="n">
        <v>46168</v>
      </c>
      <c r="E42" s="16" t="n">
        <v>3</v>
      </c>
      <c r="F42" s="16" t="s">
        <v>172</v>
      </c>
      <c r="G42" s="16" t="s">
        <v>166</v>
      </c>
      <c r="H42" s="16" t="s">
        <v>173</v>
      </c>
      <c r="I42" s="17" t="str">
        <f aca="false">IF(E42&gt;=4,"Positive",IF(E42&lt;=2,"Negative","Neutral"))</f>
        <v>Neutral</v>
      </c>
    </row>
    <row r="43" customFormat="false" ht="15" hidden="false" customHeight="false" outlineLevel="0" collapsed="false">
      <c r="A43" s="16" t="s">
        <v>259</v>
      </c>
      <c r="B43" s="16" t="s">
        <v>260</v>
      </c>
      <c r="C43" s="16" t="s">
        <v>165</v>
      </c>
      <c r="D43" s="22" t="n">
        <v>46076</v>
      </c>
      <c r="E43" s="16" t="n">
        <v>5</v>
      </c>
      <c r="F43" s="16" t="s">
        <v>186</v>
      </c>
      <c r="G43" s="16" t="s">
        <v>166</v>
      </c>
      <c r="H43" s="16" t="s">
        <v>170</v>
      </c>
      <c r="I43" s="17" t="str">
        <f aca="false">IF(E43&gt;=4,"Positive",IF(E43&lt;=2,"Negative","Neutral"))</f>
        <v>Positive</v>
      </c>
    </row>
    <row r="44" customFormat="false" ht="15" hidden="false" customHeight="false" outlineLevel="0" collapsed="false">
      <c r="A44" s="16" t="s">
        <v>261</v>
      </c>
      <c r="B44" s="16" t="s">
        <v>262</v>
      </c>
      <c r="C44" s="16" t="s">
        <v>162</v>
      </c>
      <c r="D44" s="22" t="n">
        <v>46096</v>
      </c>
      <c r="E44" s="16" t="n">
        <v>5</v>
      </c>
      <c r="F44" s="16" t="s">
        <v>225</v>
      </c>
      <c r="G44" s="16" t="s">
        <v>166</v>
      </c>
      <c r="H44" s="16" t="s">
        <v>195</v>
      </c>
      <c r="I44" s="17" t="str">
        <f aca="false">IF(E44&gt;=4,"Positive",IF(E44&lt;=2,"Negative","Neutral"))</f>
        <v>Positive</v>
      </c>
    </row>
    <row r="45" customFormat="false" ht="15" hidden="false" customHeight="false" outlineLevel="0" collapsed="false">
      <c r="A45" s="16" t="s">
        <v>263</v>
      </c>
      <c r="B45" s="16" t="s">
        <v>264</v>
      </c>
      <c r="C45" s="16" t="s">
        <v>167</v>
      </c>
      <c r="D45" s="22" t="n">
        <v>46014</v>
      </c>
      <c r="E45" s="16" t="n">
        <v>5</v>
      </c>
      <c r="F45" s="16" t="s">
        <v>176</v>
      </c>
      <c r="G45" s="16" t="s">
        <v>160</v>
      </c>
      <c r="H45" s="16" t="s">
        <v>173</v>
      </c>
      <c r="I45" s="17" t="str">
        <f aca="false">IF(E45&gt;=4,"Positive",IF(E45&lt;=2,"Negative","Neutral"))</f>
        <v>Positive</v>
      </c>
    </row>
    <row r="46" customFormat="false" ht="15" hidden="false" customHeight="false" outlineLevel="0" collapsed="false">
      <c r="A46" s="16" t="s">
        <v>265</v>
      </c>
      <c r="B46" s="16" t="s">
        <v>266</v>
      </c>
      <c r="C46" s="16" t="s">
        <v>167</v>
      </c>
      <c r="D46" s="22" t="n">
        <v>46015</v>
      </c>
      <c r="E46" s="16" t="n">
        <v>2</v>
      </c>
      <c r="F46" s="16" t="s">
        <v>267</v>
      </c>
      <c r="G46" s="16" t="s">
        <v>166</v>
      </c>
      <c r="H46" s="16" t="s">
        <v>161</v>
      </c>
      <c r="I46" s="17" t="str">
        <f aca="false">IF(E46&gt;=4,"Positive",IF(E46&lt;=2,"Negative","Neutral"))</f>
        <v>Negative</v>
      </c>
    </row>
    <row r="47" customFormat="false" ht="15" hidden="false" customHeight="false" outlineLevel="0" collapsed="false">
      <c r="A47" s="16" t="s">
        <v>268</v>
      </c>
      <c r="B47" s="16" t="s">
        <v>269</v>
      </c>
      <c r="C47" s="16" t="s">
        <v>167</v>
      </c>
      <c r="D47" s="22" t="n">
        <v>46177</v>
      </c>
      <c r="E47" s="16" t="n">
        <v>5</v>
      </c>
      <c r="F47" s="16" t="s">
        <v>197</v>
      </c>
      <c r="G47" s="16" t="s">
        <v>187</v>
      </c>
      <c r="H47" s="16" t="s">
        <v>180</v>
      </c>
      <c r="I47" s="17" t="str">
        <f aca="false">IF(E47&gt;=4,"Positive",IF(E47&lt;=2,"Negative","Neutral"))</f>
        <v>Positive</v>
      </c>
    </row>
    <row r="48" customFormat="false" ht="15" hidden="false" customHeight="false" outlineLevel="0" collapsed="false">
      <c r="A48" s="16" t="s">
        <v>270</v>
      </c>
      <c r="B48" s="16" t="s">
        <v>94</v>
      </c>
      <c r="C48" s="16" t="s">
        <v>165</v>
      </c>
      <c r="D48" s="22" t="n">
        <v>46028</v>
      </c>
      <c r="E48" s="16" t="n">
        <v>4</v>
      </c>
      <c r="F48" s="16" t="s">
        <v>197</v>
      </c>
      <c r="G48" s="16" t="s">
        <v>160</v>
      </c>
      <c r="H48" s="16" t="s">
        <v>180</v>
      </c>
      <c r="I48" s="17" t="str">
        <f aca="false">IF(E48&gt;=4,"Positive",IF(E48&lt;=2,"Negative","Neutral"))</f>
        <v>Positive</v>
      </c>
    </row>
    <row r="49" customFormat="false" ht="15" hidden="false" customHeight="false" outlineLevel="0" collapsed="false">
      <c r="A49" s="16" t="s">
        <v>271</v>
      </c>
      <c r="B49" s="16" t="s">
        <v>264</v>
      </c>
      <c r="C49" s="16" t="s">
        <v>167</v>
      </c>
      <c r="D49" s="22" t="n">
        <v>45986</v>
      </c>
      <c r="E49" s="16" t="n">
        <v>4</v>
      </c>
      <c r="F49" s="16" t="s">
        <v>232</v>
      </c>
      <c r="G49" s="16" t="s">
        <v>166</v>
      </c>
      <c r="H49" s="16" t="s">
        <v>173</v>
      </c>
      <c r="I49" s="17" t="str">
        <f aca="false">IF(E49&gt;=4,"Positive",IF(E49&lt;=2,"Negative","Neutral"))</f>
        <v>Positive</v>
      </c>
    </row>
    <row r="50" customFormat="false" ht="15" hidden="false" customHeight="false" outlineLevel="0" collapsed="false">
      <c r="A50" s="16" t="s">
        <v>272</v>
      </c>
      <c r="B50" s="16" t="s">
        <v>273</v>
      </c>
      <c r="C50" s="16" t="s">
        <v>162</v>
      </c>
      <c r="D50" s="22" t="n">
        <v>46227</v>
      </c>
      <c r="E50" s="16" t="n">
        <v>3</v>
      </c>
      <c r="F50" s="16" t="s">
        <v>197</v>
      </c>
      <c r="G50" s="16" t="s">
        <v>187</v>
      </c>
      <c r="H50" s="16" t="s">
        <v>180</v>
      </c>
      <c r="I50" s="17" t="str">
        <f aca="false">IF(E50&gt;=4,"Positive",IF(E50&lt;=2,"Negative","Neutral"))</f>
        <v>Neutral</v>
      </c>
    </row>
    <row r="51" customFormat="false" ht="15" hidden="false" customHeight="false" outlineLevel="0" collapsed="false">
      <c r="A51" s="16" t="s">
        <v>274</v>
      </c>
      <c r="B51" s="16" t="s">
        <v>275</v>
      </c>
      <c r="C51" s="16" t="s">
        <v>167</v>
      </c>
      <c r="D51" s="22" t="n">
        <v>46124</v>
      </c>
      <c r="E51" s="16" t="n">
        <v>2</v>
      </c>
      <c r="F51" s="16" t="s">
        <v>200</v>
      </c>
      <c r="G51" s="16" t="s">
        <v>187</v>
      </c>
      <c r="H51" s="16" t="s">
        <v>170</v>
      </c>
      <c r="I51" s="17" t="str">
        <f aca="false">IF(E51&gt;=4,"Positive",IF(E51&lt;=2,"Negative","Neutral"))</f>
        <v>Negative</v>
      </c>
    </row>
    <row r="52" customFormat="false" ht="15" hidden="false" customHeight="false" outlineLevel="0" collapsed="false">
      <c r="A52" s="16" t="s">
        <v>276</v>
      </c>
      <c r="B52" s="16" t="s">
        <v>277</v>
      </c>
      <c r="C52" s="16" t="s">
        <v>158</v>
      </c>
      <c r="D52" s="22" t="n">
        <v>46176</v>
      </c>
      <c r="E52" s="16" t="n">
        <v>5</v>
      </c>
      <c r="F52" s="16" t="s">
        <v>176</v>
      </c>
      <c r="G52" s="16" t="s">
        <v>166</v>
      </c>
      <c r="H52" s="16" t="s">
        <v>173</v>
      </c>
      <c r="I52" s="17" t="str">
        <f aca="false">IF(E52&gt;=4,"Positive",IF(E52&lt;=2,"Negative","Neutral"))</f>
        <v>Positive</v>
      </c>
    </row>
    <row r="53" customFormat="false" ht="15" hidden="false" customHeight="false" outlineLevel="0" collapsed="false">
      <c r="A53" s="16" t="s">
        <v>278</v>
      </c>
      <c r="B53" s="16" t="s">
        <v>279</v>
      </c>
      <c r="C53" s="16" t="s">
        <v>167</v>
      </c>
      <c r="D53" s="22" t="n">
        <v>46302</v>
      </c>
      <c r="E53" s="16" t="n">
        <v>4</v>
      </c>
      <c r="F53" s="16" t="s">
        <v>169</v>
      </c>
      <c r="G53" s="16" t="s">
        <v>166</v>
      </c>
      <c r="H53" s="16" t="s">
        <v>170</v>
      </c>
      <c r="I53" s="17" t="str">
        <f aca="false">IF(E53&gt;=4,"Positive",IF(E53&lt;=2,"Negative","Neutral"))</f>
        <v>Positive</v>
      </c>
    </row>
    <row r="54" customFormat="false" ht="15" hidden="false" customHeight="false" outlineLevel="0" collapsed="false">
      <c r="A54" s="16" t="s">
        <v>280</v>
      </c>
      <c r="B54" s="16" t="s">
        <v>281</v>
      </c>
      <c r="C54" s="16" t="s">
        <v>165</v>
      </c>
      <c r="D54" s="22" t="n">
        <v>46108</v>
      </c>
      <c r="E54" s="16" t="n">
        <v>5</v>
      </c>
      <c r="F54" s="16" t="s">
        <v>212</v>
      </c>
      <c r="G54" s="16" t="s">
        <v>187</v>
      </c>
      <c r="H54" s="16" t="s">
        <v>195</v>
      </c>
      <c r="I54" s="17" t="str">
        <f aca="false">IF(E54&gt;=4,"Positive",IF(E54&lt;=2,"Negative","Neutral"))</f>
        <v>Positive</v>
      </c>
    </row>
    <row r="55" customFormat="false" ht="15" hidden="false" customHeight="false" outlineLevel="0" collapsed="false">
      <c r="A55" s="16" t="s">
        <v>282</v>
      </c>
      <c r="B55" s="16" t="s">
        <v>283</v>
      </c>
      <c r="C55" s="16" t="s">
        <v>177</v>
      </c>
      <c r="D55" s="22" t="n">
        <v>46235</v>
      </c>
      <c r="E55" s="16" t="n">
        <v>4</v>
      </c>
      <c r="F55" s="16" t="s">
        <v>176</v>
      </c>
      <c r="G55" s="16" t="s">
        <v>160</v>
      </c>
      <c r="H55" s="16" t="s">
        <v>173</v>
      </c>
      <c r="I55" s="17" t="str">
        <f aca="false">IF(E55&gt;=4,"Positive",IF(E55&lt;=2,"Negative","Neutral"))</f>
        <v>Positive</v>
      </c>
    </row>
    <row r="56" customFormat="false" ht="15" hidden="false" customHeight="false" outlineLevel="0" collapsed="false">
      <c r="A56" s="16" t="s">
        <v>284</v>
      </c>
      <c r="B56" s="16" t="s">
        <v>285</v>
      </c>
      <c r="C56" s="16" t="s">
        <v>162</v>
      </c>
      <c r="D56" s="22" t="n">
        <v>46249</v>
      </c>
      <c r="E56" s="16" t="n">
        <v>5</v>
      </c>
      <c r="F56" s="16" t="s">
        <v>169</v>
      </c>
      <c r="G56" s="16" t="s">
        <v>187</v>
      </c>
      <c r="H56" s="16" t="s">
        <v>170</v>
      </c>
      <c r="I56" s="17" t="str">
        <f aca="false">IF(E56&gt;=4,"Positive",IF(E56&lt;=2,"Negative","Neutral"))</f>
        <v>Positive</v>
      </c>
    </row>
    <row r="57" customFormat="false" ht="15" hidden="false" customHeight="false" outlineLevel="0" collapsed="false">
      <c r="A57" s="16" t="s">
        <v>286</v>
      </c>
      <c r="B57" s="16" t="s">
        <v>287</v>
      </c>
      <c r="C57" s="16" t="s">
        <v>167</v>
      </c>
      <c r="D57" s="22" t="n">
        <v>46139</v>
      </c>
      <c r="E57" s="16" t="n">
        <v>5</v>
      </c>
      <c r="F57" s="16" t="s">
        <v>169</v>
      </c>
      <c r="G57" s="16" t="s">
        <v>187</v>
      </c>
      <c r="H57" s="16" t="s">
        <v>170</v>
      </c>
      <c r="I57" s="17" t="str">
        <f aca="false">IF(E57&gt;=4,"Positive",IF(E57&lt;=2,"Negative","Neutral"))</f>
        <v>Positive</v>
      </c>
    </row>
    <row r="58" customFormat="false" ht="15" hidden="false" customHeight="false" outlineLevel="0" collapsed="false">
      <c r="A58" s="16" t="s">
        <v>288</v>
      </c>
      <c r="B58" s="16" t="s">
        <v>289</v>
      </c>
      <c r="C58" s="16" t="s">
        <v>167</v>
      </c>
      <c r="D58" s="22" t="n">
        <v>46286</v>
      </c>
      <c r="E58" s="16" t="n">
        <v>5</v>
      </c>
      <c r="F58" s="16" t="s">
        <v>290</v>
      </c>
      <c r="G58" s="16" t="s">
        <v>166</v>
      </c>
      <c r="H58" s="16" t="s">
        <v>161</v>
      </c>
      <c r="I58" s="17" t="str">
        <f aca="false">IF(E58&gt;=4,"Positive",IF(E58&lt;=2,"Negative","Neutral"))</f>
        <v>Positive</v>
      </c>
    </row>
    <row r="59" customFormat="false" ht="15" hidden="false" customHeight="false" outlineLevel="0" collapsed="false">
      <c r="A59" s="16" t="s">
        <v>291</v>
      </c>
      <c r="B59" s="16" t="s">
        <v>292</v>
      </c>
      <c r="C59" s="16" t="s">
        <v>167</v>
      </c>
      <c r="D59" s="22" t="n">
        <v>46014</v>
      </c>
      <c r="E59" s="16" t="n">
        <v>4</v>
      </c>
      <c r="F59" s="16" t="s">
        <v>212</v>
      </c>
      <c r="G59" s="16" t="s">
        <v>187</v>
      </c>
      <c r="H59" s="16" t="s">
        <v>195</v>
      </c>
      <c r="I59" s="17" t="str">
        <f aca="false">IF(E59&gt;=4,"Positive",IF(E59&lt;=2,"Negative","Neutral"))</f>
        <v>Positive</v>
      </c>
    </row>
    <row r="60" customFormat="false" ht="15" hidden="false" customHeight="false" outlineLevel="0" collapsed="false">
      <c r="A60" s="16" t="s">
        <v>293</v>
      </c>
      <c r="B60" s="16" t="s">
        <v>294</v>
      </c>
      <c r="C60" s="16" t="s">
        <v>158</v>
      </c>
      <c r="D60" s="22" t="n">
        <v>46030</v>
      </c>
      <c r="E60" s="16" t="n">
        <v>3</v>
      </c>
      <c r="F60" s="16" t="s">
        <v>179</v>
      </c>
      <c r="G60" s="16" t="s">
        <v>187</v>
      </c>
      <c r="H60" s="16" t="s">
        <v>180</v>
      </c>
      <c r="I60" s="17" t="str">
        <f aca="false">IF(E60&gt;=4,"Positive",IF(E60&lt;=2,"Negative","Neutral"))</f>
        <v>Neutral</v>
      </c>
    </row>
    <row r="61" customFormat="false" ht="15" hidden="false" customHeight="false" outlineLevel="0" collapsed="false">
      <c r="A61" s="16" t="s">
        <v>295</v>
      </c>
      <c r="B61" s="16" t="s">
        <v>296</v>
      </c>
      <c r="C61" s="16" t="s">
        <v>165</v>
      </c>
      <c r="D61" s="22" t="n">
        <v>46225</v>
      </c>
      <c r="E61" s="16" t="n">
        <v>5</v>
      </c>
      <c r="F61" s="16" t="s">
        <v>159</v>
      </c>
      <c r="G61" s="16" t="s">
        <v>166</v>
      </c>
      <c r="H61" s="16" t="s">
        <v>161</v>
      </c>
      <c r="I61" s="17" t="str">
        <f aca="false">IF(E61&gt;=4,"Positive",IF(E61&lt;=2,"Negative","Neutral"))</f>
        <v>Positive</v>
      </c>
    </row>
    <row r="62" customFormat="false" ht="15" hidden="false" customHeight="false" outlineLevel="0" collapsed="false">
      <c r="A62" s="16" t="s">
        <v>297</v>
      </c>
      <c r="B62" s="16" t="s">
        <v>298</v>
      </c>
      <c r="C62" s="16" t="s">
        <v>162</v>
      </c>
      <c r="D62" s="22" t="n">
        <v>45995</v>
      </c>
      <c r="E62" s="16" t="n">
        <v>3</v>
      </c>
      <c r="F62" s="16" t="s">
        <v>194</v>
      </c>
      <c r="G62" s="16" t="s">
        <v>187</v>
      </c>
      <c r="H62" s="16" t="s">
        <v>195</v>
      </c>
      <c r="I62" s="17" t="str">
        <f aca="false">IF(E62&gt;=4,"Positive",IF(E62&lt;=2,"Negative","Neutral"))</f>
        <v>Neutral</v>
      </c>
    </row>
    <row r="63" customFormat="false" ht="15" hidden="false" customHeight="false" outlineLevel="0" collapsed="false">
      <c r="A63" s="16" t="s">
        <v>299</v>
      </c>
      <c r="B63" s="16" t="s">
        <v>71</v>
      </c>
      <c r="C63" s="16" t="s">
        <v>162</v>
      </c>
      <c r="D63" s="22" t="n">
        <v>46306</v>
      </c>
      <c r="E63" s="16" t="n">
        <v>2</v>
      </c>
      <c r="F63" s="16" t="s">
        <v>200</v>
      </c>
      <c r="G63" s="16" t="s">
        <v>160</v>
      </c>
      <c r="H63" s="16" t="s">
        <v>170</v>
      </c>
      <c r="I63" s="17" t="str">
        <f aca="false">IF(E63&gt;=4,"Positive",IF(E63&lt;=2,"Negative","Neutral"))</f>
        <v>Negative</v>
      </c>
    </row>
    <row r="64" customFormat="false" ht="15" hidden="false" customHeight="false" outlineLevel="0" collapsed="false">
      <c r="A64" s="16" t="s">
        <v>300</v>
      </c>
      <c r="B64" s="16" t="s">
        <v>216</v>
      </c>
      <c r="C64" s="16" t="s">
        <v>167</v>
      </c>
      <c r="D64" s="22" t="n">
        <v>46067</v>
      </c>
      <c r="E64" s="16" t="n">
        <v>4</v>
      </c>
      <c r="F64" s="16" t="s">
        <v>197</v>
      </c>
      <c r="G64" s="16" t="s">
        <v>166</v>
      </c>
      <c r="H64" s="16" t="s">
        <v>180</v>
      </c>
      <c r="I64" s="17" t="str">
        <f aca="false">IF(E64&gt;=4,"Positive",IF(E64&lt;=2,"Negative","Neutral"))</f>
        <v>Positive</v>
      </c>
    </row>
    <row r="65" customFormat="false" ht="15" hidden="false" customHeight="false" outlineLevel="0" collapsed="false">
      <c r="A65" s="16" t="s">
        <v>301</v>
      </c>
      <c r="B65" s="16" t="s">
        <v>199</v>
      </c>
      <c r="C65" s="16" t="s">
        <v>177</v>
      </c>
      <c r="D65" s="22" t="n">
        <v>46209</v>
      </c>
      <c r="E65" s="16" t="n">
        <v>5</v>
      </c>
      <c r="F65" s="16" t="s">
        <v>169</v>
      </c>
      <c r="G65" s="16" t="s">
        <v>187</v>
      </c>
      <c r="H65" s="16" t="s">
        <v>170</v>
      </c>
      <c r="I65" s="17" t="str">
        <f aca="false">IF(E65&gt;=4,"Positive",IF(E65&lt;=2,"Negative","Neutral"))</f>
        <v>Positive</v>
      </c>
    </row>
    <row r="66" customFormat="false" ht="15" hidden="false" customHeight="false" outlineLevel="0" collapsed="false">
      <c r="A66" s="16" t="s">
        <v>302</v>
      </c>
      <c r="B66" s="16" t="s">
        <v>218</v>
      </c>
      <c r="C66" s="16" t="s">
        <v>158</v>
      </c>
      <c r="D66" s="22" t="n">
        <v>46025</v>
      </c>
      <c r="E66" s="16" t="n">
        <v>4</v>
      </c>
      <c r="F66" s="16" t="s">
        <v>232</v>
      </c>
      <c r="G66" s="16" t="s">
        <v>160</v>
      </c>
      <c r="H66" s="16" t="s">
        <v>173</v>
      </c>
      <c r="I66" s="17" t="str">
        <f aca="false">IF(E66&gt;=4,"Positive",IF(E66&lt;=2,"Negative","Neutral"))</f>
        <v>Positive</v>
      </c>
    </row>
    <row r="67" customFormat="false" ht="15" hidden="false" customHeight="false" outlineLevel="0" collapsed="false">
      <c r="A67" s="16" t="s">
        <v>303</v>
      </c>
      <c r="B67" s="16" t="s">
        <v>304</v>
      </c>
      <c r="C67" s="16" t="s">
        <v>165</v>
      </c>
      <c r="D67" s="22" t="n">
        <v>46062</v>
      </c>
      <c r="E67" s="16" t="n">
        <v>4</v>
      </c>
      <c r="F67" s="16" t="s">
        <v>197</v>
      </c>
      <c r="G67" s="16" t="s">
        <v>187</v>
      </c>
      <c r="H67" s="16" t="s">
        <v>180</v>
      </c>
      <c r="I67" s="17" t="str">
        <f aca="false">IF(E67&gt;=4,"Positive",IF(E67&lt;=2,"Negative","Neutral"))</f>
        <v>Positive</v>
      </c>
    </row>
    <row r="68" customFormat="false" ht="15" hidden="false" customHeight="false" outlineLevel="0" collapsed="false">
      <c r="A68" s="16" t="s">
        <v>305</v>
      </c>
      <c r="B68" s="16" t="s">
        <v>306</v>
      </c>
      <c r="C68" s="16" t="s">
        <v>158</v>
      </c>
      <c r="D68" s="22" t="n">
        <v>45993</v>
      </c>
      <c r="E68" s="16" t="n">
        <v>5</v>
      </c>
      <c r="F68" s="16" t="s">
        <v>307</v>
      </c>
      <c r="G68" s="16" t="s">
        <v>166</v>
      </c>
      <c r="H68" s="16" t="s">
        <v>180</v>
      </c>
      <c r="I68" s="17" t="str">
        <f aca="false">IF(E68&gt;=4,"Positive",IF(E68&lt;=2,"Negative","Neutral"))</f>
        <v>Positive</v>
      </c>
    </row>
    <row r="69" customFormat="false" ht="15" hidden="false" customHeight="false" outlineLevel="0" collapsed="false">
      <c r="A69" s="16" t="s">
        <v>308</v>
      </c>
      <c r="B69" s="16" t="s">
        <v>309</v>
      </c>
      <c r="C69" s="16" t="s">
        <v>162</v>
      </c>
      <c r="D69" s="22" t="n">
        <v>46286</v>
      </c>
      <c r="E69" s="16" t="n">
        <v>3</v>
      </c>
      <c r="F69" s="16" t="s">
        <v>197</v>
      </c>
      <c r="G69" s="16" t="s">
        <v>187</v>
      </c>
      <c r="H69" s="16" t="s">
        <v>180</v>
      </c>
      <c r="I69" s="17" t="str">
        <f aca="false">IF(E69&gt;=4,"Positive",IF(E69&lt;=2,"Negative","Neutral"))</f>
        <v>Neutral</v>
      </c>
    </row>
    <row r="70" customFormat="false" ht="15" hidden="false" customHeight="false" outlineLevel="0" collapsed="false">
      <c r="A70" s="16" t="s">
        <v>310</v>
      </c>
      <c r="B70" s="16" t="s">
        <v>311</v>
      </c>
      <c r="C70" s="16" t="s">
        <v>177</v>
      </c>
      <c r="D70" s="22" t="n">
        <v>46282</v>
      </c>
      <c r="E70" s="16" t="n">
        <v>1</v>
      </c>
      <c r="F70" s="16" t="s">
        <v>179</v>
      </c>
      <c r="G70" s="16" t="s">
        <v>166</v>
      </c>
      <c r="H70" s="16" t="s">
        <v>180</v>
      </c>
      <c r="I70" s="17" t="str">
        <f aca="false">IF(E70&gt;=4,"Positive",IF(E70&lt;=2,"Negative","Neutral"))</f>
        <v>Negative</v>
      </c>
    </row>
    <row r="71" customFormat="false" ht="15" hidden="false" customHeight="false" outlineLevel="0" collapsed="false">
      <c r="A71" s="16" t="s">
        <v>312</v>
      </c>
      <c r="B71" s="16" t="s">
        <v>313</v>
      </c>
      <c r="C71" s="16" t="s">
        <v>162</v>
      </c>
      <c r="D71" s="22" t="n">
        <v>46090</v>
      </c>
      <c r="E71" s="16" t="n">
        <v>4</v>
      </c>
      <c r="F71" s="16" t="s">
        <v>176</v>
      </c>
      <c r="G71" s="16" t="s">
        <v>160</v>
      </c>
      <c r="H71" s="16" t="s">
        <v>173</v>
      </c>
      <c r="I71" s="17" t="str">
        <f aca="false">IF(E71&gt;=4,"Positive",IF(E71&lt;=2,"Negative","Neutral"))</f>
        <v>Positive</v>
      </c>
    </row>
    <row r="72" customFormat="false" ht="15" hidden="false" customHeight="false" outlineLevel="0" collapsed="false">
      <c r="A72" s="16" t="s">
        <v>314</v>
      </c>
      <c r="B72" s="16" t="s">
        <v>315</v>
      </c>
      <c r="C72" s="16" t="s">
        <v>167</v>
      </c>
      <c r="D72" s="22" t="n">
        <v>46070</v>
      </c>
      <c r="E72" s="16" t="n">
        <v>2</v>
      </c>
      <c r="F72" s="16" t="s">
        <v>172</v>
      </c>
      <c r="G72" s="16" t="s">
        <v>160</v>
      </c>
      <c r="H72" s="16" t="s">
        <v>173</v>
      </c>
      <c r="I72" s="17" t="str">
        <f aca="false">IF(E72&gt;=4,"Positive",IF(E72&lt;=2,"Negative","Neutral"))</f>
        <v>Negative</v>
      </c>
    </row>
    <row r="73" customFormat="false" ht="15" hidden="false" customHeight="false" outlineLevel="0" collapsed="false">
      <c r="A73" s="16" t="s">
        <v>316</v>
      </c>
      <c r="B73" s="16" t="s">
        <v>317</v>
      </c>
      <c r="C73" s="16" t="s">
        <v>158</v>
      </c>
      <c r="D73" s="22" t="n">
        <v>46154</v>
      </c>
      <c r="E73" s="16" t="n">
        <v>4</v>
      </c>
      <c r="F73" s="16" t="s">
        <v>186</v>
      </c>
      <c r="G73" s="16" t="s">
        <v>160</v>
      </c>
      <c r="H73" s="16" t="s">
        <v>170</v>
      </c>
      <c r="I73" s="17" t="str">
        <f aca="false">IF(E73&gt;=4,"Positive",IF(E73&lt;=2,"Negative","Neutral"))</f>
        <v>Positive</v>
      </c>
    </row>
    <row r="74" customFormat="false" ht="15" hidden="false" customHeight="false" outlineLevel="0" collapsed="false">
      <c r="A74" s="16" t="s">
        <v>318</v>
      </c>
      <c r="B74" s="16" t="s">
        <v>256</v>
      </c>
      <c r="C74" s="16" t="s">
        <v>167</v>
      </c>
      <c r="D74" s="22" t="n">
        <v>46119</v>
      </c>
      <c r="E74" s="16" t="n">
        <v>5</v>
      </c>
      <c r="F74" s="16" t="s">
        <v>290</v>
      </c>
      <c r="G74" s="16" t="s">
        <v>187</v>
      </c>
      <c r="H74" s="16" t="s">
        <v>161</v>
      </c>
      <c r="I74" s="17" t="str">
        <f aca="false">IF(E74&gt;=4,"Positive",IF(E74&lt;=2,"Negative","Neutral"))</f>
        <v>Positive</v>
      </c>
    </row>
    <row r="75" customFormat="false" ht="15" hidden="false" customHeight="false" outlineLevel="0" collapsed="false">
      <c r="A75" s="16" t="s">
        <v>319</v>
      </c>
      <c r="B75" s="16" t="s">
        <v>320</v>
      </c>
      <c r="C75" s="16" t="s">
        <v>158</v>
      </c>
      <c r="D75" s="22" t="n">
        <v>46120</v>
      </c>
      <c r="E75" s="16" t="n">
        <v>4</v>
      </c>
      <c r="F75" s="16" t="s">
        <v>267</v>
      </c>
      <c r="G75" s="16" t="s">
        <v>166</v>
      </c>
      <c r="H75" s="16" t="s">
        <v>161</v>
      </c>
      <c r="I75" s="17" t="str">
        <f aca="false">IF(E75&gt;=4,"Positive",IF(E75&lt;=2,"Negative","Neutral"))</f>
        <v>Positive</v>
      </c>
    </row>
    <row r="76" customFormat="false" ht="15" hidden="false" customHeight="false" outlineLevel="0" collapsed="false">
      <c r="A76" s="16" t="s">
        <v>321</v>
      </c>
      <c r="B76" s="16" t="s">
        <v>264</v>
      </c>
      <c r="C76" s="16" t="s">
        <v>165</v>
      </c>
      <c r="D76" s="22" t="n">
        <v>46244</v>
      </c>
      <c r="E76" s="16" t="n">
        <v>3</v>
      </c>
      <c r="F76" s="16" t="s">
        <v>172</v>
      </c>
      <c r="G76" s="16" t="s">
        <v>166</v>
      </c>
      <c r="H76" s="16" t="s">
        <v>173</v>
      </c>
      <c r="I76" s="17" t="str">
        <f aca="false">IF(E76&gt;=4,"Positive",IF(E76&lt;=2,"Negative","Neutral"))</f>
        <v>Neutral</v>
      </c>
    </row>
    <row r="77" customFormat="false" ht="15" hidden="false" customHeight="false" outlineLevel="0" collapsed="false">
      <c r="A77" s="16" t="s">
        <v>322</v>
      </c>
      <c r="B77" s="16" t="s">
        <v>323</v>
      </c>
      <c r="C77" s="16" t="s">
        <v>162</v>
      </c>
      <c r="D77" s="22" t="n">
        <v>46285</v>
      </c>
      <c r="E77" s="16" t="n">
        <v>4</v>
      </c>
      <c r="F77" s="16" t="s">
        <v>186</v>
      </c>
      <c r="G77" s="16" t="s">
        <v>160</v>
      </c>
      <c r="H77" s="16" t="s">
        <v>170</v>
      </c>
      <c r="I77" s="17" t="str">
        <f aca="false">IF(E77&gt;=4,"Positive",IF(E77&lt;=2,"Negative","Neutral"))</f>
        <v>Positive</v>
      </c>
    </row>
    <row r="78" customFormat="false" ht="15" hidden="false" customHeight="false" outlineLevel="0" collapsed="false">
      <c r="A78" s="16" t="s">
        <v>324</v>
      </c>
      <c r="B78" s="16" t="s">
        <v>325</v>
      </c>
      <c r="C78" s="16" t="s">
        <v>162</v>
      </c>
      <c r="D78" s="22" t="n">
        <v>46052</v>
      </c>
      <c r="E78" s="16" t="n">
        <v>5</v>
      </c>
      <c r="F78" s="16" t="s">
        <v>197</v>
      </c>
      <c r="G78" s="16" t="s">
        <v>187</v>
      </c>
      <c r="H78" s="16" t="s">
        <v>180</v>
      </c>
      <c r="I78" s="17" t="str">
        <f aca="false">IF(E78&gt;=4,"Positive",IF(E78&lt;=2,"Negative","Neutral"))</f>
        <v>Positive</v>
      </c>
    </row>
    <row r="79" customFormat="false" ht="15" hidden="false" customHeight="false" outlineLevel="0" collapsed="false">
      <c r="A79" s="16" t="s">
        <v>326</v>
      </c>
      <c r="B79" s="16" t="s">
        <v>72</v>
      </c>
      <c r="C79" s="16" t="s">
        <v>165</v>
      </c>
      <c r="D79" s="22" t="n">
        <v>46064</v>
      </c>
      <c r="E79" s="16" t="n">
        <v>1</v>
      </c>
      <c r="F79" s="16" t="s">
        <v>172</v>
      </c>
      <c r="G79" s="16" t="s">
        <v>166</v>
      </c>
      <c r="H79" s="16" t="s">
        <v>173</v>
      </c>
      <c r="I79" s="17" t="str">
        <f aca="false">IF(E79&gt;=4,"Positive",IF(E79&lt;=2,"Negative","Neutral"))</f>
        <v>Negative</v>
      </c>
    </row>
    <row r="80" customFormat="false" ht="15" hidden="false" customHeight="false" outlineLevel="0" collapsed="false">
      <c r="A80" s="16" t="s">
        <v>327</v>
      </c>
      <c r="B80" s="16" t="s">
        <v>58</v>
      </c>
      <c r="C80" s="16" t="s">
        <v>165</v>
      </c>
      <c r="D80" s="22" t="n">
        <v>46110</v>
      </c>
      <c r="E80" s="16" t="n">
        <v>4</v>
      </c>
      <c r="F80" s="16" t="s">
        <v>186</v>
      </c>
      <c r="G80" s="16" t="s">
        <v>187</v>
      </c>
      <c r="H80" s="16" t="s">
        <v>170</v>
      </c>
      <c r="I80" s="17" t="str">
        <f aca="false">IF(E80&gt;=4,"Positive",IF(E80&lt;=2,"Negative","Neutral"))</f>
        <v>Positive</v>
      </c>
    </row>
    <row r="81" customFormat="false" ht="15" hidden="false" customHeight="false" outlineLevel="0" collapsed="false">
      <c r="A81" s="16" t="s">
        <v>328</v>
      </c>
      <c r="B81" s="16" t="s">
        <v>329</v>
      </c>
      <c r="C81" s="16" t="s">
        <v>177</v>
      </c>
      <c r="D81" s="22" t="n">
        <v>46260</v>
      </c>
      <c r="E81" s="16" t="n">
        <v>3</v>
      </c>
      <c r="F81" s="16" t="s">
        <v>267</v>
      </c>
      <c r="G81" s="16" t="s">
        <v>166</v>
      </c>
      <c r="H81" s="16" t="s">
        <v>161</v>
      </c>
      <c r="I81" s="17" t="str">
        <f aca="false">IF(E81&gt;=4,"Positive",IF(E81&lt;=2,"Negative","Neutral"))</f>
        <v>Neutral</v>
      </c>
    </row>
    <row r="82" customFormat="false" ht="15" hidden="false" customHeight="false" outlineLevel="0" collapsed="false">
      <c r="A82" s="16" t="s">
        <v>330</v>
      </c>
      <c r="B82" s="16" t="s">
        <v>68</v>
      </c>
      <c r="C82" s="16" t="s">
        <v>167</v>
      </c>
      <c r="D82" s="22" t="n">
        <v>46029</v>
      </c>
      <c r="E82" s="16" t="n">
        <v>4</v>
      </c>
      <c r="F82" s="16" t="s">
        <v>176</v>
      </c>
      <c r="G82" s="16" t="s">
        <v>160</v>
      </c>
      <c r="H82" s="16" t="s">
        <v>173</v>
      </c>
      <c r="I82" s="17" t="str">
        <f aca="false">IF(E82&gt;=4,"Positive",IF(E82&lt;=2,"Negative","Neutral"))</f>
        <v>Positive</v>
      </c>
    </row>
    <row r="83" customFormat="false" ht="15" hidden="false" customHeight="false" outlineLevel="0" collapsed="false">
      <c r="A83" s="16" t="s">
        <v>331</v>
      </c>
      <c r="B83" s="16" t="s">
        <v>332</v>
      </c>
      <c r="C83" s="16" t="s">
        <v>167</v>
      </c>
      <c r="D83" s="22" t="n">
        <v>46188</v>
      </c>
      <c r="E83" s="16" t="n">
        <v>3</v>
      </c>
      <c r="F83" s="16" t="s">
        <v>232</v>
      </c>
      <c r="G83" s="16" t="s">
        <v>166</v>
      </c>
      <c r="H83" s="16" t="s">
        <v>173</v>
      </c>
      <c r="I83" s="17" t="str">
        <f aca="false">IF(E83&gt;=4,"Positive",IF(E83&lt;=2,"Negative","Neutral"))</f>
        <v>Neutral</v>
      </c>
    </row>
    <row r="84" customFormat="false" ht="15" hidden="false" customHeight="false" outlineLevel="0" collapsed="false">
      <c r="A84" s="16" t="s">
        <v>333</v>
      </c>
      <c r="B84" s="16" t="s">
        <v>334</v>
      </c>
      <c r="C84" s="16" t="s">
        <v>158</v>
      </c>
      <c r="D84" s="22" t="n">
        <v>46023</v>
      </c>
      <c r="E84" s="16" t="n">
        <v>4</v>
      </c>
      <c r="F84" s="16" t="s">
        <v>186</v>
      </c>
      <c r="G84" s="16" t="s">
        <v>166</v>
      </c>
      <c r="H84" s="16" t="s">
        <v>170</v>
      </c>
      <c r="I84" s="17" t="str">
        <f aca="false">IF(E84&gt;=4,"Positive",IF(E84&lt;=2,"Negative","Neutral"))</f>
        <v>Positive</v>
      </c>
    </row>
    <row r="85" customFormat="false" ht="15" hidden="false" customHeight="false" outlineLevel="0" collapsed="false">
      <c r="A85" s="16" t="s">
        <v>335</v>
      </c>
      <c r="B85" s="16" t="s">
        <v>336</v>
      </c>
      <c r="C85" s="16" t="s">
        <v>165</v>
      </c>
      <c r="D85" s="22" t="n">
        <v>46011</v>
      </c>
      <c r="E85" s="16" t="n">
        <v>5</v>
      </c>
      <c r="F85" s="16" t="s">
        <v>212</v>
      </c>
      <c r="G85" s="16" t="s">
        <v>160</v>
      </c>
      <c r="H85" s="16" t="s">
        <v>195</v>
      </c>
      <c r="I85" s="17" t="str">
        <f aca="false">IF(E85&gt;=4,"Positive",IF(E85&lt;=2,"Negative","Neutral"))</f>
        <v>Positive</v>
      </c>
    </row>
    <row r="86" customFormat="false" ht="15" hidden="false" customHeight="false" outlineLevel="0" collapsed="false">
      <c r="A86" s="16" t="s">
        <v>337</v>
      </c>
      <c r="B86" s="16" t="s">
        <v>338</v>
      </c>
      <c r="C86" s="16" t="s">
        <v>165</v>
      </c>
      <c r="D86" s="22" t="n">
        <v>46306</v>
      </c>
      <c r="E86" s="16" t="n">
        <v>5</v>
      </c>
      <c r="F86" s="16" t="s">
        <v>159</v>
      </c>
      <c r="G86" s="16" t="s">
        <v>187</v>
      </c>
      <c r="H86" s="16" t="s">
        <v>161</v>
      </c>
      <c r="I86" s="17" t="str">
        <f aca="false">IF(E86&gt;=4,"Positive",IF(E86&lt;=2,"Negative","Neutral"))</f>
        <v>Positive</v>
      </c>
    </row>
    <row r="87" customFormat="false" ht="15" hidden="false" customHeight="false" outlineLevel="0" collapsed="false">
      <c r="A87" s="16" t="s">
        <v>339</v>
      </c>
      <c r="B87" s="16" t="s">
        <v>340</v>
      </c>
      <c r="C87" s="16" t="s">
        <v>167</v>
      </c>
      <c r="D87" s="22" t="n">
        <v>46225</v>
      </c>
      <c r="E87" s="16" t="n">
        <v>3</v>
      </c>
      <c r="F87" s="16" t="s">
        <v>179</v>
      </c>
      <c r="G87" s="16" t="s">
        <v>160</v>
      </c>
      <c r="H87" s="16" t="s">
        <v>180</v>
      </c>
      <c r="I87" s="17" t="str">
        <f aca="false">IF(E87&gt;=4,"Positive",IF(E87&lt;=2,"Negative","Neutral"))</f>
        <v>Neutral</v>
      </c>
    </row>
    <row r="88" customFormat="false" ht="15" hidden="false" customHeight="false" outlineLevel="0" collapsed="false">
      <c r="A88" s="16" t="s">
        <v>341</v>
      </c>
      <c r="B88" s="16" t="s">
        <v>325</v>
      </c>
      <c r="C88" s="16" t="s">
        <v>167</v>
      </c>
      <c r="D88" s="22" t="n">
        <v>46031</v>
      </c>
      <c r="E88" s="16" t="n">
        <v>4</v>
      </c>
      <c r="F88" s="16" t="s">
        <v>194</v>
      </c>
      <c r="G88" s="16" t="s">
        <v>166</v>
      </c>
      <c r="H88" s="16" t="s">
        <v>195</v>
      </c>
      <c r="I88" s="17" t="str">
        <f aca="false">IF(E88&gt;=4,"Positive",IF(E88&lt;=2,"Negative","Neutral"))</f>
        <v>Positive</v>
      </c>
    </row>
    <row r="89" customFormat="false" ht="15" hidden="false" customHeight="false" outlineLevel="0" collapsed="false">
      <c r="A89" s="16" t="s">
        <v>342</v>
      </c>
      <c r="B89" s="16" t="s">
        <v>343</v>
      </c>
      <c r="C89" s="16" t="s">
        <v>167</v>
      </c>
      <c r="D89" s="22" t="n">
        <v>46276</v>
      </c>
      <c r="E89" s="16" t="n">
        <v>5</v>
      </c>
      <c r="F89" s="16" t="s">
        <v>225</v>
      </c>
      <c r="G89" s="16" t="s">
        <v>160</v>
      </c>
      <c r="H89" s="16" t="s">
        <v>195</v>
      </c>
      <c r="I89" s="17" t="str">
        <f aca="false">IF(E89&gt;=4,"Positive",IF(E89&lt;=2,"Negative","Neutral"))</f>
        <v>Positive</v>
      </c>
    </row>
    <row r="90" customFormat="false" ht="15" hidden="false" customHeight="false" outlineLevel="0" collapsed="false">
      <c r="A90" s="16" t="s">
        <v>344</v>
      </c>
      <c r="B90" s="16" t="s">
        <v>345</v>
      </c>
      <c r="C90" s="16" t="s">
        <v>165</v>
      </c>
      <c r="D90" s="22" t="n">
        <v>46219</v>
      </c>
      <c r="E90" s="16" t="n">
        <v>5</v>
      </c>
      <c r="F90" s="16" t="s">
        <v>176</v>
      </c>
      <c r="G90" s="16" t="s">
        <v>160</v>
      </c>
      <c r="H90" s="16" t="s">
        <v>173</v>
      </c>
      <c r="I90" s="17" t="str">
        <f aca="false">IF(E90&gt;=4,"Positive",IF(E90&lt;=2,"Negative","Neutral"))</f>
        <v>Positive</v>
      </c>
    </row>
    <row r="91" customFormat="false" ht="15" hidden="false" customHeight="false" outlineLevel="0" collapsed="false">
      <c r="A91" s="16" t="s">
        <v>346</v>
      </c>
      <c r="B91" s="16" t="s">
        <v>347</v>
      </c>
      <c r="C91" s="16" t="s">
        <v>158</v>
      </c>
      <c r="D91" s="22" t="n">
        <v>46104</v>
      </c>
      <c r="E91" s="16" t="n">
        <v>4</v>
      </c>
      <c r="F91" s="16" t="s">
        <v>169</v>
      </c>
      <c r="G91" s="16" t="s">
        <v>166</v>
      </c>
      <c r="H91" s="16" t="s">
        <v>170</v>
      </c>
      <c r="I91" s="17" t="str">
        <f aca="false">IF(E91&gt;=4,"Positive",IF(E91&lt;=2,"Negative","Neutral"))</f>
        <v>Positive</v>
      </c>
    </row>
    <row r="92" customFormat="false" ht="15" hidden="false" customHeight="false" outlineLevel="0" collapsed="false">
      <c r="A92" s="16" t="s">
        <v>348</v>
      </c>
      <c r="B92" s="16" t="s">
        <v>60</v>
      </c>
      <c r="C92" s="16" t="s">
        <v>177</v>
      </c>
      <c r="D92" s="22" t="n">
        <v>46141</v>
      </c>
      <c r="E92" s="16" t="n">
        <v>4</v>
      </c>
      <c r="F92" s="16" t="s">
        <v>169</v>
      </c>
      <c r="G92" s="16" t="s">
        <v>166</v>
      </c>
      <c r="H92" s="16" t="s">
        <v>170</v>
      </c>
      <c r="I92" s="17" t="str">
        <f aca="false">IF(E92&gt;=4,"Positive",IF(E92&lt;=2,"Negative","Neutral"))</f>
        <v>Positive</v>
      </c>
    </row>
    <row r="93" customFormat="false" ht="15" hidden="false" customHeight="false" outlineLevel="0" collapsed="false">
      <c r="A93" s="16" t="s">
        <v>349</v>
      </c>
      <c r="B93" s="16" t="s">
        <v>343</v>
      </c>
      <c r="C93" s="16" t="s">
        <v>165</v>
      </c>
      <c r="D93" s="22" t="n">
        <v>46207</v>
      </c>
      <c r="E93" s="16" t="n">
        <v>5</v>
      </c>
      <c r="F93" s="16" t="s">
        <v>290</v>
      </c>
      <c r="G93" s="16" t="s">
        <v>160</v>
      </c>
      <c r="H93" s="16" t="s">
        <v>161</v>
      </c>
      <c r="I93" s="17" t="str">
        <f aca="false">IF(E93&gt;=4,"Positive",IF(E93&lt;=2,"Negative","Neutral"))</f>
        <v>Positive</v>
      </c>
    </row>
    <row r="94" customFormat="false" ht="15" hidden="false" customHeight="false" outlineLevel="0" collapsed="false">
      <c r="A94" s="16" t="s">
        <v>350</v>
      </c>
      <c r="B94" s="16" t="s">
        <v>351</v>
      </c>
      <c r="C94" s="16" t="s">
        <v>158</v>
      </c>
      <c r="D94" s="22" t="n">
        <v>46306</v>
      </c>
      <c r="E94" s="16" t="n">
        <v>5</v>
      </c>
      <c r="F94" s="16" t="s">
        <v>232</v>
      </c>
      <c r="G94" s="16" t="s">
        <v>166</v>
      </c>
      <c r="H94" s="16" t="s">
        <v>173</v>
      </c>
      <c r="I94" s="17" t="str">
        <f aca="false">IF(E94&gt;=4,"Positive",IF(E94&lt;=2,"Negative","Neutral"))</f>
        <v>Positive</v>
      </c>
    </row>
    <row r="95" customFormat="false" ht="15" hidden="false" customHeight="false" outlineLevel="0" collapsed="false">
      <c r="A95" s="16" t="s">
        <v>352</v>
      </c>
      <c r="B95" s="16" t="s">
        <v>279</v>
      </c>
      <c r="C95" s="16" t="s">
        <v>167</v>
      </c>
      <c r="D95" s="22" t="n">
        <v>46124</v>
      </c>
      <c r="E95" s="16" t="n">
        <v>4</v>
      </c>
      <c r="F95" s="16" t="s">
        <v>176</v>
      </c>
      <c r="G95" s="16" t="s">
        <v>160</v>
      </c>
      <c r="H95" s="16" t="s">
        <v>173</v>
      </c>
      <c r="I95" s="17" t="str">
        <f aca="false">IF(E95&gt;=4,"Positive",IF(E95&lt;=2,"Negative","Neutral"))</f>
        <v>Positive</v>
      </c>
    </row>
    <row r="96" customFormat="false" ht="15" hidden="false" customHeight="false" outlineLevel="0" collapsed="false">
      <c r="A96" s="16" t="s">
        <v>353</v>
      </c>
      <c r="B96" s="16" t="s">
        <v>95</v>
      </c>
      <c r="C96" s="16" t="s">
        <v>167</v>
      </c>
      <c r="D96" s="22" t="n">
        <v>46208</v>
      </c>
      <c r="E96" s="16" t="n">
        <v>2</v>
      </c>
      <c r="F96" s="16" t="s">
        <v>200</v>
      </c>
      <c r="G96" s="16" t="s">
        <v>187</v>
      </c>
      <c r="H96" s="16" t="s">
        <v>170</v>
      </c>
      <c r="I96" s="17" t="str">
        <f aca="false">IF(E96&gt;=4,"Positive",IF(E96&lt;=2,"Negative","Neutral"))</f>
        <v>Negative</v>
      </c>
    </row>
    <row r="97" customFormat="false" ht="15" hidden="false" customHeight="false" outlineLevel="0" collapsed="false">
      <c r="A97" s="16" t="s">
        <v>354</v>
      </c>
      <c r="B97" s="16" t="s">
        <v>355</v>
      </c>
      <c r="C97" s="16" t="s">
        <v>177</v>
      </c>
      <c r="D97" s="22" t="n">
        <v>46093</v>
      </c>
      <c r="E97" s="16" t="n">
        <v>4</v>
      </c>
      <c r="F97" s="16" t="s">
        <v>197</v>
      </c>
      <c r="G97" s="16" t="s">
        <v>166</v>
      </c>
      <c r="H97" s="16" t="s">
        <v>180</v>
      </c>
      <c r="I97" s="17" t="str">
        <f aca="false">IF(E97&gt;=4,"Positive",IF(E97&lt;=2,"Negative","Neutral"))</f>
        <v>Positive</v>
      </c>
    </row>
    <row r="98" customFormat="false" ht="15" hidden="false" customHeight="false" outlineLevel="0" collapsed="false">
      <c r="A98" s="16" t="s">
        <v>356</v>
      </c>
      <c r="B98" s="16" t="s">
        <v>357</v>
      </c>
      <c r="C98" s="16" t="s">
        <v>167</v>
      </c>
      <c r="D98" s="22" t="n">
        <v>46000</v>
      </c>
      <c r="E98" s="16" t="n">
        <v>3</v>
      </c>
      <c r="F98" s="16" t="s">
        <v>267</v>
      </c>
      <c r="G98" s="16" t="s">
        <v>166</v>
      </c>
      <c r="H98" s="16" t="s">
        <v>161</v>
      </c>
      <c r="I98" s="17" t="str">
        <f aca="false">IF(E98&gt;=4,"Positive",IF(E98&lt;=2,"Negative","Neutral"))</f>
        <v>Neutral</v>
      </c>
    </row>
    <row r="99" customFormat="false" ht="15" hidden="false" customHeight="false" outlineLevel="0" collapsed="false">
      <c r="A99" s="16" t="s">
        <v>358</v>
      </c>
      <c r="B99" s="16" t="s">
        <v>359</v>
      </c>
      <c r="C99" s="16" t="s">
        <v>162</v>
      </c>
      <c r="D99" s="22" t="n">
        <v>46252</v>
      </c>
      <c r="E99" s="16" t="n">
        <v>4</v>
      </c>
      <c r="F99" s="16" t="s">
        <v>159</v>
      </c>
      <c r="G99" s="16" t="s">
        <v>166</v>
      </c>
      <c r="H99" s="16" t="s">
        <v>161</v>
      </c>
      <c r="I99" s="17" t="str">
        <f aca="false">IF(E99&gt;=4,"Positive",IF(E99&lt;=2,"Negative","Neutral"))</f>
        <v>Positive</v>
      </c>
    </row>
    <row r="100" customFormat="false" ht="15" hidden="false" customHeight="false" outlineLevel="0" collapsed="false">
      <c r="A100" s="16" t="s">
        <v>360</v>
      </c>
      <c r="B100" s="16" t="s">
        <v>361</v>
      </c>
      <c r="C100" s="16" t="s">
        <v>165</v>
      </c>
      <c r="D100" s="22" t="n">
        <v>46177</v>
      </c>
      <c r="E100" s="16" t="n">
        <v>4</v>
      </c>
      <c r="F100" s="16" t="s">
        <v>197</v>
      </c>
      <c r="G100" s="16" t="s">
        <v>166</v>
      </c>
      <c r="H100" s="16" t="s">
        <v>180</v>
      </c>
      <c r="I100" s="17" t="str">
        <f aca="false">IF(E100&gt;=4,"Positive",IF(E100&lt;=2,"Negative","Neutral"))</f>
        <v>Positive</v>
      </c>
    </row>
    <row r="101" customFormat="false" ht="15" hidden="false" customHeight="false" outlineLevel="0" collapsed="false">
      <c r="A101" s="16" t="s">
        <v>362</v>
      </c>
      <c r="B101" s="16" t="s">
        <v>363</v>
      </c>
      <c r="C101" s="16" t="s">
        <v>165</v>
      </c>
      <c r="D101" s="22" t="n">
        <v>46295</v>
      </c>
      <c r="E101" s="16" t="n">
        <v>4</v>
      </c>
      <c r="F101" s="16" t="s">
        <v>307</v>
      </c>
      <c r="G101" s="16" t="s">
        <v>187</v>
      </c>
      <c r="H101" s="16" t="s">
        <v>180</v>
      </c>
      <c r="I101" s="17" t="str">
        <f aca="false">IF(E101&gt;=4,"Positive",IF(E101&lt;=2,"Negative","Neutral"))</f>
        <v>Positive</v>
      </c>
    </row>
    <row r="102" customFormat="false" ht="15" hidden="false" customHeight="false" outlineLevel="0" collapsed="false">
      <c r="A102" s="16" t="s">
        <v>364</v>
      </c>
      <c r="B102" s="16" t="s">
        <v>365</v>
      </c>
      <c r="C102" s="16" t="s">
        <v>165</v>
      </c>
      <c r="D102" s="22" t="n">
        <v>46213</v>
      </c>
      <c r="E102" s="16" t="n">
        <v>4</v>
      </c>
      <c r="F102" s="16" t="s">
        <v>290</v>
      </c>
      <c r="G102" s="16" t="s">
        <v>166</v>
      </c>
      <c r="H102" s="16" t="s">
        <v>161</v>
      </c>
      <c r="I102" s="17" t="str">
        <f aca="false">IF(E102&gt;=4,"Positive",IF(E102&lt;=2,"Negative","Neutral"))</f>
        <v>Positive</v>
      </c>
    </row>
    <row r="103" customFormat="false" ht="15" hidden="false" customHeight="false" outlineLevel="0" collapsed="false">
      <c r="A103" s="16" t="s">
        <v>366</v>
      </c>
      <c r="B103" s="16" t="s">
        <v>367</v>
      </c>
      <c r="C103" s="16" t="s">
        <v>177</v>
      </c>
      <c r="D103" s="22" t="n">
        <v>46128</v>
      </c>
      <c r="E103" s="16" t="n">
        <v>4</v>
      </c>
      <c r="F103" s="16" t="s">
        <v>176</v>
      </c>
      <c r="G103" s="16" t="s">
        <v>187</v>
      </c>
      <c r="H103" s="16" t="s">
        <v>173</v>
      </c>
      <c r="I103" s="17" t="str">
        <f aca="false">IF(E103&gt;=4,"Positive",IF(E103&lt;=2,"Negative","Neutral"))</f>
        <v>Positive</v>
      </c>
    </row>
    <row r="104" customFormat="false" ht="15" hidden="false" customHeight="false" outlineLevel="0" collapsed="false">
      <c r="A104" s="16" t="s">
        <v>368</v>
      </c>
      <c r="B104" s="16" t="s">
        <v>369</v>
      </c>
      <c r="C104" s="16" t="s">
        <v>165</v>
      </c>
      <c r="D104" s="22" t="n">
        <v>46306</v>
      </c>
      <c r="E104" s="16" t="n">
        <v>5</v>
      </c>
      <c r="F104" s="16" t="s">
        <v>176</v>
      </c>
      <c r="G104" s="16" t="s">
        <v>166</v>
      </c>
      <c r="H104" s="16" t="s">
        <v>173</v>
      </c>
      <c r="I104" s="17" t="str">
        <f aca="false">IF(E104&gt;=4,"Positive",IF(E104&lt;=2,"Negative","Neutral"))</f>
        <v>Positive</v>
      </c>
    </row>
    <row r="105" customFormat="false" ht="15" hidden="false" customHeight="false" outlineLevel="0" collapsed="false">
      <c r="A105" s="16" t="s">
        <v>370</v>
      </c>
      <c r="B105" s="16" t="s">
        <v>363</v>
      </c>
      <c r="C105" s="16" t="s">
        <v>158</v>
      </c>
      <c r="D105" s="22" t="n">
        <v>46074</v>
      </c>
      <c r="E105" s="16" t="n">
        <v>3</v>
      </c>
      <c r="F105" s="16" t="s">
        <v>169</v>
      </c>
      <c r="G105" s="16" t="s">
        <v>166</v>
      </c>
      <c r="H105" s="16" t="s">
        <v>170</v>
      </c>
      <c r="I105" s="17" t="str">
        <f aca="false">IF(E105&gt;=4,"Positive",IF(E105&lt;=2,"Negative","Neutral"))</f>
        <v>Neutral</v>
      </c>
    </row>
    <row r="106" customFormat="false" ht="15" hidden="false" customHeight="false" outlineLevel="0" collapsed="false">
      <c r="A106" s="16" t="s">
        <v>371</v>
      </c>
      <c r="B106" s="16" t="s">
        <v>298</v>
      </c>
      <c r="C106" s="16" t="s">
        <v>165</v>
      </c>
      <c r="D106" s="22" t="n">
        <v>46245</v>
      </c>
      <c r="E106" s="16" t="n">
        <v>5</v>
      </c>
      <c r="F106" s="16" t="s">
        <v>212</v>
      </c>
      <c r="G106" s="16" t="s">
        <v>160</v>
      </c>
      <c r="H106" s="16" t="s">
        <v>195</v>
      </c>
      <c r="I106" s="17" t="str">
        <f aca="false">IF(E106&gt;=4,"Positive",IF(E106&lt;=2,"Negative","Neutral"))</f>
        <v>Positive</v>
      </c>
    </row>
    <row r="107" customFormat="false" ht="15" hidden="false" customHeight="false" outlineLevel="0" collapsed="false">
      <c r="A107" s="16" t="s">
        <v>372</v>
      </c>
      <c r="B107" s="16" t="s">
        <v>373</v>
      </c>
      <c r="C107" s="16" t="s">
        <v>162</v>
      </c>
      <c r="D107" s="22" t="n">
        <v>46106</v>
      </c>
      <c r="E107" s="16" t="n">
        <v>4</v>
      </c>
      <c r="F107" s="16" t="s">
        <v>232</v>
      </c>
      <c r="G107" s="16" t="s">
        <v>166</v>
      </c>
      <c r="H107" s="16" t="s">
        <v>173</v>
      </c>
      <c r="I107" s="17" t="str">
        <f aca="false">IF(E107&gt;=4,"Positive",IF(E107&lt;=2,"Negative","Neutral"))</f>
        <v>Positive</v>
      </c>
    </row>
    <row r="108" customFormat="false" ht="15" hidden="false" customHeight="false" outlineLevel="0" collapsed="false">
      <c r="A108" s="16" t="s">
        <v>374</v>
      </c>
      <c r="B108" s="16" t="s">
        <v>375</v>
      </c>
      <c r="C108" s="16" t="s">
        <v>167</v>
      </c>
      <c r="D108" s="22" t="n">
        <v>45987</v>
      </c>
      <c r="E108" s="16" t="n">
        <v>5</v>
      </c>
      <c r="F108" s="16" t="s">
        <v>169</v>
      </c>
      <c r="G108" s="16" t="s">
        <v>187</v>
      </c>
      <c r="H108" s="16" t="s">
        <v>170</v>
      </c>
      <c r="I108" s="17" t="str">
        <f aca="false">IF(E108&gt;=4,"Positive",IF(E108&lt;=2,"Negative","Neutral"))</f>
        <v>Positive</v>
      </c>
    </row>
    <row r="109" customFormat="false" ht="15" hidden="false" customHeight="false" outlineLevel="0" collapsed="false">
      <c r="A109" s="16" t="s">
        <v>376</v>
      </c>
      <c r="B109" s="16" t="s">
        <v>377</v>
      </c>
      <c r="C109" s="16" t="s">
        <v>162</v>
      </c>
      <c r="D109" s="22" t="n">
        <v>46279</v>
      </c>
      <c r="E109" s="16" t="n">
        <v>2</v>
      </c>
      <c r="F109" s="16" t="s">
        <v>172</v>
      </c>
      <c r="G109" s="16" t="s">
        <v>187</v>
      </c>
      <c r="H109" s="16" t="s">
        <v>173</v>
      </c>
      <c r="I109" s="17" t="str">
        <f aca="false">IF(E109&gt;=4,"Positive",IF(E109&lt;=2,"Negative","Neutral"))</f>
        <v>Negative</v>
      </c>
    </row>
    <row r="110" customFormat="false" ht="15" hidden="false" customHeight="false" outlineLevel="0" collapsed="false">
      <c r="A110" s="16" t="s">
        <v>378</v>
      </c>
      <c r="B110" s="16" t="s">
        <v>379</v>
      </c>
      <c r="C110" s="16" t="s">
        <v>165</v>
      </c>
      <c r="D110" s="22" t="n">
        <v>46193</v>
      </c>
      <c r="E110" s="16" t="n">
        <v>5</v>
      </c>
      <c r="F110" s="16" t="s">
        <v>194</v>
      </c>
      <c r="G110" s="16" t="s">
        <v>166</v>
      </c>
      <c r="H110" s="16" t="s">
        <v>195</v>
      </c>
      <c r="I110" s="17" t="str">
        <f aca="false">IF(E110&gt;=4,"Positive",IF(E110&lt;=2,"Negative","Neutral"))</f>
        <v>Positive</v>
      </c>
    </row>
    <row r="111" customFormat="false" ht="15" hidden="false" customHeight="false" outlineLevel="0" collapsed="false">
      <c r="A111" s="16" t="s">
        <v>380</v>
      </c>
      <c r="B111" s="16" t="s">
        <v>361</v>
      </c>
      <c r="C111" s="16" t="s">
        <v>158</v>
      </c>
      <c r="D111" s="22" t="n">
        <v>46122</v>
      </c>
      <c r="E111" s="16" t="n">
        <v>2</v>
      </c>
      <c r="F111" s="16" t="s">
        <v>172</v>
      </c>
      <c r="G111" s="16" t="s">
        <v>166</v>
      </c>
      <c r="H111" s="16" t="s">
        <v>173</v>
      </c>
      <c r="I111" s="17" t="str">
        <f aca="false">IF(E111&gt;=4,"Positive",IF(E111&lt;=2,"Negative","Neutral"))</f>
        <v>Negative</v>
      </c>
    </row>
    <row r="112" customFormat="false" ht="15" hidden="false" customHeight="false" outlineLevel="0" collapsed="false">
      <c r="A112" s="16" t="s">
        <v>381</v>
      </c>
      <c r="B112" s="16" t="s">
        <v>382</v>
      </c>
      <c r="C112" s="16" t="s">
        <v>177</v>
      </c>
      <c r="D112" s="22" t="n">
        <v>46113</v>
      </c>
      <c r="E112" s="16" t="n">
        <v>5</v>
      </c>
      <c r="F112" s="16" t="s">
        <v>212</v>
      </c>
      <c r="G112" s="16" t="s">
        <v>166</v>
      </c>
      <c r="H112" s="16" t="s">
        <v>195</v>
      </c>
      <c r="I112" s="17" t="str">
        <f aca="false">IF(E112&gt;=4,"Positive",IF(E112&lt;=2,"Negative","Neutral"))</f>
        <v>Positive</v>
      </c>
    </row>
    <row r="113" customFormat="false" ht="15" hidden="false" customHeight="false" outlineLevel="0" collapsed="false">
      <c r="A113" s="16" t="s">
        <v>383</v>
      </c>
      <c r="B113" s="16" t="s">
        <v>384</v>
      </c>
      <c r="C113" s="16" t="s">
        <v>177</v>
      </c>
      <c r="D113" s="22" t="n">
        <v>46246</v>
      </c>
      <c r="E113" s="16" t="n">
        <v>4</v>
      </c>
      <c r="F113" s="16" t="s">
        <v>159</v>
      </c>
      <c r="G113" s="16" t="s">
        <v>187</v>
      </c>
      <c r="H113" s="16" t="s">
        <v>161</v>
      </c>
      <c r="I113" s="17" t="str">
        <f aca="false">IF(E113&gt;=4,"Positive",IF(E113&lt;=2,"Negative","Neutral"))</f>
        <v>Positive</v>
      </c>
    </row>
    <row r="114" customFormat="false" ht="15" hidden="false" customHeight="false" outlineLevel="0" collapsed="false">
      <c r="A114" s="16" t="s">
        <v>385</v>
      </c>
      <c r="B114" s="16" t="s">
        <v>313</v>
      </c>
      <c r="C114" s="16" t="s">
        <v>167</v>
      </c>
      <c r="D114" s="22" t="n">
        <v>46023</v>
      </c>
      <c r="E114" s="16" t="n">
        <v>4</v>
      </c>
      <c r="F114" s="16" t="s">
        <v>176</v>
      </c>
      <c r="G114" s="16" t="s">
        <v>160</v>
      </c>
      <c r="H114" s="16" t="s">
        <v>173</v>
      </c>
      <c r="I114" s="17" t="str">
        <f aca="false">IF(E114&gt;=4,"Positive",IF(E114&lt;=2,"Negative","Neutral"))</f>
        <v>Positive</v>
      </c>
    </row>
    <row r="115" customFormat="false" ht="15" hidden="false" customHeight="false" outlineLevel="0" collapsed="false">
      <c r="A115" s="16" t="s">
        <v>386</v>
      </c>
      <c r="B115" s="16" t="s">
        <v>387</v>
      </c>
      <c r="C115" s="16" t="s">
        <v>162</v>
      </c>
      <c r="D115" s="22" t="n">
        <v>46245</v>
      </c>
      <c r="E115" s="16" t="n">
        <v>4</v>
      </c>
      <c r="F115" s="16" t="s">
        <v>212</v>
      </c>
      <c r="G115" s="16" t="s">
        <v>166</v>
      </c>
      <c r="H115" s="16" t="s">
        <v>195</v>
      </c>
      <c r="I115" s="17" t="str">
        <f aca="false">IF(E115&gt;=4,"Positive",IF(E115&lt;=2,"Negative","Neutral"))</f>
        <v>Positive</v>
      </c>
    </row>
    <row r="116" customFormat="false" ht="15" hidden="false" customHeight="false" outlineLevel="0" collapsed="false">
      <c r="A116" s="16" t="s">
        <v>388</v>
      </c>
      <c r="B116" s="16" t="s">
        <v>389</v>
      </c>
      <c r="C116" s="16" t="s">
        <v>165</v>
      </c>
      <c r="D116" s="22" t="n">
        <v>46046</v>
      </c>
      <c r="E116" s="16" t="n">
        <v>2</v>
      </c>
      <c r="F116" s="16" t="s">
        <v>172</v>
      </c>
      <c r="G116" s="16" t="s">
        <v>166</v>
      </c>
      <c r="H116" s="16" t="s">
        <v>173</v>
      </c>
      <c r="I116" s="17" t="str">
        <f aca="false">IF(E116&gt;=4,"Positive",IF(E116&lt;=2,"Negative","Neutral"))</f>
        <v>Negative</v>
      </c>
    </row>
    <row r="117" customFormat="false" ht="15" hidden="false" customHeight="false" outlineLevel="0" collapsed="false">
      <c r="A117" s="16" t="s">
        <v>390</v>
      </c>
      <c r="B117" s="16" t="s">
        <v>254</v>
      </c>
      <c r="C117" s="16" t="s">
        <v>158</v>
      </c>
      <c r="D117" s="22" t="n">
        <v>46292</v>
      </c>
      <c r="E117" s="16" t="n">
        <v>4</v>
      </c>
      <c r="F117" s="16" t="s">
        <v>159</v>
      </c>
      <c r="G117" s="16" t="s">
        <v>160</v>
      </c>
      <c r="H117" s="16" t="s">
        <v>161</v>
      </c>
      <c r="I117" s="17" t="str">
        <f aca="false">IF(E117&gt;=4,"Positive",IF(E117&lt;=2,"Negative","Neutral"))</f>
        <v>Positive</v>
      </c>
    </row>
    <row r="118" customFormat="false" ht="15" hidden="false" customHeight="false" outlineLevel="0" collapsed="false">
      <c r="A118" s="16" t="s">
        <v>391</v>
      </c>
      <c r="B118" s="16" t="s">
        <v>392</v>
      </c>
      <c r="C118" s="16" t="s">
        <v>167</v>
      </c>
      <c r="D118" s="22" t="n">
        <v>46223</v>
      </c>
      <c r="E118" s="16" t="n">
        <v>4</v>
      </c>
      <c r="F118" s="16" t="s">
        <v>176</v>
      </c>
      <c r="G118" s="16" t="s">
        <v>187</v>
      </c>
      <c r="H118" s="16" t="s">
        <v>173</v>
      </c>
      <c r="I118" s="17" t="str">
        <f aca="false">IF(E118&gt;=4,"Positive",IF(E118&lt;=2,"Negative","Neutral"))</f>
        <v>Positive</v>
      </c>
    </row>
    <row r="119" customFormat="false" ht="15" hidden="false" customHeight="false" outlineLevel="0" collapsed="false">
      <c r="A119" s="16" t="s">
        <v>393</v>
      </c>
      <c r="B119" s="16" t="s">
        <v>394</v>
      </c>
      <c r="C119" s="16" t="s">
        <v>162</v>
      </c>
      <c r="D119" s="22" t="n">
        <v>46165</v>
      </c>
      <c r="E119" s="16" t="n">
        <v>2</v>
      </c>
      <c r="F119" s="16" t="s">
        <v>200</v>
      </c>
      <c r="G119" s="16" t="s">
        <v>160</v>
      </c>
      <c r="H119" s="16" t="s">
        <v>170</v>
      </c>
      <c r="I119" s="17" t="str">
        <f aca="false">IF(E119&gt;=4,"Positive",IF(E119&lt;=2,"Negative","Neutral"))</f>
        <v>Negative</v>
      </c>
    </row>
    <row r="120" customFormat="false" ht="15" hidden="false" customHeight="false" outlineLevel="0" collapsed="false">
      <c r="A120" s="16" t="s">
        <v>395</v>
      </c>
      <c r="B120" s="16" t="s">
        <v>220</v>
      </c>
      <c r="C120" s="16" t="s">
        <v>165</v>
      </c>
      <c r="D120" s="22" t="n">
        <v>46023</v>
      </c>
      <c r="E120" s="16" t="n">
        <v>2</v>
      </c>
      <c r="F120" s="16" t="s">
        <v>194</v>
      </c>
      <c r="G120" s="16" t="s">
        <v>187</v>
      </c>
      <c r="H120" s="16" t="s">
        <v>195</v>
      </c>
      <c r="I120" s="17" t="str">
        <f aca="false">IF(E120&gt;=4,"Positive",IF(E120&lt;=2,"Negative","Neutral"))</f>
        <v>Negative</v>
      </c>
    </row>
    <row r="121" customFormat="false" ht="15" hidden="false" customHeight="false" outlineLevel="0" collapsed="false">
      <c r="A121" s="16" t="s">
        <v>396</v>
      </c>
      <c r="B121" s="16" t="s">
        <v>397</v>
      </c>
      <c r="C121" s="16" t="s">
        <v>165</v>
      </c>
      <c r="D121" s="22" t="n">
        <v>46056</v>
      </c>
      <c r="E121" s="16" t="n">
        <v>1</v>
      </c>
      <c r="F121" s="16" t="s">
        <v>172</v>
      </c>
      <c r="G121" s="16" t="s">
        <v>166</v>
      </c>
      <c r="H121" s="16" t="s">
        <v>173</v>
      </c>
      <c r="I121" s="17" t="str">
        <f aca="false">IF(E121&gt;=4,"Positive",IF(E121&lt;=2,"Negative","Neutral"))</f>
        <v>Negative</v>
      </c>
    </row>
    <row r="122" customFormat="false" ht="15" hidden="false" customHeight="false" outlineLevel="0" collapsed="false">
      <c r="A122" s="16" t="s">
        <v>398</v>
      </c>
      <c r="B122" s="16" t="s">
        <v>399</v>
      </c>
      <c r="C122" s="16" t="s">
        <v>158</v>
      </c>
      <c r="D122" s="22" t="n">
        <v>46250</v>
      </c>
      <c r="E122" s="16" t="n">
        <v>1</v>
      </c>
      <c r="F122" s="16" t="s">
        <v>172</v>
      </c>
      <c r="G122" s="16" t="s">
        <v>166</v>
      </c>
      <c r="H122" s="16" t="s">
        <v>173</v>
      </c>
      <c r="I122" s="17" t="str">
        <f aca="false">IF(E122&gt;=4,"Positive",IF(E122&lt;=2,"Negative","Neutral"))</f>
        <v>Negative</v>
      </c>
    </row>
    <row r="123" customFormat="false" ht="15" hidden="false" customHeight="false" outlineLevel="0" collapsed="false">
      <c r="A123" s="16" t="s">
        <v>400</v>
      </c>
      <c r="B123" s="16" t="s">
        <v>332</v>
      </c>
      <c r="C123" s="16" t="s">
        <v>158</v>
      </c>
      <c r="D123" s="22" t="n">
        <v>46133</v>
      </c>
      <c r="E123" s="16" t="n">
        <v>2</v>
      </c>
      <c r="F123" s="16" t="s">
        <v>172</v>
      </c>
      <c r="G123" s="16" t="s">
        <v>166</v>
      </c>
      <c r="H123" s="16" t="s">
        <v>173</v>
      </c>
      <c r="I123" s="17" t="str">
        <f aca="false">IF(E123&gt;=4,"Positive",IF(E123&lt;=2,"Negative","Neutral"))</f>
        <v>Negative</v>
      </c>
    </row>
    <row r="124" customFormat="false" ht="15" hidden="false" customHeight="false" outlineLevel="0" collapsed="false">
      <c r="A124" s="16" t="s">
        <v>401</v>
      </c>
      <c r="B124" s="16" t="s">
        <v>80</v>
      </c>
      <c r="C124" s="16" t="s">
        <v>162</v>
      </c>
      <c r="D124" s="22" t="n">
        <v>46231</v>
      </c>
      <c r="E124" s="16" t="n">
        <v>4</v>
      </c>
      <c r="F124" s="16" t="s">
        <v>197</v>
      </c>
      <c r="G124" s="16" t="s">
        <v>160</v>
      </c>
      <c r="H124" s="16" t="s">
        <v>180</v>
      </c>
      <c r="I124" s="17" t="str">
        <f aca="false">IF(E124&gt;=4,"Positive",IF(E124&lt;=2,"Negative","Neutral"))</f>
        <v>Positive</v>
      </c>
    </row>
    <row r="125" customFormat="false" ht="15" hidden="false" customHeight="false" outlineLevel="0" collapsed="false">
      <c r="A125" s="16" t="s">
        <v>402</v>
      </c>
      <c r="B125" s="16" t="s">
        <v>77</v>
      </c>
      <c r="C125" s="16" t="s">
        <v>162</v>
      </c>
      <c r="D125" s="22" t="n">
        <v>46289</v>
      </c>
      <c r="E125" s="16" t="n">
        <v>3</v>
      </c>
      <c r="F125" s="16" t="s">
        <v>179</v>
      </c>
      <c r="G125" s="16" t="s">
        <v>160</v>
      </c>
      <c r="H125" s="16" t="s">
        <v>180</v>
      </c>
      <c r="I125" s="17" t="str">
        <f aca="false">IF(E125&gt;=4,"Positive",IF(E125&lt;=2,"Negative","Neutral"))</f>
        <v>Neutral</v>
      </c>
    </row>
    <row r="126" customFormat="false" ht="15" hidden="false" customHeight="false" outlineLevel="0" collapsed="false">
      <c r="A126" s="16" t="s">
        <v>403</v>
      </c>
      <c r="B126" s="16" t="s">
        <v>404</v>
      </c>
      <c r="C126" s="16" t="s">
        <v>167</v>
      </c>
      <c r="D126" s="22" t="n">
        <v>46085</v>
      </c>
      <c r="E126" s="16" t="n">
        <v>4</v>
      </c>
      <c r="F126" s="16" t="s">
        <v>290</v>
      </c>
      <c r="G126" s="16" t="s">
        <v>160</v>
      </c>
      <c r="H126" s="16" t="s">
        <v>161</v>
      </c>
      <c r="I126" s="17" t="str">
        <f aca="false">IF(E126&gt;=4,"Positive",IF(E126&lt;=2,"Negative","Neutral"))</f>
        <v>Positive</v>
      </c>
    </row>
    <row r="127" customFormat="false" ht="15" hidden="false" customHeight="false" outlineLevel="0" collapsed="false">
      <c r="A127" s="16" t="s">
        <v>405</v>
      </c>
      <c r="B127" s="16" t="s">
        <v>406</v>
      </c>
      <c r="C127" s="16" t="s">
        <v>162</v>
      </c>
      <c r="D127" s="22" t="n">
        <v>46087</v>
      </c>
      <c r="E127" s="16" t="n">
        <v>3</v>
      </c>
      <c r="F127" s="16" t="s">
        <v>172</v>
      </c>
      <c r="G127" s="16" t="s">
        <v>160</v>
      </c>
      <c r="H127" s="16" t="s">
        <v>173</v>
      </c>
      <c r="I127" s="17" t="str">
        <f aca="false">IF(E127&gt;=4,"Positive",IF(E127&lt;=2,"Negative","Neutral"))</f>
        <v>Neutral</v>
      </c>
    </row>
    <row r="128" customFormat="false" ht="15" hidden="false" customHeight="false" outlineLevel="0" collapsed="false">
      <c r="A128" s="16" t="s">
        <v>407</v>
      </c>
      <c r="B128" s="16" t="s">
        <v>408</v>
      </c>
      <c r="C128" s="16" t="s">
        <v>167</v>
      </c>
      <c r="D128" s="22" t="n">
        <v>46212</v>
      </c>
      <c r="E128" s="16" t="n">
        <v>1</v>
      </c>
      <c r="F128" s="16" t="s">
        <v>267</v>
      </c>
      <c r="G128" s="16" t="s">
        <v>166</v>
      </c>
      <c r="H128" s="16" t="s">
        <v>161</v>
      </c>
      <c r="I128" s="17" t="str">
        <f aca="false">IF(E128&gt;=4,"Positive",IF(E128&lt;=2,"Negative","Neutral"))</f>
        <v>Negative</v>
      </c>
    </row>
    <row r="129" customFormat="false" ht="15" hidden="false" customHeight="false" outlineLevel="0" collapsed="false">
      <c r="A129" s="16" t="s">
        <v>409</v>
      </c>
      <c r="B129" s="16" t="s">
        <v>394</v>
      </c>
      <c r="C129" s="16" t="s">
        <v>165</v>
      </c>
      <c r="D129" s="22" t="n">
        <v>46309</v>
      </c>
      <c r="E129" s="16" t="n">
        <v>4</v>
      </c>
      <c r="F129" s="16" t="s">
        <v>212</v>
      </c>
      <c r="G129" s="16" t="s">
        <v>166</v>
      </c>
      <c r="H129" s="16" t="s">
        <v>195</v>
      </c>
      <c r="I129" s="17" t="str">
        <f aca="false">IF(E129&gt;=4,"Positive",IF(E129&lt;=2,"Negative","Neutral"))</f>
        <v>Positive</v>
      </c>
    </row>
    <row r="130" customFormat="false" ht="15" hidden="false" customHeight="false" outlineLevel="0" collapsed="false">
      <c r="A130" s="16" t="s">
        <v>410</v>
      </c>
      <c r="B130" s="16" t="s">
        <v>411</v>
      </c>
      <c r="C130" s="16" t="s">
        <v>165</v>
      </c>
      <c r="D130" s="22" t="n">
        <v>46101</v>
      </c>
      <c r="E130" s="16" t="n">
        <v>3</v>
      </c>
      <c r="F130" s="16" t="s">
        <v>172</v>
      </c>
      <c r="G130" s="16" t="s">
        <v>187</v>
      </c>
      <c r="H130" s="16" t="s">
        <v>173</v>
      </c>
      <c r="I130" s="17" t="str">
        <f aca="false">IF(E130&gt;=4,"Positive",IF(E130&lt;=2,"Negative","Neutral"))</f>
        <v>Neutral</v>
      </c>
    </row>
    <row r="131" customFormat="false" ht="15" hidden="false" customHeight="false" outlineLevel="0" collapsed="false">
      <c r="A131" s="16" t="s">
        <v>412</v>
      </c>
      <c r="B131" s="16" t="s">
        <v>413</v>
      </c>
      <c r="C131" s="16" t="s">
        <v>165</v>
      </c>
      <c r="D131" s="22" t="n">
        <v>46102</v>
      </c>
      <c r="E131" s="16" t="n">
        <v>5</v>
      </c>
      <c r="F131" s="16" t="s">
        <v>186</v>
      </c>
      <c r="G131" s="16" t="s">
        <v>160</v>
      </c>
      <c r="H131" s="16" t="s">
        <v>170</v>
      </c>
      <c r="I131" s="17" t="str">
        <f aca="false">IF(E131&gt;=4,"Positive",IF(E131&lt;=2,"Negative","Neutral"))</f>
        <v>Positive</v>
      </c>
    </row>
    <row r="132" customFormat="false" ht="15" hidden="false" customHeight="false" outlineLevel="0" collapsed="false">
      <c r="A132" s="16" t="s">
        <v>414</v>
      </c>
      <c r="B132" s="16" t="s">
        <v>415</v>
      </c>
      <c r="C132" s="16" t="s">
        <v>162</v>
      </c>
      <c r="D132" s="22" t="n">
        <v>46103</v>
      </c>
      <c r="E132" s="16" t="n">
        <v>3</v>
      </c>
      <c r="F132" s="16" t="s">
        <v>179</v>
      </c>
      <c r="G132" s="16" t="s">
        <v>160</v>
      </c>
      <c r="H132" s="16" t="s">
        <v>180</v>
      </c>
      <c r="I132" s="17" t="str">
        <f aca="false">IF(E132&gt;=4,"Positive",IF(E132&lt;=2,"Negative","Neutral"))</f>
        <v>Neutral</v>
      </c>
    </row>
    <row r="133" customFormat="false" ht="15" hidden="false" customHeight="false" outlineLevel="0" collapsed="false">
      <c r="A133" s="16" t="s">
        <v>416</v>
      </c>
      <c r="B133" s="16" t="s">
        <v>85</v>
      </c>
      <c r="C133" s="16" t="s">
        <v>158</v>
      </c>
      <c r="D133" s="22" t="n">
        <v>46162</v>
      </c>
      <c r="E133" s="16" t="n">
        <v>5</v>
      </c>
      <c r="F133" s="16" t="s">
        <v>197</v>
      </c>
      <c r="G133" s="16" t="s">
        <v>160</v>
      </c>
      <c r="H133" s="16" t="s">
        <v>180</v>
      </c>
      <c r="I133" s="17" t="str">
        <f aca="false">IF(E133&gt;=4,"Positive",IF(E133&lt;=2,"Negative","Neutral"))</f>
        <v>Positive</v>
      </c>
    </row>
    <row r="134" customFormat="false" ht="15" hidden="false" customHeight="false" outlineLevel="0" collapsed="false">
      <c r="A134" s="16" t="s">
        <v>417</v>
      </c>
      <c r="B134" s="16" t="s">
        <v>418</v>
      </c>
      <c r="C134" s="16" t="s">
        <v>165</v>
      </c>
      <c r="D134" s="22" t="n">
        <v>45993</v>
      </c>
      <c r="E134" s="16" t="n">
        <v>4</v>
      </c>
      <c r="F134" s="16" t="s">
        <v>212</v>
      </c>
      <c r="G134" s="16" t="s">
        <v>160</v>
      </c>
      <c r="H134" s="16" t="s">
        <v>195</v>
      </c>
      <c r="I134" s="17" t="str">
        <f aca="false">IF(E134&gt;=4,"Positive",IF(E134&lt;=2,"Negative","Neutral"))</f>
        <v>Positive</v>
      </c>
    </row>
    <row r="135" customFormat="false" ht="15" hidden="false" customHeight="false" outlineLevel="0" collapsed="false">
      <c r="A135" s="16" t="s">
        <v>419</v>
      </c>
      <c r="B135" s="16" t="s">
        <v>420</v>
      </c>
      <c r="C135" s="16" t="s">
        <v>165</v>
      </c>
      <c r="D135" s="22" t="n">
        <v>46261</v>
      </c>
      <c r="E135" s="16" t="n">
        <v>4</v>
      </c>
      <c r="F135" s="16" t="s">
        <v>197</v>
      </c>
      <c r="G135" s="16" t="s">
        <v>166</v>
      </c>
      <c r="H135" s="16" t="s">
        <v>180</v>
      </c>
      <c r="I135" s="17" t="str">
        <f aca="false">IF(E135&gt;=4,"Positive",IF(E135&lt;=2,"Negative","Neutral"))</f>
        <v>Positive</v>
      </c>
    </row>
    <row r="136" customFormat="false" ht="15" hidden="false" customHeight="false" outlineLevel="0" collapsed="false">
      <c r="A136" s="16" t="s">
        <v>421</v>
      </c>
      <c r="B136" s="16" t="s">
        <v>422</v>
      </c>
      <c r="C136" s="16" t="s">
        <v>162</v>
      </c>
      <c r="D136" s="22" t="n">
        <v>46303</v>
      </c>
      <c r="E136" s="16" t="n">
        <v>2</v>
      </c>
      <c r="F136" s="16" t="s">
        <v>290</v>
      </c>
      <c r="G136" s="16" t="s">
        <v>187</v>
      </c>
      <c r="H136" s="16" t="s">
        <v>161</v>
      </c>
      <c r="I136" s="17" t="str">
        <f aca="false">IF(E136&gt;=4,"Positive",IF(E136&lt;=2,"Negative","Neutral"))</f>
        <v>Negative</v>
      </c>
    </row>
    <row r="137" customFormat="false" ht="15" hidden="false" customHeight="false" outlineLevel="0" collapsed="false">
      <c r="A137" s="16" t="s">
        <v>423</v>
      </c>
      <c r="B137" s="16" t="s">
        <v>91</v>
      </c>
      <c r="C137" s="16" t="s">
        <v>158</v>
      </c>
      <c r="D137" s="22" t="n">
        <v>46276</v>
      </c>
      <c r="E137" s="16" t="n">
        <v>4</v>
      </c>
      <c r="F137" s="16" t="s">
        <v>197</v>
      </c>
      <c r="G137" s="16" t="s">
        <v>166</v>
      </c>
      <c r="H137" s="16" t="s">
        <v>180</v>
      </c>
      <c r="I137" s="17" t="str">
        <f aca="false">IF(E137&gt;=4,"Positive",IF(E137&lt;=2,"Negative","Neutral"))</f>
        <v>Positive</v>
      </c>
    </row>
    <row r="138" customFormat="false" ht="15" hidden="false" customHeight="false" outlineLevel="0" collapsed="false">
      <c r="A138" s="16" t="s">
        <v>424</v>
      </c>
      <c r="B138" s="16" t="s">
        <v>238</v>
      </c>
      <c r="C138" s="16" t="s">
        <v>158</v>
      </c>
      <c r="D138" s="22" t="n">
        <v>46121</v>
      </c>
      <c r="E138" s="16" t="n">
        <v>3</v>
      </c>
      <c r="F138" s="16" t="s">
        <v>197</v>
      </c>
      <c r="G138" s="16" t="s">
        <v>166</v>
      </c>
      <c r="H138" s="16" t="s">
        <v>180</v>
      </c>
      <c r="I138" s="17" t="str">
        <f aca="false">IF(E138&gt;=4,"Positive",IF(E138&lt;=2,"Negative","Neutral"))</f>
        <v>Neutral</v>
      </c>
    </row>
    <row r="139" customFormat="false" ht="15" hidden="false" customHeight="false" outlineLevel="0" collapsed="false">
      <c r="A139" s="16" t="s">
        <v>425</v>
      </c>
      <c r="B139" s="16" t="s">
        <v>281</v>
      </c>
      <c r="C139" s="16" t="s">
        <v>165</v>
      </c>
      <c r="D139" s="22" t="n">
        <v>46222</v>
      </c>
      <c r="E139" s="16" t="n">
        <v>5</v>
      </c>
      <c r="F139" s="16" t="s">
        <v>159</v>
      </c>
      <c r="G139" s="16" t="s">
        <v>166</v>
      </c>
      <c r="H139" s="16" t="s">
        <v>161</v>
      </c>
      <c r="I139" s="17" t="str">
        <f aca="false">IF(E139&gt;=4,"Positive",IF(E139&lt;=2,"Negative","Neutral"))</f>
        <v>Positive</v>
      </c>
    </row>
    <row r="140" customFormat="false" ht="15" hidden="false" customHeight="false" outlineLevel="0" collapsed="false">
      <c r="A140" s="16" t="s">
        <v>426</v>
      </c>
      <c r="B140" s="16" t="s">
        <v>427</v>
      </c>
      <c r="C140" s="16" t="s">
        <v>162</v>
      </c>
      <c r="D140" s="22" t="n">
        <v>46028</v>
      </c>
      <c r="E140" s="16" t="n">
        <v>2</v>
      </c>
      <c r="F140" s="16" t="s">
        <v>179</v>
      </c>
      <c r="G140" s="16" t="s">
        <v>187</v>
      </c>
      <c r="H140" s="16" t="s">
        <v>180</v>
      </c>
      <c r="I140" s="17" t="str">
        <f aca="false">IF(E140&gt;=4,"Positive",IF(E140&lt;=2,"Negative","Neutral"))</f>
        <v>Negative</v>
      </c>
    </row>
    <row r="141" customFormat="false" ht="15" hidden="false" customHeight="false" outlineLevel="0" collapsed="false">
      <c r="A141" s="16" t="s">
        <v>428</v>
      </c>
      <c r="B141" s="16" t="s">
        <v>429</v>
      </c>
      <c r="C141" s="16" t="s">
        <v>177</v>
      </c>
      <c r="D141" s="22" t="n">
        <v>46290</v>
      </c>
      <c r="E141" s="16" t="n">
        <v>5</v>
      </c>
      <c r="F141" s="16" t="s">
        <v>307</v>
      </c>
      <c r="G141" s="16" t="s">
        <v>166</v>
      </c>
      <c r="H141" s="16" t="s">
        <v>180</v>
      </c>
      <c r="I141" s="17" t="str">
        <f aca="false">IF(E141&gt;=4,"Positive",IF(E141&lt;=2,"Negative","Neutral"))</f>
        <v>Positive</v>
      </c>
    </row>
    <row r="142" customFormat="false" ht="15" hidden="false" customHeight="false" outlineLevel="0" collapsed="false">
      <c r="A142" s="16" t="s">
        <v>430</v>
      </c>
      <c r="B142" s="16" t="s">
        <v>431</v>
      </c>
      <c r="C142" s="16" t="s">
        <v>158</v>
      </c>
      <c r="D142" s="22" t="n">
        <v>46195</v>
      </c>
      <c r="E142" s="16" t="n">
        <v>3</v>
      </c>
      <c r="F142" s="16" t="s">
        <v>169</v>
      </c>
      <c r="G142" s="16" t="s">
        <v>166</v>
      </c>
      <c r="H142" s="16" t="s">
        <v>170</v>
      </c>
      <c r="I142" s="17" t="str">
        <f aca="false">IF(E142&gt;=4,"Positive",IF(E142&lt;=2,"Negative","Neutral"))</f>
        <v>Neutral</v>
      </c>
    </row>
    <row r="143" customFormat="false" ht="15" hidden="false" customHeight="false" outlineLevel="0" collapsed="false">
      <c r="A143" s="16" t="s">
        <v>432</v>
      </c>
      <c r="B143" s="16" t="s">
        <v>433</v>
      </c>
      <c r="C143" s="16" t="s">
        <v>167</v>
      </c>
      <c r="D143" s="22" t="n">
        <v>46186</v>
      </c>
      <c r="E143" s="16" t="n">
        <v>3</v>
      </c>
      <c r="F143" s="16" t="s">
        <v>232</v>
      </c>
      <c r="G143" s="16" t="s">
        <v>160</v>
      </c>
      <c r="H143" s="16" t="s">
        <v>173</v>
      </c>
      <c r="I143" s="17" t="str">
        <f aca="false">IF(E143&gt;=4,"Positive",IF(E143&lt;=2,"Negative","Neutral"))</f>
        <v>Neutral</v>
      </c>
    </row>
    <row r="144" customFormat="false" ht="15" hidden="false" customHeight="false" outlineLevel="0" collapsed="false">
      <c r="A144" s="16" t="s">
        <v>434</v>
      </c>
      <c r="B144" s="16" t="s">
        <v>435</v>
      </c>
      <c r="C144" s="16" t="s">
        <v>165</v>
      </c>
      <c r="D144" s="22" t="n">
        <v>46281</v>
      </c>
      <c r="E144" s="16" t="n">
        <v>2</v>
      </c>
      <c r="F144" s="16" t="s">
        <v>194</v>
      </c>
      <c r="G144" s="16" t="s">
        <v>160</v>
      </c>
      <c r="H144" s="16" t="s">
        <v>195</v>
      </c>
      <c r="I144" s="17" t="str">
        <f aca="false">IF(E144&gt;=4,"Positive",IF(E144&lt;=2,"Negative","Neutral"))</f>
        <v>Negative</v>
      </c>
    </row>
    <row r="145" customFormat="false" ht="15" hidden="false" customHeight="false" outlineLevel="0" collapsed="false">
      <c r="A145" s="16" t="s">
        <v>436</v>
      </c>
      <c r="B145" s="16" t="s">
        <v>437</v>
      </c>
      <c r="C145" s="16" t="s">
        <v>165</v>
      </c>
      <c r="D145" s="22" t="n">
        <v>46020</v>
      </c>
      <c r="E145" s="16" t="n">
        <v>4</v>
      </c>
      <c r="F145" s="16" t="s">
        <v>197</v>
      </c>
      <c r="G145" s="16" t="s">
        <v>160</v>
      </c>
      <c r="H145" s="16" t="s">
        <v>180</v>
      </c>
      <c r="I145" s="17" t="str">
        <f aca="false">IF(E145&gt;=4,"Positive",IF(E145&lt;=2,"Negative","Neutral"))</f>
        <v>Positive</v>
      </c>
    </row>
    <row r="146" customFormat="false" ht="15" hidden="false" customHeight="false" outlineLevel="0" collapsed="false">
      <c r="A146" s="16" t="s">
        <v>438</v>
      </c>
      <c r="B146" s="16" t="s">
        <v>439</v>
      </c>
      <c r="C146" s="16" t="s">
        <v>167</v>
      </c>
      <c r="D146" s="22" t="n">
        <v>46010</v>
      </c>
      <c r="E146" s="16" t="n">
        <v>3</v>
      </c>
      <c r="F146" s="16" t="s">
        <v>169</v>
      </c>
      <c r="G146" s="16" t="s">
        <v>187</v>
      </c>
      <c r="H146" s="16" t="s">
        <v>170</v>
      </c>
      <c r="I146" s="17" t="str">
        <f aca="false">IF(E146&gt;=4,"Positive",IF(E146&lt;=2,"Negative","Neutral"))</f>
        <v>Neutral</v>
      </c>
    </row>
    <row r="147" customFormat="false" ht="15" hidden="false" customHeight="false" outlineLevel="0" collapsed="false">
      <c r="A147" s="16" t="s">
        <v>440</v>
      </c>
      <c r="B147" s="16" t="s">
        <v>304</v>
      </c>
      <c r="C147" s="16" t="s">
        <v>162</v>
      </c>
      <c r="D147" s="22" t="n">
        <v>46265</v>
      </c>
      <c r="E147" s="16" t="n">
        <v>3</v>
      </c>
      <c r="F147" s="16" t="s">
        <v>307</v>
      </c>
      <c r="G147" s="16" t="s">
        <v>166</v>
      </c>
      <c r="H147" s="16" t="s">
        <v>180</v>
      </c>
      <c r="I147" s="17" t="str">
        <f aca="false">IF(E147&gt;=4,"Positive",IF(E147&lt;=2,"Negative","Neutral"))</f>
        <v>Neutral</v>
      </c>
    </row>
    <row r="148" customFormat="false" ht="15" hidden="false" customHeight="false" outlineLevel="0" collapsed="false">
      <c r="A148" s="16" t="s">
        <v>441</v>
      </c>
      <c r="B148" s="16" t="s">
        <v>315</v>
      </c>
      <c r="C148" s="16" t="s">
        <v>158</v>
      </c>
      <c r="D148" s="22" t="n">
        <v>46099</v>
      </c>
      <c r="E148" s="16" t="n">
        <v>4</v>
      </c>
      <c r="F148" s="16" t="s">
        <v>212</v>
      </c>
      <c r="G148" s="16" t="s">
        <v>187</v>
      </c>
      <c r="H148" s="16" t="s">
        <v>195</v>
      </c>
      <c r="I148" s="17" t="str">
        <f aca="false">IF(E148&gt;=4,"Positive",IF(E148&lt;=2,"Negative","Neutral"))</f>
        <v>Positive</v>
      </c>
    </row>
    <row r="149" customFormat="false" ht="15" hidden="false" customHeight="false" outlineLevel="0" collapsed="false">
      <c r="A149" s="16" t="s">
        <v>442</v>
      </c>
      <c r="B149" s="16" t="s">
        <v>60</v>
      </c>
      <c r="C149" s="16" t="s">
        <v>167</v>
      </c>
      <c r="D149" s="22" t="n">
        <v>45987</v>
      </c>
      <c r="E149" s="16" t="n">
        <v>4</v>
      </c>
      <c r="F149" s="16" t="s">
        <v>212</v>
      </c>
      <c r="G149" s="16" t="s">
        <v>166</v>
      </c>
      <c r="H149" s="16" t="s">
        <v>195</v>
      </c>
      <c r="I149" s="17" t="str">
        <f aca="false">IF(E149&gt;=4,"Positive",IF(E149&lt;=2,"Negative","Neutral"))</f>
        <v>Positive</v>
      </c>
    </row>
    <row r="150" customFormat="false" ht="15" hidden="false" customHeight="false" outlineLevel="0" collapsed="false">
      <c r="A150" s="16" t="s">
        <v>443</v>
      </c>
      <c r="B150" s="16" t="s">
        <v>444</v>
      </c>
      <c r="C150" s="16" t="s">
        <v>165</v>
      </c>
      <c r="D150" s="22" t="n">
        <v>46186</v>
      </c>
      <c r="E150" s="16" t="n">
        <v>3</v>
      </c>
      <c r="F150" s="16" t="s">
        <v>197</v>
      </c>
      <c r="G150" s="16" t="s">
        <v>160</v>
      </c>
      <c r="H150" s="16" t="s">
        <v>180</v>
      </c>
      <c r="I150" s="17" t="str">
        <f aca="false">IF(E150&gt;=4,"Positive",IF(E150&lt;=2,"Negative","Neutral"))</f>
        <v>Neutral</v>
      </c>
    </row>
    <row r="151" customFormat="false" ht="15" hidden="false" customHeight="false" outlineLevel="0" collapsed="false">
      <c r="A151" s="16" t="s">
        <v>445</v>
      </c>
      <c r="B151" s="16" t="s">
        <v>446</v>
      </c>
      <c r="C151" s="16" t="s">
        <v>165</v>
      </c>
      <c r="D151" s="22" t="n">
        <v>45985</v>
      </c>
      <c r="E151" s="16" t="n">
        <v>5</v>
      </c>
      <c r="F151" s="16" t="s">
        <v>197</v>
      </c>
      <c r="G151" s="16" t="s">
        <v>166</v>
      </c>
      <c r="H151" s="16" t="s">
        <v>180</v>
      </c>
      <c r="I151" s="17" t="str">
        <f aca="false">IF(E151&gt;=4,"Positive",IF(E151&lt;=2,"Negative","Neutral"))</f>
        <v>Positive</v>
      </c>
    </row>
    <row r="152" customFormat="false" ht="15" hidden="false" customHeight="false" outlineLevel="0" collapsed="false">
      <c r="A152" s="16" t="s">
        <v>447</v>
      </c>
      <c r="B152" s="16" t="s">
        <v>448</v>
      </c>
      <c r="C152" s="16" t="s">
        <v>165</v>
      </c>
      <c r="D152" s="22" t="n">
        <v>46097</v>
      </c>
      <c r="E152" s="16" t="n">
        <v>4</v>
      </c>
      <c r="F152" s="16" t="s">
        <v>225</v>
      </c>
      <c r="G152" s="16" t="s">
        <v>166</v>
      </c>
      <c r="H152" s="16" t="s">
        <v>195</v>
      </c>
      <c r="I152" s="17" t="str">
        <f aca="false">IF(E152&gt;=4,"Positive",IF(E152&lt;=2,"Negative","Neutral"))</f>
        <v>Positive</v>
      </c>
    </row>
    <row r="153" customFormat="false" ht="15" hidden="false" customHeight="false" outlineLevel="0" collapsed="false">
      <c r="A153" s="16" t="s">
        <v>449</v>
      </c>
      <c r="B153" s="16" t="s">
        <v>450</v>
      </c>
      <c r="C153" s="16" t="s">
        <v>162</v>
      </c>
      <c r="D153" s="22" t="n">
        <v>46068</v>
      </c>
      <c r="E153" s="16" t="n">
        <v>4</v>
      </c>
      <c r="F153" s="16" t="s">
        <v>307</v>
      </c>
      <c r="G153" s="16" t="s">
        <v>160</v>
      </c>
      <c r="H153" s="16" t="s">
        <v>180</v>
      </c>
      <c r="I153" s="17" t="str">
        <f aca="false">IF(E153&gt;=4,"Positive",IF(E153&lt;=2,"Negative","Neutral"))</f>
        <v>Positive</v>
      </c>
    </row>
    <row r="154" customFormat="false" ht="15" hidden="false" customHeight="false" outlineLevel="0" collapsed="false">
      <c r="A154" s="16" t="s">
        <v>451</v>
      </c>
      <c r="B154" s="16" t="s">
        <v>91</v>
      </c>
      <c r="C154" s="16" t="s">
        <v>167</v>
      </c>
      <c r="D154" s="22" t="n">
        <v>46114</v>
      </c>
      <c r="E154" s="16" t="n">
        <v>4</v>
      </c>
      <c r="F154" s="16" t="s">
        <v>176</v>
      </c>
      <c r="G154" s="16" t="s">
        <v>166</v>
      </c>
      <c r="H154" s="16" t="s">
        <v>173</v>
      </c>
      <c r="I154" s="17" t="str">
        <f aca="false">IF(E154&gt;=4,"Positive",IF(E154&lt;=2,"Negative","Neutral"))</f>
        <v>Positive</v>
      </c>
    </row>
    <row r="155" customFormat="false" ht="15" hidden="false" customHeight="false" outlineLevel="0" collapsed="false">
      <c r="A155" s="16" t="s">
        <v>452</v>
      </c>
      <c r="B155" s="16" t="s">
        <v>382</v>
      </c>
      <c r="C155" s="16" t="s">
        <v>167</v>
      </c>
      <c r="D155" s="22" t="n">
        <v>46113</v>
      </c>
      <c r="E155" s="16" t="n">
        <v>5</v>
      </c>
      <c r="F155" s="16" t="s">
        <v>169</v>
      </c>
      <c r="G155" s="16" t="s">
        <v>160</v>
      </c>
      <c r="H155" s="16" t="s">
        <v>170</v>
      </c>
      <c r="I155" s="17" t="str">
        <f aca="false">IF(E155&gt;=4,"Positive",IF(E155&lt;=2,"Negative","Neutral"))</f>
        <v>Positive</v>
      </c>
    </row>
    <row r="156" customFormat="false" ht="15" hidden="false" customHeight="false" outlineLevel="0" collapsed="false">
      <c r="A156" s="16" t="s">
        <v>453</v>
      </c>
      <c r="B156" s="16" t="s">
        <v>454</v>
      </c>
      <c r="C156" s="16" t="s">
        <v>165</v>
      </c>
      <c r="D156" s="22" t="n">
        <v>46209</v>
      </c>
      <c r="E156" s="16" t="n">
        <v>4</v>
      </c>
      <c r="F156" s="16" t="s">
        <v>186</v>
      </c>
      <c r="G156" s="16" t="s">
        <v>160</v>
      </c>
      <c r="H156" s="16" t="s">
        <v>170</v>
      </c>
      <c r="I156" s="17" t="str">
        <f aca="false">IF(E156&gt;=4,"Positive",IF(E156&lt;=2,"Negative","Neutral"))</f>
        <v>Positive</v>
      </c>
    </row>
    <row r="157" customFormat="false" ht="15" hidden="false" customHeight="false" outlineLevel="0" collapsed="false">
      <c r="A157" s="16" t="s">
        <v>455</v>
      </c>
      <c r="B157" s="16" t="s">
        <v>456</v>
      </c>
      <c r="C157" s="16" t="s">
        <v>177</v>
      </c>
      <c r="D157" s="22" t="n">
        <v>46099</v>
      </c>
      <c r="E157" s="16" t="n">
        <v>2</v>
      </c>
      <c r="F157" s="16" t="s">
        <v>172</v>
      </c>
      <c r="G157" s="16" t="s">
        <v>160</v>
      </c>
      <c r="H157" s="16" t="s">
        <v>173</v>
      </c>
      <c r="I157" s="17" t="str">
        <f aca="false">IF(E157&gt;=4,"Positive",IF(E157&lt;=2,"Negative","Neutral"))</f>
        <v>Negative</v>
      </c>
    </row>
    <row r="158" customFormat="false" ht="15" hidden="false" customHeight="false" outlineLevel="0" collapsed="false">
      <c r="A158" s="16" t="s">
        <v>457</v>
      </c>
      <c r="B158" s="16" t="s">
        <v>285</v>
      </c>
      <c r="C158" s="16" t="s">
        <v>165</v>
      </c>
      <c r="D158" s="22" t="n">
        <v>46030</v>
      </c>
      <c r="E158" s="16" t="n">
        <v>4</v>
      </c>
      <c r="F158" s="16" t="s">
        <v>212</v>
      </c>
      <c r="G158" s="16" t="s">
        <v>166</v>
      </c>
      <c r="H158" s="16" t="s">
        <v>195</v>
      </c>
      <c r="I158" s="17" t="str">
        <f aca="false">IF(E158&gt;=4,"Positive",IF(E158&lt;=2,"Negative","Neutral"))</f>
        <v>Positive</v>
      </c>
    </row>
    <row r="159" customFormat="false" ht="15" hidden="false" customHeight="false" outlineLevel="0" collapsed="false">
      <c r="A159" s="16" t="s">
        <v>458</v>
      </c>
      <c r="B159" s="16" t="s">
        <v>399</v>
      </c>
      <c r="C159" s="16" t="s">
        <v>177</v>
      </c>
      <c r="D159" s="22" t="n">
        <v>46072</v>
      </c>
      <c r="E159" s="16" t="n">
        <v>3</v>
      </c>
      <c r="F159" s="16" t="s">
        <v>212</v>
      </c>
      <c r="G159" s="16" t="s">
        <v>166</v>
      </c>
      <c r="H159" s="16" t="s">
        <v>195</v>
      </c>
      <c r="I159" s="17" t="str">
        <f aca="false">IF(E159&gt;=4,"Positive",IF(E159&lt;=2,"Negative","Neutral"))</f>
        <v>Neutral</v>
      </c>
    </row>
    <row r="160" customFormat="false" ht="15" hidden="false" customHeight="false" outlineLevel="0" collapsed="false">
      <c r="A160" s="16" t="s">
        <v>459</v>
      </c>
      <c r="B160" s="16" t="s">
        <v>460</v>
      </c>
      <c r="C160" s="16" t="s">
        <v>162</v>
      </c>
      <c r="D160" s="22" t="n">
        <v>46291</v>
      </c>
      <c r="E160" s="16" t="n">
        <v>3</v>
      </c>
      <c r="F160" s="16" t="s">
        <v>172</v>
      </c>
      <c r="G160" s="16" t="s">
        <v>160</v>
      </c>
      <c r="H160" s="16" t="s">
        <v>173</v>
      </c>
      <c r="I160" s="17" t="str">
        <f aca="false">IF(E160&gt;=4,"Positive",IF(E160&lt;=2,"Negative","Neutral"))</f>
        <v>Neutral</v>
      </c>
    </row>
    <row r="161" customFormat="false" ht="15" hidden="false" customHeight="false" outlineLevel="0" collapsed="false">
      <c r="A161" s="16" t="s">
        <v>461</v>
      </c>
      <c r="B161" s="16" t="s">
        <v>462</v>
      </c>
      <c r="C161" s="16" t="s">
        <v>167</v>
      </c>
      <c r="D161" s="22" t="n">
        <v>46170</v>
      </c>
      <c r="E161" s="16" t="n">
        <v>4</v>
      </c>
      <c r="F161" s="16" t="s">
        <v>290</v>
      </c>
      <c r="G161" s="16" t="s">
        <v>166</v>
      </c>
      <c r="H161" s="16" t="s">
        <v>161</v>
      </c>
      <c r="I161" s="17" t="str">
        <f aca="false">IF(E161&gt;=4,"Positive",IF(E161&lt;=2,"Negative","Neutral"))</f>
        <v>Positive</v>
      </c>
    </row>
    <row r="162" customFormat="false" ht="15" hidden="false" customHeight="false" outlineLevel="0" collapsed="false">
      <c r="A162" s="16" t="s">
        <v>463</v>
      </c>
      <c r="B162" s="16" t="s">
        <v>92</v>
      </c>
      <c r="C162" s="16" t="s">
        <v>162</v>
      </c>
      <c r="D162" s="22" t="n">
        <v>46290</v>
      </c>
      <c r="E162" s="16" t="n">
        <v>5</v>
      </c>
      <c r="F162" s="16" t="s">
        <v>197</v>
      </c>
      <c r="G162" s="16" t="s">
        <v>166</v>
      </c>
      <c r="H162" s="16" t="s">
        <v>180</v>
      </c>
      <c r="I162" s="17" t="str">
        <f aca="false">IF(E162&gt;=4,"Positive",IF(E162&lt;=2,"Negative","Neutral"))</f>
        <v>Positive</v>
      </c>
    </row>
    <row r="163" customFormat="false" ht="15" hidden="false" customHeight="false" outlineLevel="0" collapsed="false">
      <c r="A163" s="16" t="s">
        <v>464</v>
      </c>
      <c r="B163" s="16" t="s">
        <v>190</v>
      </c>
      <c r="C163" s="16" t="s">
        <v>165</v>
      </c>
      <c r="D163" s="22" t="n">
        <v>46040</v>
      </c>
      <c r="E163" s="16" t="n">
        <v>4</v>
      </c>
      <c r="F163" s="16" t="s">
        <v>225</v>
      </c>
      <c r="G163" s="16" t="s">
        <v>166</v>
      </c>
      <c r="H163" s="16" t="s">
        <v>195</v>
      </c>
      <c r="I163" s="17" t="str">
        <f aca="false">IF(E163&gt;=4,"Positive",IF(E163&lt;=2,"Negative","Neutral"))</f>
        <v>Positive</v>
      </c>
    </row>
    <row r="164" customFormat="false" ht="15" hidden="false" customHeight="false" outlineLevel="0" collapsed="false">
      <c r="A164" s="16" t="s">
        <v>465</v>
      </c>
      <c r="B164" s="16" t="s">
        <v>466</v>
      </c>
      <c r="C164" s="16" t="s">
        <v>165</v>
      </c>
      <c r="D164" s="22" t="n">
        <v>46291</v>
      </c>
      <c r="E164" s="16" t="n">
        <v>2</v>
      </c>
      <c r="F164" s="16" t="s">
        <v>200</v>
      </c>
      <c r="G164" s="16" t="s">
        <v>166</v>
      </c>
      <c r="H164" s="16" t="s">
        <v>170</v>
      </c>
      <c r="I164" s="17" t="str">
        <f aca="false">IF(E164&gt;=4,"Positive",IF(E164&lt;=2,"Negative","Neutral"))</f>
        <v>Negative</v>
      </c>
    </row>
    <row r="165" customFormat="false" ht="15" hidden="false" customHeight="false" outlineLevel="0" collapsed="false">
      <c r="A165" s="16" t="s">
        <v>467</v>
      </c>
      <c r="B165" s="16" t="s">
        <v>306</v>
      </c>
      <c r="C165" s="16" t="s">
        <v>177</v>
      </c>
      <c r="D165" s="22" t="n">
        <v>46269</v>
      </c>
      <c r="E165" s="16" t="n">
        <v>2</v>
      </c>
      <c r="F165" s="16" t="s">
        <v>267</v>
      </c>
      <c r="G165" s="16" t="s">
        <v>187</v>
      </c>
      <c r="H165" s="16" t="s">
        <v>161</v>
      </c>
      <c r="I165" s="17" t="str">
        <f aca="false">IF(E165&gt;=4,"Positive",IF(E165&lt;=2,"Negative","Neutral"))</f>
        <v>Negative</v>
      </c>
    </row>
    <row r="166" customFormat="false" ht="15" hidden="false" customHeight="false" outlineLevel="0" collapsed="false">
      <c r="A166" s="16" t="s">
        <v>468</v>
      </c>
      <c r="B166" s="16" t="s">
        <v>369</v>
      </c>
      <c r="C166" s="16" t="s">
        <v>167</v>
      </c>
      <c r="D166" s="22" t="n">
        <v>46257</v>
      </c>
      <c r="E166" s="16" t="n">
        <v>4</v>
      </c>
      <c r="F166" s="16" t="s">
        <v>159</v>
      </c>
      <c r="G166" s="16" t="s">
        <v>187</v>
      </c>
      <c r="H166" s="16" t="s">
        <v>161</v>
      </c>
      <c r="I166" s="17" t="str">
        <f aca="false">IF(E166&gt;=4,"Positive",IF(E166&lt;=2,"Negative","Neutral"))</f>
        <v>Positive</v>
      </c>
    </row>
    <row r="167" customFormat="false" ht="15" hidden="false" customHeight="false" outlineLevel="0" collapsed="false">
      <c r="A167" s="16" t="s">
        <v>469</v>
      </c>
      <c r="B167" s="16" t="s">
        <v>193</v>
      </c>
      <c r="C167" s="16" t="s">
        <v>165</v>
      </c>
      <c r="D167" s="22" t="n">
        <v>46136</v>
      </c>
      <c r="E167" s="16" t="n">
        <v>3</v>
      </c>
      <c r="F167" s="16" t="s">
        <v>194</v>
      </c>
      <c r="G167" s="16" t="s">
        <v>187</v>
      </c>
      <c r="H167" s="16" t="s">
        <v>195</v>
      </c>
      <c r="I167" s="17" t="str">
        <f aca="false">IF(E167&gt;=4,"Positive",IF(E167&lt;=2,"Negative","Neutral"))</f>
        <v>Neutral</v>
      </c>
    </row>
    <row r="168" customFormat="false" ht="15" hidden="false" customHeight="false" outlineLevel="0" collapsed="false">
      <c r="A168" s="16" t="s">
        <v>470</v>
      </c>
      <c r="B168" s="16" t="s">
        <v>67</v>
      </c>
      <c r="C168" s="16" t="s">
        <v>162</v>
      </c>
      <c r="D168" s="22" t="n">
        <v>46185</v>
      </c>
      <c r="E168" s="16" t="n">
        <v>3</v>
      </c>
      <c r="F168" s="16" t="s">
        <v>194</v>
      </c>
      <c r="G168" s="16" t="s">
        <v>187</v>
      </c>
      <c r="H168" s="16" t="s">
        <v>195</v>
      </c>
      <c r="I168" s="17" t="str">
        <f aca="false">IF(E168&gt;=4,"Positive",IF(E168&lt;=2,"Negative","Neutral"))</f>
        <v>Neutral</v>
      </c>
    </row>
    <row r="169" customFormat="false" ht="15" hidden="false" customHeight="false" outlineLevel="0" collapsed="false">
      <c r="A169" s="16" t="s">
        <v>471</v>
      </c>
      <c r="B169" s="16" t="s">
        <v>472</v>
      </c>
      <c r="C169" s="16" t="s">
        <v>177</v>
      </c>
      <c r="D169" s="22" t="n">
        <v>46128</v>
      </c>
      <c r="E169" s="16" t="n">
        <v>5</v>
      </c>
      <c r="F169" s="16" t="s">
        <v>169</v>
      </c>
      <c r="G169" s="16" t="s">
        <v>160</v>
      </c>
      <c r="H169" s="16" t="s">
        <v>170</v>
      </c>
      <c r="I169" s="17" t="str">
        <f aca="false">IF(E169&gt;=4,"Positive",IF(E169&lt;=2,"Negative","Neutral"))</f>
        <v>Positive</v>
      </c>
    </row>
    <row r="170" customFormat="false" ht="15" hidden="false" customHeight="false" outlineLevel="0" collapsed="false">
      <c r="A170" s="16" t="s">
        <v>473</v>
      </c>
      <c r="B170" s="16" t="s">
        <v>474</v>
      </c>
      <c r="C170" s="16" t="s">
        <v>158</v>
      </c>
      <c r="D170" s="22" t="n">
        <v>46018</v>
      </c>
      <c r="E170" s="16" t="n">
        <v>4</v>
      </c>
      <c r="F170" s="16" t="s">
        <v>212</v>
      </c>
      <c r="G170" s="16" t="s">
        <v>160</v>
      </c>
      <c r="H170" s="16" t="s">
        <v>195</v>
      </c>
      <c r="I170" s="17" t="str">
        <f aca="false">IF(E170&gt;=4,"Positive",IF(E170&lt;=2,"Negative","Neutral"))</f>
        <v>Positive</v>
      </c>
    </row>
    <row r="171" customFormat="false" ht="15" hidden="false" customHeight="false" outlineLevel="0" collapsed="false">
      <c r="A171" s="16" t="s">
        <v>475</v>
      </c>
      <c r="B171" s="16" t="s">
        <v>476</v>
      </c>
      <c r="C171" s="16" t="s">
        <v>165</v>
      </c>
      <c r="D171" s="22" t="n">
        <v>46066</v>
      </c>
      <c r="E171" s="16" t="n">
        <v>4</v>
      </c>
      <c r="F171" s="16" t="s">
        <v>212</v>
      </c>
      <c r="G171" s="16" t="s">
        <v>160</v>
      </c>
      <c r="H171" s="16" t="s">
        <v>195</v>
      </c>
      <c r="I171" s="17" t="str">
        <f aca="false">IF(E171&gt;=4,"Positive",IF(E171&lt;=2,"Negative","Neutral"))</f>
        <v>Positive</v>
      </c>
    </row>
    <row r="172" customFormat="false" ht="15" hidden="false" customHeight="false" outlineLevel="0" collapsed="false">
      <c r="A172" s="16" t="s">
        <v>477</v>
      </c>
      <c r="B172" s="16" t="s">
        <v>478</v>
      </c>
      <c r="C172" s="16" t="s">
        <v>165</v>
      </c>
      <c r="D172" s="22" t="n">
        <v>46256</v>
      </c>
      <c r="E172" s="16" t="n">
        <v>4</v>
      </c>
      <c r="F172" s="16" t="s">
        <v>232</v>
      </c>
      <c r="G172" s="16" t="s">
        <v>160</v>
      </c>
      <c r="H172" s="16" t="s">
        <v>173</v>
      </c>
      <c r="I172" s="17" t="str">
        <f aca="false">IF(E172&gt;=4,"Positive",IF(E172&lt;=2,"Negative","Neutral"))</f>
        <v>Positive</v>
      </c>
    </row>
    <row r="173" customFormat="false" ht="15" hidden="false" customHeight="false" outlineLevel="0" collapsed="false">
      <c r="A173" s="16" t="s">
        <v>479</v>
      </c>
      <c r="B173" s="16" t="s">
        <v>480</v>
      </c>
      <c r="C173" s="16" t="s">
        <v>177</v>
      </c>
      <c r="D173" s="22" t="n">
        <v>45993</v>
      </c>
      <c r="E173" s="16" t="n">
        <v>2</v>
      </c>
      <c r="F173" s="16" t="s">
        <v>200</v>
      </c>
      <c r="G173" s="16" t="s">
        <v>187</v>
      </c>
      <c r="H173" s="16" t="s">
        <v>170</v>
      </c>
      <c r="I173" s="17" t="str">
        <f aca="false">IF(E173&gt;=4,"Positive",IF(E173&lt;=2,"Negative","Neutral"))</f>
        <v>Negative</v>
      </c>
    </row>
    <row r="174" customFormat="false" ht="15" hidden="false" customHeight="false" outlineLevel="0" collapsed="false">
      <c r="A174" s="16" t="s">
        <v>481</v>
      </c>
      <c r="B174" s="16" t="s">
        <v>279</v>
      </c>
      <c r="C174" s="16" t="s">
        <v>158</v>
      </c>
      <c r="D174" s="22" t="n">
        <v>46002</v>
      </c>
      <c r="E174" s="16" t="n">
        <v>2</v>
      </c>
      <c r="F174" s="16" t="s">
        <v>172</v>
      </c>
      <c r="G174" s="16" t="s">
        <v>160</v>
      </c>
      <c r="H174" s="16" t="s">
        <v>173</v>
      </c>
      <c r="I174" s="17" t="str">
        <f aca="false">IF(E174&gt;=4,"Positive",IF(E174&lt;=2,"Negative","Neutral"))</f>
        <v>Negative</v>
      </c>
    </row>
    <row r="175" customFormat="false" ht="15" hidden="false" customHeight="false" outlineLevel="0" collapsed="false">
      <c r="A175" s="16" t="s">
        <v>482</v>
      </c>
      <c r="B175" s="16" t="s">
        <v>70</v>
      </c>
      <c r="C175" s="16" t="s">
        <v>165</v>
      </c>
      <c r="D175" s="22" t="n">
        <v>46190</v>
      </c>
      <c r="E175" s="16" t="n">
        <v>4</v>
      </c>
      <c r="F175" s="16" t="s">
        <v>176</v>
      </c>
      <c r="G175" s="16" t="s">
        <v>166</v>
      </c>
      <c r="H175" s="16" t="s">
        <v>173</v>
      </c>
      <c r="I175" s="17" t="str">
        <f aca="false">IF(E175&gt;=4,"Positive",IF(E175&lt;=2,"Negative","Neutral"))</f>
        <v>Positive</v>
      </c>
    </row>
    <row r="176" customFormat="false" ht="15" hidden="false" customHeight="false" outlineLevel="0" collapsed="false">
      <c r="A176" s="16" t="s">
        <v>483</v>
      </c>
      <c r="B176" s="16" t="s">
        <v>484</v>
      </c>
      <c r="C176" s="16" t="s">
        <v>165</v>
      </c>
      <c r="D176" s="22" t="n">
        <v>46044</v>
      </c>
      <c r="E176" s="16" t="n">
        <v>4</v>
      </c>
      <c r="F176" s="16" t="s">
        <v>176</v>
      </c>
      <c r="G176" s="16" t="s">
        <v>166</v>
      </c>
      <c r="H176" s="16" t="s">
        <v>173</v>
      </c>
      <c r="I176" s="17" t="str">
        <f aca="false">IF(E176&gt;=4,"Positive",IF(E176&lt;=2,"Negative","Neutral"))</f>
        <v>Positive</v>
      </c>
    </row>
    <row r="177" customFormat="false" ht="15" hidden="false" customHeight="false" outlineLevel="0" collapsed="false">
      <c r="A177" s="16" t="s">
        <v>485</v>
      </c>
      <c r="B177" s="16" t="s">
        <v>486</v>
      </c>
      <c r="C177" s="16" t="s">
        <v>162</v>
      </c>
      <c r="D177" s="22" t="n">
        <v>46106</v>
      </c>
      <c r="E177" s="16" t="n">
        <v>2</v>
      </c>
      <c r="F177" s="16" t="s">
        <v>179</v>
      </c>
      <c r="G177" s="16" t="s">
        <v>187</v>
      </c>
      <c r="H177" s="16" t="s">
        <v>180</v>
      </c>
      <c r="I177" s="17" t="str">
        <f aca="false">IF(E177&gt;=4,"Positive",IF(E177&lt;=2,"Negative","Neutral"))</f>
        <v>Negative</v>
      </c>
    </row>
    <row r="178" customFormat="false" ht="15" hidden="false" customHeight="false" outlineLevel="0" collapsed="false">
      <c r="A178" s="16" t="s">
        <v>487</v>
      </c>
      <c r="B178" s="16" t="s">
        <v>488</v>
      </c>
      <c r="C178" s="16" t="s">
        <v>165</v>
      </c>
      <c r="D178" s="22" t="n">
        <v>46134</v>
      </c>
      <c r="E178" s="16" t="n">
        <v>2</v>
      </c>
      <c r="F178" s="16" t="s">
        <v>194</v>
      </c>
      <c r="G178" s="16" t="s">
        <v>166</v>
      </c>
      <c r="H178" s="16" t="s">
        <v>195</v>
      </c>
      <c r="I178" s="17" t="str">
        <f aca="false">IF(E178&gt;=4,"Positive",IF(E178&lt;=2,"Negative","Neutral"))</f>
        <v>Negative</v>
      </c>
    </row>
    <row r="179" customFormat="false" ht="15" hidden="false" customHeight="false" outlineLevel="0" collapsed="false">
      <c r="A179" s="16" t="s">
        <v>489</v>
      </c>
      <c r="B179" s="16" t="s">
        <v>490</v>
      </c>
      <c r="C179" s="16" t="s">
        <v>167</v>
      </c>
      <c r="D179" s="22" t="n">
        <v>46209</v>
      </c>
      <c r="E179" s="16" t="n">
        <v>4</v>
      </c>
      <c r="F179" s="16" t="s">
        <v>169</v>
      </c>
      <c r="G179" s="16" t="s">
        <v>160</v>
      </c>
      <c r="H179" s="16" t="s">
        <v>170</v>
      </c>
      <c r="I179" s="17" t="str">
        <f aca="false">IF(E179&gt;=4,"Positive",IF(E179&lt;=2,"Negative","Neutral"))</f>
        <v>Positive</v>
      </c>
    </row>
    <row r="180" customFormat="false" ht="15" hidden="false" customHeight="false" outlineLevel="0" collapsed="false">
      <c r="A180" s="16" t="s">
        <v>491</v>
      </c>
      <c r="B180" s="16" t="s">
        <v>450</v>
      </c>
      <c r="C180" s="16" t="s">
        <v>165</v>
      </c>
      <c r="D180" s="22" t="n">
        <v>46035</v>
      </c>
      <c r="E180" s="16" t="n">
        <v>2</v>
      </c>
      <c r="F180" s="16" t="s">
        <v>179</v>
      </c>
      <c r="G180" s="16" t="s">
        <v>160</v>
      </c>
      <c r="H180" s="16" t="s">
        <v>180</v>
      </c>
      <c r="I180" s="17" t="str">
        <f aca="false">IF(E180&gt;=4,"Positive",IF(E180&lt;=2,"Negative","Neutral"))</f>
        <v>Negative</v>
      </c>
    </row>
    <row r="181" customFormat="false" ht="15" hidden="false" customHeight="false" outlineLevel="0" collapsed="false">
      <c r="A181" s="16" t="s">
        <v>492</v>
      </c>
      <c r="B181" s="16" t="s">
        <v>493</v>
      </c>
      <c r="C181" s="16" t="s">
        <v>158</v>
      </c>
      <c r="D181" s="22" t="n">
        <v>46205</v>
      </c>
      <c r="E181" s="16" t="n">
        <v>4</v>
      </c>
      <c r="F181" s="16" t="s">
        <v>225</v>
      </c>
      <c r="G181" s="16" t="s">
        <v>187</v>
      </c>
      <c r="H181" s="16" t="s">
        <v>195</v>
      </c>
      <c r="I181" s="17" t="str">
        <f aca="false">IF(E181&gt;=4,"Positive",IF(E181&lt;=2,"Negative","Neutral"))</f>
        <v>Positive</v>
      </c>
    </row>
    <row r="182" customFormat="false" ht="15" hidden="false" customHeight="false" outlineLevel="0" collapsed="false">
      <c r="A182" s="16" t="s">
        <v>494</v>
      </c>
      <c r="B182" s="16" t="s">
        <v>480</v>
      </c>
      <c r="C182" s="16" t="s">
        <v>162</v>
      </c>
      <c r="D182" s="22" t="n">
        <v>46155</v>
      </c>
      <c r="E182" s="16" t="n">
        <v>2</v>
      </c>
      <c r="F182" s="16" t="s">
        <v>172</v>
      </c>
      <c r="G182" s="16" t="s">
        <v>187</v>
      </c>
      <c r="H182" s="16" t="s">
        <v>173</v>
      </c>
      <c r="I182" s="17" t="str">
        <f aca="false">IF(E182&gt;=4,"Positive",IF(E182&lt;=2,"Negative","Neutral"))</f>
        <v>Negative</v>
      </c>
    </row>
    <row r="183" customFormat="false" ht="15" hidden="false" customHeight="false" outlineLevel="0" collapsed="false">
      <c r="A183" s="16" t="s">
        <v>495</v>
      </c>
      <c r="B183" s="16" t="s">
        <v>496</v>
      </c>
      <c r="C183" s="16" t="s">
        <v>165</v>
      </c>
      <c r="D183" s="22" t="n">
        <v>45996</v>
      </c>
      <c r="E183" s="16" t="n">
        <v>5</v>
      </c>
      <c r="F183" s="16" t="s">
        <v>197</v>
      </c>
      <c r="G183" s="16" t="s">
        <v>166</v>
      </c>
      <c r="H183" s="16" t="s">
        <v>180</v>
      </c>
      <c r="I183" s="17" t="str">
        <f aca="false">IF(E183&gt;=4,"Positive",IF(E183&lt;=2,"Negative","Neutral"))</f>
        <v>Positive</v>
      </c>
    </row>
    <row r="184" customFormat="false" ht="15" hidden="false" customHeight="false" outlineLevel="0" collapsed="false">
      <c r="A184" s="16" t="s">
        <v>497</v>
      </c>
      <c r="B184" s="16" t="s">
        <v>199</v>
      </c>
      <c r="C184" s="16" t="s">
        <v>165</v>
      </c>
      <c r="D184" s="22" t="n">
        <v>46219</v>
      </c>
      <c r="E184" s="16" t="n">
        <v>5</v>
      </c>
      <c r="F184" s="16" t="s">
        <v>212</v>
      </c>
      <c r="G184" s="16" t="s">
        <v>166</v>
      </c>
      <c r="H184" s="16" t="s">
        <v>195</v>
      </c>
      <c r="I184" s="17" t="str">
        <f aca="false">IF(E184&gt;=4,"Positive",IF(E184&lt;=2,"Negative","Neutral"))</f>
        <v>Positive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1" t="s">
        <v>498</v>
      </c>
    </row>
    <row r="2" customFormat="false" ht="15" hidden="false" customHeight="false" outlineLevel="0" collapsed="false">
      <c r="A2" s="2" t="s">
        <v>499</v>
      </c>
    </row>
    <row r="4" customFormat="false" ht="43.5" hidden="false" customHeight="true" outlineLevel="0" collapsed="false">
      <c r="A4" s="5" t="s">
        <v>500</v>
      </c>
      <c r="B4" s="5" t="s">
        <v>38</v>
      </c>
      <c r="C4" s="5" t="s">
        <v>501</v>
      </c>
      <c r="D4" s="5" t="s">
        <v>502</v>
      </c>
      <c r="E4" s="5" t="s">
        <v>503</v>
      </c>
      <c r="F4" s="5" t="s">
        <v>504</v>
      </c>
      <c r="G4" s="5" t="s">
        <v>505</v>
      </c>
      <c r="H4" s="5" t="s">
        <v>506</v>
      </c>
      <c r="I4" s="5" t="s">
        <v>507</v>
      </c>
      <c r="J4" s="5" t="s">
        <v>508</v>
      </c>
    </row>
    <row r="5" customFormat="false" ht="15" hidden="false" customHeight="false" outlineLevel="0" collapsed="false">
      <c r="A5" s="16" t="s">
        <v>509</v>
      </c>
      <c r="B5" s="16" t="s">
        <v>43</v>
      </c>
      <c r="C5" s="22" t="n">
        <v>46226</v>
      </c>
      <c r="D5" s="16" t="n">
        <v>120</v>
      </c>
      <c r="E5" s="16" t="n">
        <v>64</v>
      </c>
      <c r="F5" s="16" t="n">
        <v>47</v>
      </c>
      <c r="G5" s="16" t="n">
        <v>6</v>
      </c>
      <c r="H5" s="11" t="n">
        <f aca="false">IF(D5=0,"",E5/D5)</f>
        <v>0.533333333333333</v>
      </c>
      <c r="I5" s="11" t="n">
        <f aca="false">IF(E5=0,"",F5/E5)</f>
        <v>0.734375</v>
      </c>
      <c r="J5" s="8" t="n">
        <f aca="false">IF(F5=0,"",G5/F5*10)</f>
        <v>1.27659574468085</v>
      </c>
    </row>
    <row r="6" customFormat="false" ht="15" hidden="false" customHeight="false" outlineLevel="0" collapsed="false">
      <c r="A6" s="16" t="s">
        <v>510</v>
      </c>
      <c r="B6" s="16" t="s">
        <v>511</v>
      </c>
      <c r="C6" s="22" t="n">
        <v>46240</v>
      </c>
      <c r="D6" s="16" t="n">
        <v>260</v>
      </c>
      <c r="E6" s="16" t="n">
        <v>148</v>
      </c>
      <c r="F6" s="16" t="n">
        <v>109</v>
      </c>
      <c r="G6" s="16" t="n">
        <v>11</v>
      </c>
      <c r="H6" s="11" t="n">
        <f aca="false">IF(D6=0,"",E6/D6)</f>
        <v>0.569230769230769</v>
      </c>
      <c r="I6" s="11" t="n">
        <f aca="false">IF(E6=0,"",F6/E6)</f>
        <v>0.736486486486487</v>
      </c>
      <c r="J6" s="8" t="n">
        <f aca="false">IF(F6=0,"",G6/F6*10)</f>
        <v>1.00917431192661</v>
      </c>
    </row>
    <row r="7" customFormat="false" ht="15" hidden="false" customHeight="false" outlineLevel="0" collapsed="false">
      <c r="A7" s="16" t="s">
        <v>512</v>
      </c>
      <c r="B7" s="16" t="s">
        <v>42</v>
      </c>
      <c r="C7" s="22" t="n">
        <v>46275</v>
      </c>
      <c r="D7" s="16" t="n">
        <v>90</v>
      </c>
      <c r="E7" s="16" t="n">
        <v>51</v>
      </c>
      <c r="F7" s="16" t="n">
        <v>38</v>
      </c>
      <c r="G7" s="16" t="n">
        <v>4</v>
      </c>
      <c r="H7" s="11" t="n">
        <f aca="false">IF(D7=0,"",E7/D7)</f>
        <v>0.566666666666667</v>
      </c>
      <c r="I7" s="11" t="n">
        <f aca="false">IF(E7=0,"",F7/E7)</f>
        <v>0.745098039215686</v>
      </c>
      <c r="J7" s="8" t="n">
        <f aca="false">IF(F7=0,"",G7/F7*10)</f>
        <v>1.05263157894737</v>
      </c>
    </row>
    <row r="8" customFormat="false" ht="15" hidden="false" customHeight="false" outlineLevel="0" collapsed="false">
      <c r="A8" s="16" t="s">
        <v>513</v>
      </c>
      <c r="B8" s="16" t="s">
        <v>45</v>
      </c>
      <c r="C8" s="22" t="n">
        <v>46289</v>
      </c>
      <c r="D8" s="16" t="n">
        <v>80</v>
      </c>
      <c r="E8" s="16" t="n">
        <v>42</v>
      </c>
      <c r="F8" s="16" t="n">
        <v>33</v>
      </c>
      <c r="G8" s="16" t="n">
        <v>3</v>
      </c>
      <c r="H8" s="11" t="n">
        <f aca="false">IF(D8=0,"",E8/D8)</f>
        <v>0.525</v>
      </c>
      <c r="I8" s="11" t="n">
        <f aca="false">IF(E8=0,"",F8/E8)</f>
        <v>0.785714285714286</v>
      </c>
      <c r="J8" s="8" t="n">
        <f aca="false">IF(F8=0,"",G8/F8*10)</f>
        <v>0.909090909090909</v>
      </c>
    </row>
    <row r="9" customFormat="false" ht="15" hidden="false" customHeight="false" outlineLevel="0" collapsed="false">
      <c r="A9" s="16" t="s">
        <v>514</v>
      </c>
      <c r="B9" s="16" t="s">
        <v>44</v>
      </c>
      <c r="C9" s="22" t="n">
        <v>46303</v>
      </c>
      <c r="D9" s="16" t="n">
        <v>40</v>
      </c>
      <c r="E9" s="16" t="n">
        <v>27</v>
      </c>
      <c r="F9" s="16" t="n">
        <v>22</v>
      </c>
      <c r="G9" s="16" t="n">
        <v>3</v>
      </c>
      <c r="H9" s="11" t="n">
        <f aca="false">IF(D9=0,"",E9/D9)</f>
        <v>0.675</v>
      </c>
      <c r="I9" s="11" t="n">
        <f aca="false">IF(E9=0,"",F9/E9)</f>
        <v>0.814814814814815</v>
      </c>
      <c r="J9" s="8" t="n">
        <f aca="false">IF(F9=0,"",G9/F9*10)</f>
        <v>1.36363636363636</v>
      </c>
    </row>
    <row r="10" customFormat="false" ht="15" hidden="false" customHeight="false" outlineLevel="0" collapsed="false">
      <c r="A10" s="16" t="s">
        <v>515</v>
      </c>
      <c r="B10" s="16" t="s">
        <v>511</v>
      </c>
      <c r="C10" s="22" t="n">
        <v>46345</v>
      </c>
      <c r="D10" s="16" t="n">
        <v>400</v>
      </c>
      <c r="E10" s="16" t="n">
        <v>0</v>
      </c>
      <c r="F10" s="16" t="n">
        <v>0</v>
      </c>
      <c r="G10" s="16" t="n">
        <v>0</v>
      </c>
      <c r="H10" s="11" t="n">
        <f aca="false">IF(D10=0,"",E10/D10)</f>
        <v>0</v>
      </c>
      <c r="I10" s="11" t="str">
        <f aca="false">IF(E10=0,"",F10/E10)</f>
        <v/>
      </c>
      <c r="J10" s="8" t="str">
        <f aca="false">IF(F10=0,"",G10/F10*10)</f>
        <v/>
      </c>
    </row>
    <row r="11" customFormat="false" ht="15" hidden="false" customHeight="false" outlineLevel="0" collapsed="false">
      <c r="A11" s="3" t="s">
        <v>516</v>
      </c>
      <c r="D11" s="12" t="n">
        <f aca="false">SUM(D5:D9)</f>
        <v>590</v>
      </c>
      <c r="E11" s="12" t="n">
        <f aca="false">SUM(E5:E9)</f>
        <v>332</v>
      </c>
      <c r="F11" s="12" t="n">
        <f aca="false">SUM(F5:F9)</f>
        <v>249</v>
      </c>
      <c r="G11" s="12" t="n">
        <f aca="false">SUM(G5:G9)</f>
        <v>27</v>
      </c>
      <c r="H11" s="15" t="n">
        <f aca="false">E11/D11</f>
        <v>0.56271186440678</v>
      </c>
      <c r="I11" s="15" t="n">
        <f aca="false">F11/E11</f>
        <v>0.75</v>
      </c>
      <c r="J11" s="13" t="n">
        <f aca="false">G11/F11*10</f>
        <v>1.08433734939759</v>
      </c>
    </row>
    <row r="13" customFormat="false" ht="15" hidden="false" customHeight="false" outlineLevel="0" collapsed="false">
      <c r="A13" s="2" t="s">
        <v>517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D4"/>
    <pageSetUpPr fitToPage="false"/>
  </sheetPr>
  <dimension ref="A1:B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0"/>
  </cols>
  <sheetData>
    <row r="1" customFormat="false" ht="17.35" hidden="false" customHeight="false" outlineLevel="0" collapsed="false">
      <c r="A1" s="1" t="s">
        <v>6</v>
      </c>
    </row>
    <row r="2" customFormat="false" ht="15" hidden="false" customHeight="false" outlineLevel="0" collapsed="false">
      <c r="A2" s="2" t="s">
        <v>518</v>
      </c>
    </row>
    <row r="4" customFormat="false" ht="15" hidden="false" customHeight="false" outlineLevel="0" collapsed="false">
      <c r="A4" s="17" t="s">
        <v>519</v>
      </c>
      <c r="B4" s="22" t="n">
        <v>46314</v>
      </c>
    </row>
    <row r="5" customFormat="false" ht="15" hidden="false" customHeight="false" outlineLevel="0" collapsed="false">
      <c r="A5" s="17" t="s">
        <v>520</v>
      </c>
      <c r="B5" s="25" t="n">
        <v>60</v>
      </c>
    </row>
    <row r="6" customFormat="false" ht="15" hidden="false" customHeight="false" outlineLevel="0" collapsed="false">
      <c r="A6" s="17" t="s">
        <v>521</v>
      </c>
      <c r="B6" s="22" t="n">
        <v>46204</v>
      </c>
    </row>
    <row r="7" customFormat="false" ht="15" hidden="false" customHeight="false" outlineLevel="0" collapsed="false">
      <c r="A7" s="17" t="s">
        <v>522</v>
      </c>
      <c r="B7" s="22" t="n">
        <v>46568</v>
      </c>
    </row>
    <row r="8" customFormat="false" ht="15" hidden="false" customHeight="false" outlineLevel="0" collapsed="false">
      <c r="A8" s="17" t="s">
        <v>523</v>
      </c>
      <c r="B8" s="25" t="n">
        <v>365</v>
      </c>
    </row>
    <row r="10" customFormat="false" ht="39.75" hidden="false" customHeight="true" outlineLevel="0" collapsed="false">
      <c r="A10" s="5" t="s">
        <v>524</v>
      </c>
      <c r="B10" s="5" t="s">
        <v>525</v>
      </c>
    </row>
    <row r="11" customFormat="false" ht="15" hidden="false" customHeight="false" outlineLevel="0" collapsed="false">
      <c r="A11" s="17" t="s">
        <v>526</v>
      </c>
      <c r="B11" s="25" t="n">
        <v>10</v>
      </c>
    </row>
    <row r="12" customFormat="false" ht="15" hidden="false" customHeight="false" outlineLevel="0" collapsed="false">
      <c r="A12" s="17" t="s">
        <v>527</v>
      </c>
      <c r="B12" s="25" t="n">
        <v>25</v>
      </c>
    </row>
    <row r="13" customFormat="false" ht="15" hidden="false" customHeight="false" outlineLevel="0" collapsed="false">
      <c r="A13" s="17" t="s">
        <v>528</v>
      </c>
      <c r="B13" s="25" t="n">
        <v>50</v>
      </c>
    </row>
    <row r="14" customFormat="false" ht="15" hidden="false" customHeight="false" outlineLevel="0" collapsed="false">
      <c r="A14" s="17" t="s">
        <v>529</v>
      </c>
      <c r="B14" s="25" t="n">
        <v>75</v>
      </c>
    </row>
    <row r="15" customFormat="false" ht="15" hidden="false" customHeight="false" outlineLevel="0" collapsed="false">
      <c r="A15" s="17" t="s">
        <v>530</v>
      </c>
      <c r="B15" s="25" t="n">
        <v>100</v>
      </c>
    </row>
    <row r="16" customFormat="false" ht="15" hidden="false" customHeight="false" outlineLevel="0" collapsed="false">
      <c r="A16" s="17" t="s">
        <v>531</v>
      </c>
      <c r="B16" s="25" t="n">
        <v>0</v>
      </c>
    </row>
    <row r="19" customFormat="false" ht="39.75" hidden="false" customHeight="true" outlineLevel="0" collapsed="false">
      <c r="A19" s="5" t="s">
        <v>20</v>
      </c>
      <c r="B19" s="5" t="s">
        <v>532</v>
      </c>
    </row>
    <row r="20" customFormat="false" ht="15" hidden="false" customHeight="false" outlineLevel="0" collapsed="false">
      <c r="A20" s="17" t="s">
        <v>162</v>
      </c>
      <c r="B20" s="26" t="n">
        <v>1100</v>
      </c>
    </row>
    <row r="21" customFormat="false" ht="15" hidden="false" customHeight="false" outlineLevel="0" collapsed="false">
      <c r="A21" s="17" t="s">
        <v>167</v>
      </c>
      <c r="B21" s="26" t="n">
        <v>1500</v>
      </c>
    </row>
    <row r="22" customFormat="false" ht="15" hidden="false" customHeight="false" outlineLevel="0" collapsed="false">
      <c r="A22" s="17" t="s">
        <v>158</v>
      </c>
      <c r="B22" s="26" t="n">
        <v>900</v>
      </c>
    </row>
    <row r="23" customFormat="false" ht="15" hidden="false" customHeight="false" outlineLevel="0" collapsed="false">
      <c r="A23" s="17" t="s">
        <v>165</v>
      </c>
      <c r="B23" s="26" t="n">
        <v>1900</v>
      </c>
    </row>
    <row r="24" customFormat="false" ht="15" hidden="false" customHeight="false" outlineLevel="0" collapsed="false">
      <c r="A24" s="17" t="s">
        <v>177</v>
      </c>
      <c r="B24" s="26" t="n">
        <v>600</v>
      </c>
    </row>
    <row r="26" customFormat="false" ht="15" hidden="false" customHeight="false" outlineLevel="0" collapsed="false">
      <c r="A26" s="2" t="s">
        <v>533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D4"/>
    <pageSetUpPr fitToPage="false"/>
  </sheetPr>
  <dimension ref="A1:AH9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6" min="5" style="0" width="13"/>
    <col collapsed="false" customWidth="true" hidden="false" outlineLevel="0" max="7" min="7" style="0" width="10"/>
    <col collapsed="false" customWidth="true" hidden="false" outlineLevel="0" max="10" min="8" style="0" width="11"/>
    <col collapsed="false" customWidth="true" hidden="false" outlineLevel="0" max="11" min="11" style="0" width="9"/>
    <col collapsed="false" customWidth="true" hidden="false" outlineLevel="0" max="14" min="12" style="0" width="18"/>
    <col collapsed="false" customWidth="true" hidden="false" outlineLevel="0" max="15" min="15" style="0" width="11"/>
    <col collapsed="false" customWidth="true" hidden="false" outlineLevel="0" max="16" min="16" style="0" width="28"/>
    <col collapsed="false" customWidth="true" hidden="false" outlineLevel="0" max="34" min="17" style="0" width="11"/>
  </cols>
  <sheetData>
    <row r="1" customFormat="false" ht="17.35" hidden="false" customHeight="false" outlineLevel="0" collapsed="false">
      <c r="A1" s="1" t="s">
        <v>534</v>
      </c>
    </row>
    <row r="2" customFormat="false" ht="15" hidden="false" customHeight="false" outlineLevel="0" collapsed="false">
      <c r="A2" s="2" t="s">
        <v>535</v>
      </c>
    </row>
    <row r="4" customFormat="false" ht="54" hidden="false" customHeight="true" outlineLevel="0" collapsed="false">
      <c r="A4" s="5" t="s">
        <v>536</v>
      </c>
      <c r="B4" s="5" t="s">
        <v>51</v>
      </c>
      <c r="C4" s="5" t="s">
        <v>537</v>
      </c>
      <c r="D4" s="5" t="s">
        <v>20</v>
      </c>
      <c r="E4" s="5" t="s">
        <v>524</v>
      </c>
      <c r="F4" s="5" t="s">
        <v>538</v>
      </c>
      <c r="G4" s="5" t="s">
        <v>539</v>
      </c>
      <c r="H4" s="5" t="s">
        <v>540</v>
      </c>
      <c r="I4" s="5" t="s">
        <v>541</v>
      </c>
      <c r="J4" s="5" t="s">
        <v>542</v>
      </c>
      <c r="K4" s="5" t="s">
        <v>135</v>
      </c>
      <c r="L4" s="5" t="s">
        <v>543</v>
      </c>
      <c r="M4" s="5" t="s">
        <v>544</v>
      </c>
      <c r="N4" s="5" t="s">
        <v>545</v>
      </c>
      <c r="O4" s="5" t="s">
        <v>546</v>
      </c>
      <c r="P4" s="5" t="s">
        <v>38</v>
      </c>
      <c r="Q4" s="5" t="s">
        <v>547</v>
      </c>
      <c r="R4" s="5" t="s">
        <v>548</v>
      </c>
      <c r="S4" s="5" t="s">
        <v>549</v>
      </c>
      <c r="T4" s="5" t="s">
        <v>550</v>
      </c>
      <c r="U4" s="5" t="s">
        <v>551</v>
      </c>
      <c r="V4" s="5" t="s">
        <v>552</v>
      </c>
      <c r="W4" s="5" t="s">
        <v>553</v>
      </c>
      <c r="X4" s="5" t="s">
        <v>554</v>
      </c>
      <c r="Y4" s="5" t="s">
        <v>555</v>
      </c>
      <c r="Z4" s="5" t="s">
        <v>556</v>
      </c>
      <c r="AA4" s="5" t="s">
        <v>557</v>
      </c>
      <c r="AB4" s="5" t="s">
        <v>558</v>
      </c>
      <c r="AC4" s="5" t="s">
        <v>559</v>
      </c>
      <c r="AD4" s="5" t="s">
        <v>560</v>
      </c>
      <c r="AE4" s="5" t="s">
        <v>561</v>
      </c>
      <c r="AF4" s="5" t="s">
        <v>562</v>
      </c>
      <c r="AG4" s="5" t="s">
        <v>563</v>
      </c>
      <c r="AH4" s="5" t="s">
        <v>564</v>
      </c>
    </row>
    <row r="5" customFormat="false" ht="15" hidden="false" customHeight="false" outlineLevel="0" collapsed="false">
      <c r="A5" s="16" t="s">
        <v>565</v>
      </c>
      <c r="B5" s="16" t="s">
        <v>58</v>
      </c>
      <c r="C5" s="16" t="s">
        <v>566</v>
      </c>
      <c r="D5" s="16" t="s">
        <v>162</v>
      </c>
      <c r="E5" s="16" t="s">
        <v>527</v>
      </c>
      <c r="F5" s="26" t="n">
        <v>5676000</v>
      </c>
      <c r="G5" s="25" t="n">
        <v>25</v>
      </c>
      <c r="H5" s="22" t="n">
        <v>46199</v>
      </c>
      <c r="I5" s="22" t="n">
        <v>46522</v>
      </c>
      <c r="J5" s="22" t="n">
        <v>46293</v>
      </c>
      <c r="K5" s="16" t="s">
        <v>567</v>
      </c>
      <c r="L5" s="16" t="s">
        <v>568</v>
      </c>
      <c r="M5" s="16" t="s">
        <v>569</v>
      </c>
      <c r="N5" s="16"/>
      <c r="O5" s="7" t="n">
        <f aca="false">IF(OR(E5="Closed Won",E5="Closed Lost"),0,1)</f>
        <v>1</v>
      </c>
      <c r="P5" s="17" t="str">
        <f aca="false">INDEX(Accounts!$K$5:$K$336,MATCH(B5,Accounts!$A$5:$A$336,0))</f>
        <v>Financial Services</v>
      </c>
      <c r="Q5" s="17" t="str">
        <f aca="false">INDEX(Accounts!$D$5:$D$336,MATCH(B5,Accounts!$A$5:$A$336,0))</f>
        <v>Priority</v>
      </c>
      <c r="R5" s="7" t="n">
        <f aca="false">INDEX(Inputs!$B$11:$B$16,MATCH(E5,Inputs!$A$11:$A$16,0))</f>
        <v>25</v>
      </c>
      <c r="S5" s="27" t="n">
        <f aca="false">IF(F5="",0,F5)*R5/100</f>
        <v>1419000</v>
      </c>
      <c r="T5" s="7" t="n">
        <f aca="false">Inputs!$B$4-J5</f>
        <v>21</v>
      </c>
      <c r="U5" s="7" t="n">
        <f aca="false">IF(OR(F5="",F5=0),1,0)</f>
        <v>0</v>
      </c>
      <c r="V5" s="7" t="n">
        <f aca="false">IF(K5="",1,0)</f>
        <v>0</v>
      </c>
      <c r="W5" s="7" t="n">
        <f aca="false">IF(AND(O5=1,K5&lt;&gt;"",COUNTIFS(Owners!$A$5:$A$32,K5,Owners!$E$5:$E$32,"No")&gt;0),1,0)</f>
        <v>0</v>
      </c>
      <c r="X5" s="7" t="n">
        <f aca="false">IF(AND(O5=1,I5&lt;Inputs!$B$4),1,0)</f>
        <v>0</v>
      </c>
      <c r="Y5" s="7" t="n">
        <f aca="false">IF(AND(O5=1,T5&gt;Inputs!$B$5),1,0)</f>
        <v>0</v>
      </c>
      <c r="Z5" s="7" t="n">
        <f aca="false">IF(AND(O5=1,G5&lt;&gt;R5),1,0)</f>
        <v>0</v>
      </c>
      <c r="AA5" s="7" t="n">
        <f aca="false">IF(AND(O5=1,M5=""),1,0)</f>
        <v>0</v>
      </c>
      <c r="AB5" s="7" t="n">
        <f aca="false">IF(AND(E5="Closed Lost",N5=""),1,0)</f>
        <v>0</v>
      </c>
      <c r="AC5" s="7" t="n">
        <f aca="false">SUM(U5:AB5)</f>
        <v>0</v>
      </c>
      <c r="AD5" s="7" t="n">
        <f aca="false">IF(AC5=0,1,0)</f>
        <v>1</v>
      </c>
      <c r="AE5" s="7" t="n">
        <f aca="false">IF(AND(O5=1,I5&gt;=Inputs!$B$6,I5&lt;=Inputs!$B$7),1,0)</f>
        <v>1</v>
      </c>
      <c r="AF5" s="7" t="n">
        <f aca="false">IF(AND(E5="Closed Won",I5&gt;=Inputs!$B$6,I5&lt;=Inputs!$B$4),1,0)</f>
        <v>0</v>
      </c>
      <c r="AG5" s="7" t="n">
        <f aca="false">IF(AND(O5=0,I5&gt;Inputs!$B$4-Inputs!$B$8,I5&lt;=Inputs!$B$4),1,0)</f>
        <v>0</v>
      </c>
      <c r="AH5" s="7" t="n">
        <f aca="false">I5-H5</f>
        <v>323</v>
      </c>
    </row>
    <row r="6" customFormat="false" ht="15" hidden="false" customHeight="false" outlineLevel="0" collapsed="false">
      <c r="A6" s="16" t="s">
        <v>570</v>
      </c>
      <c r="B6" s="16" t="s">
        <v>571</v>
      </c>
      <c r="C6" s="16" t="s">
        <v>572</v>
      </c>
      <c r="D6" s="16" t="s">
        <v>162</v>
      </c>
      <c r="E6" s="16" t="s">
        <v>527</v>
      </c>
      <c r="F6" s="26" t="n">
        <v>12441000</v>
      </c>
      <c r="G6" s="25" t="n">
        <v>25</v>
      </c>
      <c r="H6" s="22" t="n">
        <v>46179</v>
      </c>
      <c r="I6" s="22" t="n">
        <v>46557</v>
      </c>
      <c r="J6" s="22" t="n">
        <v>46298</v>
      </c>
      <c r="K6" s="16" t="s">
        <v>573</v>
      </c>
      <c r="L6" s="16" t="s">
        <v>574</v>
      </c>
      <c r="M6" s="16" t="s">
        <v>575</v>
      </c>
      <c r="N6" s="16"/>
      <c r="O6" s="7" t="n">
        <f aca="false">IF(OR(E6="Closed Won",E6="Closed Lost"),0,1)</f>
        <v>1</v>
      </c>
      <c r="P6" s="17" t="str">
        <f aca="false">INDEX(Accounts!$K$5:$K$336,MATCH(B6,Accounts!$A$5:$A$336,0))</f>
        <v>Financial Services</v>
      </c>
      <c r="Q6" s="17" t="str">
        <f aca="false">INDEX(Accounts!$D$5:$D$336,MATCH(B6,Accounts!$A$5:$A$336,0))</f>
        <v>Key</v>
      </c>
      <c r="R6" s="7" t="n">
        <f aca="false">INDEX(Inputs!$B$11:$B$16,MATCH(E6,Inputs!$A$11:$A$16,0))</f>
        <v>25</v>
      </c>
      <c r="S6" s="27" t="n">
        <f aca="false">IF(F6="",0,F6)*R6/100</f>
        <v>3110250</v>
      </c>
      <c r="T6" s="7" t="n">
        <f aca="false">Inputs!$B$4-J6</f>
        <v>16</v>
      </c>
      <c r="U6" s="7" t="n">
        <f aca="false">IF(OR(F6="",F6=0),1,0)</f>
        <v>0</v>
      </c>
      <c r="V6" s="7" t="n">
        <f aca="false">IF(K6="",1,0)</f>
        <v>0</v>
      </c>
      <c r="W6" s="7" t="n">
        <f aca="false">IF(AND(O6=1,K6&lt;&gt;"",COUNTIFS(Owners!$A$5:$A$32,K6,Owners!$E$5:$E$32,"No")&gt;0),1,0)</f>
        <v>0</v>
      </c>
      <c r="X6" s="7" t="n">
        <f aca="false">IF(AND(O6=1,I6&lt;Inputs!$B$4),1,0)</f>
        <v>0</v>
      </c>
      <c r="Y6" s="7" t="n">
        <f aca="false">IF(AND(O6=1,T6&gt;Inputs!$B$5),1,0)</f>
        <v>0</v>
      </c>
      <c r="Z6" s="7" t="n">
        <f aca="false">IF(AND(O6=1,G6&lt;&gt;R6),1,0)</f>
        <v>0</v>
      </c>
      <c r="AA6" s="7" t="n">
        <f aca="false">IF(AND(O6=1,M6=""),1,0)</f>
        <v>0</v>
      </c>
      <c r="AB6" s="7" t="n">
        <f aca="false">IF(AND(E6="Closed Lost",N6=""),1,0)</f>
        <v>0</v>
      </c>
      <c r="AC6" s="7" t="n">
        <f aca="false">SUM(U6:AB6)</f>
        <v>0</v>
      </c>
      <c r="AD6" s="7" t="n">
        <f aca="false">IF(AC6=0,1,0)</f>
        <v>1</v>
      </c>
      <c r="AE6" s="7" t="n">
        <f aca="false">IF(AND(O6=1,I6&gt;=Inputs!$B$6,I6&lt;=Inputs!$B$7),1,0)</f>
        <v>1</v>
      </c>
      <c r="AF6" s="7" t="n">
        <f aca="false">IF(AND(E6="Closed Won",I6&gt;=Inputs!$B$6,I6&lt;=Inputs!$B$4),1,0)</f>
        <v>0</v>
      </c>
      <c r="AG6" s="7" t="n">
        <f aca="false">IF(AND(O6=0,I6&gt;Inputs!$B$4-Inputs!$B$8,I6&lt;=Inputs!$B$4),1,0)</f>
        <v>0</v>
      </c>
      <c r="AH6" s="7" t="n">
        <f aca="false">I6-H6</f>
        <v>378</v>
      </c>
    </row>
    <row r="7" customFormat="false" ht="15" hidden="false" customHeight="false" outlineLevel="0" collapsed="false">
      <c r="A7" s="16" t="s">
        <v>576</v>
      </c>
      <c r="B7" s="16" t="s">
        <v>95</v>
      </c>
      <c r="C7" s="16" t="s">
        <v>577</v>
      </c>
      <c r="D7" s="16" t="s">
        <v>165</v>
      </c>
      <c r="E7" s="16" t="s">
        <v>531</v>
      </c>
      <c r="F7" s="26" t="n">
        <v>133434000</v>
      </c>
      <c r="G7" s="25" t="n">
        <v>0</v>
      </c>
      <c r="H7" s="22" t="n">
        <v>45949</v>
      </c>
      <c r="I7" s="22" t="n">
        <v>46048</v>
      </c>
      <c r="J7" s="22" t="n">
        <v>46048</v>
      </c>
      <c r="K7" s="16" t="s">
        <v>578</v>
      </c>
      <c r="L7" s="16" t="s">
        <v>500</v>
      </c>
      <c r="M7" s="16"/>
      <c r="N7" s="16" t="s">
        <v>579</v>
      </c>
      <c r="O7" s="7" t="n">
        <f aca="false">IF(OR(E7="Closed Won",E7="Closed Lost"),0,1)</f>
        <v>0</v>
      </c>
      <c r="P7" s="17" t="str">
        <f aca="false">INDEX(Accounts!$K$5:$K$336,MATCH(B7,Accounts!$A$5:$A$336,0))</f>
        <v>Energy &amp; Resources</v>
      </c>
      <c r="Q7" s="17" t="str">
        <f aca="false">INDEX(Accounts!$D$5:$D$336,MATCH(B7,Accounts!$A$5:$A$336,0))</f>
        <v>Priority</v>
      </c>
      <c r="R7" s="7" t="n">
        <f aca="false">INDEX(Inputs!$B$11:$B$16,MATCH(E7,Inputs!$A$11:$A$16,0))</f>
        <v>0</v>
      </c>
      <c r="S7" s="27" t="n">
        <f aca="false">IF(F7="",0,F7)*R7/100</f>
        <v>0</v>
      </c>
      <c r="T7" s="7" t="n">
        <f aca="false">Inputs!$B$4-J7</f>
        <v>266</v>
      </c>
      <c r="U7" s="7" t="n">
        <f aca="false">IF(OR(F7="",F7=0),1,0)</f>
        <v>0</v>
      </c>
      <c r="V7" s="7" t="n">
        <f aca="false">IF(K7="",1,0)</f>
        <v>0</v>
      </c>
      <c r="W7" s="7" t="n">
        <f aca="false">IF(AND(O7=1,K7&lt;&gt;"",COUNTIFS(Owners!$A$5:$A$32,K7,Owners!$E$5:$E$32,"No")&gt;0),1,0)</f>
        <v>0</v>
      </c>
      <c r="X7" s="7" t="n">
        <f aca="false">IF(AND(O7=1,I7&lt;Inputs!$B$4),1,0)</f>
        <v>0</v>
      </c>
      <c r="Y7" s="7" t="n">
        <f aca="false">IF(AND(O7=1,T7&gt;Inputs!$B$5),1,0)</f>
        <v>0</v>
      </c>
      <c r="Z7" s="7" t="n">
        <f aca="false">IF(AND(O7=1,G7&lt;&gt;R7),1,0)</f>
        <v>0</v>
      </c>
      <c r="AA7" s="7" t="n">
        <f aca="false">IF(AND(O7=1,M7=""),1,0)</f>
        <v>0</v>
      </c>
      <c r="AB7" s="7" t="n">
        <f aca="false">IF(AND(E7="Closed Lost",N7=""),1,0)</f>
        <v>0</v>
      </c>
      <c r="AC7" s="7" t="n">
        <f aca="false">SUM(U7:AB7)</f>
        <v>0</v>
      </c>
      <c r="AD7" s="7" t="n">
        <f aca="false">IF(AC7=0,1,0)</f>
        <v>1</v>
      </c>
      <c r="AE7" s="7" t="n">
        <f aca="false">IF(AND(O7=1,I7&gt;=Inputs!$B$6,I7&lt;=Inputs!$B$7),1,0)</f>
        <v>0</v>
      </c>
      <c r="AF7" s="7" t="n">
        <f aca="false">IF(AND(E7="Closed Won",I7&gt;=Inputs!$B$6,I7&lt;=Inputs!$B$4),1,0)</f>
        <v>0</v>
      </c>
      <c r="AG7" s="7" t="n">
        <f aca="false">IF(AND(O7=0,I7&gt;Inputs!$B$4-Inputs!$B$8,I7&lt;=Inputs!$B$4),1,0)</f>
        <v>1</v>
      </c>
      <c r="AH7" s="7" t="n">
        <f aca="false">I7-H7</f>
        <v>99</v>
      </c>
    </row>
    <row r="8" customFormat="false" ht="15" hidden="false" customHeight="false" outlineLevel="0" collapsed="false">
      <c r="A8" s="16" t="s">
        <v>580</v>
      </c>
      <c r="B8" s="16" t="s">
        <v>581</v>
      </c>
      <c r="C8" s="16" t="s">
        <v>582</v>
      </c>
      <c r="D8" s="16" t="s">
        <v>158</v>
      </c>
      <c r="E8" s="16" t="s">
        <v>530</v>
      </c>
      <c r="F8" s="26" t="n">
        <v>18415000</v>
      </c>
      <c r="G8" s="25" t="n">
        <v>100</v>
      </c>
      <c r="H8" s="22" t="n">
        <v>45923</v>
      </c>
      <c r="I8" s="22" t="n">
        <v>46004</v>
      </c>
      <c r="J8" s="22" t="n">
        <v>46004</v>
      </c>
      <c r="K8" s="16" t="s">
        <v>583</v>
      </c>
      <c r="L8" s="16" t="s">
        <v>584</v>
      </c>
      <c r="M8" s="16"/>
      <c r="N8" s="16"/>
      <c r="O8" s="7" t="n">
        <f aca="false">IF(OR(E8="Closed Won",E8="Closed Lost"),0,1)</f>
        <v>0</v>
      </c>
      <c r="P8" s="17" t="str">
        <f aca="false">INDEX(Accounts!$K$5:$K$336,MATCH(B8,Accounts!$A$5:$A$336,0))</f>
        <v>Financial Services</v>
      </c>
      <c r="Q8" s="17" t="str">
        <f aca="false">INDEX(Accounts!$D$5:$D$336,MATCH(B8,Accounts!$A$5:$A$336,0))</f>
        <v>Standard</v>
      </c>
      <c r="R8" s="7" t="n">
        <f aca="false">INDEX(Inputs!$B$11:$B$16,MATCH(E8,Inputs!$A$11:$A$16,0))</f>
        <v>100</v>
      </c>
      <c r="S8" s="27" t="n">
        <f aca="false">IF(F8="",0,F8)*R8/100</f>
        <v>18415000</v>
      </c>
      <c r="T8" s="7" t="n">
        <f aca="false">Inputs!$B$4-J8</f>
        <v>310</v>
      </c>
      <c r="U8" s="7" t="n">
        <f aca="false">IF(OR(F8="",F8=0),1,0)</f>
        <v>0</v>
      </c>
      <c r="V8" s="7" t="n">
        <f aca="false">IF(K8="",1,0)</f>
        <v>0</v>
      </c>
      <c r="W8" s="7" t="n">
        <f aca="false">IF(AND(O8=1,K8&lt;&gt;"",COUNTIFS(Owners!$A$5:$A$32,K8,Owners!$E$5:$E$32,"No")&gt;0),1,0)</f>
        <v>0</v>
      </c>
      <c r="X8" s="7" t="n">
        <f aca="false">IF(AND(O8=1,I8&lt;Inputs!$B$4),1,0)</f>
        <v>0</v>
      </c>
      <c r="Y8" s="7" t="n">
        <f aca="false">IF(AND(O8=1,T8&gt;Inputs!$B$5),1,0)</f>
        <v>0</v>
      </c>
      <c r="Z8" s="7" t="n">
        <f aca="false">IF(AND(O8=1,G8&lt;&gt;R8),1,0)</f>
        <v>0</v>
      </c>
      <c r="AA8" s="7" t="n">
        <f aca="false">IF(AND(O8=1,M8=""),1,0)</f>
        <v>0</v>
      </c>
      <c r="AB8" s="7" t="n">
        <f aca="false">IF(AND(E8="Closed Lost",N8=""),1,0)</f>
        <v>0</v>
      </c>
      <c r="AC8" s="7" t="n">
        <f aca="false">SUM(U8:AB8)</f>
        <v>0</v>
      </c>
      <c r="AD8" s="7" t="n">
        <f aca="false">IF(AC8=0,1,0)</f>
        <v>1</v>
      </c>
      <c r="AE8" s="7" t="n">
        <f aca="false">IF(AND(O8=1,I8&gt;=Inputs!$B$6,I8&lt;=Inputs!$B$7),1,0)</f>
        <v>0</v>
      </c>
      <c r="AF8" s="7" t="n">
        <f aca="false">IF(AND(E8="Closed Won",I8&gt;=Inputs!$B$6,I8&lt;=Inputs!$B$4),1,0)</f>
        <v>0</v>
      </c>
      <c r="AG8" s="7" t="n">
        <f aca="false">IF(AND(O8=0,I8&gt;Inputs!$B$4-Inputs!$B$8,I8&lt;=Inputs!$B$4),1,0)</f>
        <v>1</v>
      </c>
      <c r="AH8" s="7" t="n">
        <f aca="false">I8-H8</f>
        <v>81</v>
      </c>
    </row>
    <row r="9" customFormat="false" ht="15" hidden="false" customHeight="false" outlineLevel="0" collapsed="false">
      <c r="A9" s="16" t="s">
        <v>585</v>
      </c>
      <c r="B9" s="16" t="s">
        <v>586</v>
      </c>
      <c r="C9" s="16" t="s">
        <v>587</v>
      </c>
      <c r="D9" s="16" t="s">
        <v>167</v>
      </c>
      <c r="E9" s="16" t="s">
        <v>527</v>
      </c>
      <c r="F9" s="26" t="n">
        <v>17645000</v>
      </c>
      <c r="G9" s="25" t="n">
        <v>25</v>
      </c>
      <c r="H9" s="22" t="n">
        <v>46304</v>
      </c>
      <c r="I9" s="22" t="n">
        <v>46560</v>
      </c>
      <c r="J9" s="22" t="n">
        <v>46289</v>
      </c>
      <c r="K9" s="16" t="s">
        <v>588</v>
      </c>
      <c r="L9" s="16" t="s">
        <v>584</v>
      </c>
      <c r="M9" s="16" t="s">
        <v>569</v>
      </c>
      <c r="N9" s="16"/>
      <c r="O9" s="7" t="n">
        <f aca="false">IF(OR(E9="Closed Won",E9="Closed Lost"),0,1)</f>
        <v>1</v>
      </c>
      <c r="P9" s="17" t="str">
        <f aca="false">INDEX(Accounts!$K$5:$K$336,MATCH(B9,Accounts!$A$5:$A$336,0))</f>
        <v>Technology, Media &amp; Telecom</v>
      </c>
      <c r="Q9" s="17" t="str">
        <f aca="false">INDEX(Accounts!$D$5:$D$336,MATCH(B9,Accounts!$A$5:$A$336,0))</f>
        <v>Standard</v>
      </c>
      <c r="R9" s="7" t="n">
        <f aca="false">INDEX(Inputs!$B$11:$B$16,MATCH(E9,Inputs!$A$11:$A$16,0))</f>
        <v>25</v>
      </c>
      <c r="S9" s="27" t="n">
        <f aca="false">IF(F9="",0,F9)*R9/100</f>
        <v>4411250</v>
      </c>
      <c r="T9" s="7" t="n">
        <f aca="false">Inputs!$B$4-J9</f>
        <v>25</v>
      </c>
      <c r="U9" s="7" t="n">
        <f aca="false">IF(OR(F9="",F9=0),1,0)</f>
        <v>0</v>
      </c>
      <c r="V9" s="7" t="n">
        <f aca="false">IF(K9="",1,0)</f>
        <v>0</v>
      </c>
      <c r="W9" s="7" t="n">
        <f aca="false">IF(AND(O9=1,K9&lt;&gt;"",COUNTIFS(Owners!$A$5:$A$32,K9,Owners!$E$5:$E$32,"No")&gt;0),1,0)</f>
        <v>0</v>
      </c>
      <c r="X9" s="7" t="n">
        <f aca="false">IF(AND(O9=1,I9&lt;Inputs!$B$4),1,0)</f>
        <v>0</v>
      </c>
      <c r="Y9" s="7" t="n">
        <f aca="false">IF(AND(O9=1,T9&gt;Inputs!$B$5),1,0)</f>
        <v>0</v>
      </c>
      <c r="Z9" s="7" t="n">
        <f aca="false">IF(AND(O9=1,G9&lt;&gt;R9),1,0)</f>
        <v>0</v>
      </c>
      <c r="AA9" s="7" t="n">
        <f aca="false">IF(AND(O9=1,M9=""),1,0)</f>
        <v>0</v>
      </c>
      <c r="AB9" s="7" t="n">
        <f aca="false">IF(AND(E9="Closed Lost",N9=""),1,0)</f>
        <v>0</v>
      </c>
      <c r="AC9" s="7" t="n">
        <f aca="false">SUM(U9:AB9)</f>
        <v>0</v>
      </c>
      <c r="AD9" s="7" t="n">
        <f aca="false">IF(AC9=0,1,0)</f>
        <v>1</v>
      </c>
      <c r="AE9" s="7" t="n">
        <f aca="false">IF(AND(O9=1,I9&gt;=Inputs!$B$6,I9&lt;=Inputs!$B$7),1,0)</f>
        <v>1</v>
      </c>
      <c r="AF9" s="7" t="n">
        <f aca="false">IF(AND(E9="Closed Won",I9&gt;=Inputs!$B$6,I9&lt;=Inputs!$B$4),1,0)</f>
        <v>0</v>
      </c>
      <c r="AG9" s="7" t="n">
        <f aca="false">IF(AND(O9=0,I9&gt;Inputs!$B$4-Inputs!$B$8,I9&lt;=Inputs!$B$4),1,0)</f>
        <v>0</v>
      </c>
      <c r="AH9" s="7" t="n">
        <f aca="false">I9-H9</f>
        <v>256</v>
      </c>
    </row>
    <row r="10" customFormat="false" ht="15" hidden="false" customHeight="false" outlineLevel="0" collapsed="false">
      <c r="A10" s="16" t="s">
        <v>589</v>
      </c>
      <c r="B10" s="16" t="s">
        <v>429</v>
      </c>
      <c r="C10" s="16" t="s">
        <v>590</v>
      </c>
      <c r="D10" s="16" t="s">
        <v>158</v>
      </c>
      <c r="E10" s="16" t="s">
        <v>527</v>
      </c>
      <c r="F10" s="26" t="n">
        <v>198924000</v>
      </c>
      <c r="G10" s="25" t="n">
        <v>25</v>
      </c>
      <c r="H10" s="22" t="n">
        <v>46281</v>
      </c>
      <c r="I10" s="22" t="n">
        <v>46533</v>
      </c>
      <c r="J10" s="22" t="n">
        <v>46290</v>
      </c>
      <c r="K10" s="16" t="s">
        <v>591</v>
      </c>
      <c r="L10" s="16" t="s">
        <v>592</v>
      </c>
      <c r="M10" s="16" t="s">
        <v>593</v>
      </c>
      <c r="N10" s="16"/>
      <c r="O10" s="7" t="n">
        <f aca="false">IF(OR(E10="Closed Won",E10="Closed Lost"),0,1)</f>
        <v>1</v>
      </c>
      <c r="P10" s="17" t="str">
        <f aca="false">INDEX(Accounts!$K$5:$K$336,MATCH(B10,Accounts!$A$5:$A$336,0))</f>
        <v>Financial Services</v>
      </c>
      <c r="Q10" s="17" t="str">
        <f aca="false">INDEX(Accounts!$D$5:$D$336,MATCH(B10,Accounts!$A$5:$A$336,0))</f>
        <v>Standard</v>
      </c>
      <c r="R10" s="7" t="n">
        <f aca="false">INDEX(Inputs!$B$11:$B$16,MATCH(E10,Inputs!$A$11:$A$16,0))</f>
        <v>25</v>
      </c>
      <c r="S10" s="27" t="n">
        <f aca="false">IF(F10="",0,F10)*R10/100</f>
        <v>49731000</v>
      </c>
      <c r="T10" s="7" t="n">
        <f aca="false">Inputs!$B$4-J10</f>
        <v>24</v>
      </c>
      <c r="U10" s="7" t="n">
        <f aca="false">IF(OR(F10="",F10=0),1,0)</f>
        <v>0</v>
      </c>
      <c r="V10" s="7" t="n">
        <f aca="false">IF(K10="",1,0)</f>
        <v>0</v>
      </c>
      <c r="W10" s="7" t="n">
        <f aca="false">IF(AND(O10=1,K10&lt;&gt;"",COUNTIFS(Owners!$A$5:$A$32,K10,Owners!$E$5:$E$32,"No")&gt;0),1,0)</f>
        <v>0</v>
      </c>
      <c r="X10" s="7" t="n">
        <f aca="false">IF(AND(O10=1,I10&lt;Inputs!$B$4),1,0)</f>
        <v>0</v>
      </c>
      <c r="Y10" s="7" t="n">
        <f aca="false">IF(AND(O10=1,T10&gt;Inputs!$B$5),1,0)</f>
        <v>0</v>
      </c>
      <c r="Z10" s="7" t="n">
        <f aca="false">IF(AND(O10=1,G10&lt;&gt;R10),1,0)</f>
        <v>0</v>
      </c>
      <c r="AA10" s="7" t="n">
        <f aca="false">IF(AND(O10=1,M10=""),1,0)</f>
        <v>0</v>
      </c>
      <c r="AB10" s="7" t="n">
        <f aca="false">IF(AND(E10="Closed Lost",N10=""),1,0)</f>
        <v>0</v>
      </c>
      <c r="AC10" s="7" t="n">
        <f aca="false">SUM(U10:AB10)</f>
        <v>0</v>
      </c>
      <c r="AD10" s="7" t="n">
        <f aca="false">IF(AC10=0,1,0)</f>
        <v>1</v>
      </c>
      <c r="AE10" s="7" t="n">
        <f aca="false">IF(AND(O10=1,I10&gt;=Inputs!$B$6,I10&lt;=Inputs!$B$7),1,0)</f>
        <v>1</v>
      </c>
      <c r="AF10" s="7" t="n">
        <f aca="false">IF(AND(E10="Closed Won",I10&gt;=Inputs!$B$6,I10&lt;=Inputs!$B$4),1,0)</f>
        <v>0</v>
      </c>
      <c r="AG10" s="7" t="n">
        <f aca="false">IF(AND(O10=0,I10&gt;Inputs!$B$4-Inputs!$B$8,I10&lt;=Inputs!$B$4),1,0)</f>
        <v>0</v>
      </c>
      <c r="AH10" s="7" t="n">
        <f aca="false">I10-H10</f>
        <v>252</v>
      </c>
    </row>
    <row r="11" customFormat="false" ht="15" hidden="false" customHeight="false" outlineLevel="0" collapsed="false">
      <c r="A11" s="16" t="s">
        <v>594</v>
      </c>
      <c r="B11" s="16" t="s">
        <v>72</v>
      </c>
      <c r="C11" s="16" t="s">
        <v>595</v>
      </c>
      <c r="D11" s="16" t="s">
        <v>162</v>
      </c>
      <c r="E11" s="16" t="s">
        <v>531</v>
      </c>
      <c r="F11" s="26" t="n">
        <v>4008000</v>
      </c>
      <c r="G11" s="25" t="n">
        <v>0</v>
      </c>
      <c r="H11" s="22" t="n">
        <v>45896</v>
      </c>
      <c r="I11" s="22" t="n">
        <v>46156</v>
      </c>
      <c r="J11" s="22" t="n">
        <v>46156</v>
      </c>
      <c r="K11" s="16" t="s">
        <v>596</v>
      </c>
      <c r="L11" s="16" t="s">
        <v>500</v>
      </c>
      <c r="M11" s="16"/>
      <c r="N11" s="16" t="s">
        <v>597</v>
      </c>
      <c r="O11" s="7" t="n">
        <f aca="false">IF(OR(E11="Closed Won",E11="Closed Lost"),0,1)</f>
        <v>0</v>
      </c>
      <c r="P11" s="17" t="str">
        <f aca="false">INDEX(Accounts!$K$5:$K$336,MATCH(B11,Accounts!$A$5:$A$336,0))</f>
        <v>Consumer &amp; Retail</v>
      </c>
      <c r="Q11" s="17" t="str">
        <f aca="false">INDEX(Accounts!$D$5:$D$336,MATCH(B11,Accounts!$A$5:$A$336,0))</f>
        <v>Priority</v>
      </c>
      <c r="R11" s="7" t="n">
        <f aca="false">INDEX(Inputs!$B$11:$B$16,MATCH(E11,Inputs!$A$11:$A$16,0))</f>
        <v>0</v>
      </c>
      <c r="S11" s="27" t="n">
        <f aca="false">IF(F11="",0,F11)*R11/100</f>
        <v>0</v>
      </c>
      <c r="T11" s="7" t="n">
        <f aca="false">Inputs!$B$4-J11</f>
        <v>158</v>
      </c>
      <c r="U11" s="7" t="n">
        <f aca="false">IF(OR(F11="",F11=0),1,0)</f>
        <v>0</v>
      </c>
      <c r="V11" s="7" t="n">
        <f aca="false">IF(K11="",1,0)</f>
        <v>0</v>
      </c>
      <c r="W11" s="7" t="n">
        <f aca="false">IF(AND(O11=1,K11&lt;&gt;"",COUNTIFS(Owners!$A$5:$A$32,K11,Owners!$E$5:$E$32,"No")&gt;0),1,0)</f>
        <v>0</v>
      </c>
      <c r="X11" s="7" t="n">
        <f aca="false">IF(AND(O11=1,I11&lt;Inputs!$B$4),1,0)</f>
        <v>0</v>
      </c>
      <c r="Y11" s="7" t="n">
        <f aca="false">IF(AND(O11=1,T11&gt;Inputs!$B$5),1,0)</f>
        <v>0</v>
      </c>
      <c r="Z11" s="7" t="n">
        <f aca="false">IF(AND(O11=1,G11&lt;&gt;R11),1,0)</f>
        <v>0</v>
      </c>
      <c r="AA11" s="7" t="n">
        <f aca="false">IF(AND(O11=1,M11=""),1,0)</f>
        <v>0</v>
      </c>
      <c r="AB11" s="7" t="n">
        <f aca="false">IF(AND(E11="Closed Lost",N11=""),1,0)</f>
        <v>0</v>
      </c>
      <c r="AC11" s="7" t="n">
        <f aca="false">SUM(U11:AB11)</f>
        <v>0</v>
      </c>
      <c r="AD11" s="7" t="n">
        <f aca="false">IF(AC11=0,1,0)</f>
        <v>1</v>
      </c>
      <c r="AE11" s="7" t="n">
        <f aca="false">IF(AND(O11=1,I11&gt;=Inputs!$B$6,I11&lt;=Inputs!$B$7),1,0)</f>
        <v>0</v>
      </c>
      <c r="AF11" s="7" t="n">
        <f aca="false">IF(AND(E11="Closed Won",I11&gt;=Inputs!$B$6,I11&lt;=Inputs!$B$4),1,0)</f>
        <v>0</v>
      </c>
      <c r="AG11" s="7" t="n">
        <f aca="false">IF(AND(O11=0,I11&gt;Inputs!$B$4-Inputs!$B$8,I11&lt;=Inputs!$B$4),1,0)</f>
        <v>1</v>
      </c>
      <c r="AH11" s="7" t="n">
        <f aca="false">I11-H11</f>
        <v>260</v>
      </c>
    </row>
    <row r="12" customFormat="false" ht="15" hidden="false" customHeight="false" outlineLevel="0" collapsed="false">
      <c r="A12" s="16" t="s">
        <v>598</v>
      </c>
      <c r="B12" s="16" t="s">
        <v>454</v>
      </c>
      <c r="C12" s="16" t="s">
        <v>599</v>
      </c>
      <c r="D12" s="16" t="s">
        <v>165</v>
      </c>
      <c r="E12" s="16" t="s">
        <v>527</v>
      </c>
      <c r="F12" s="26" t="n">
        <v>25200000</v>
      </c>
      <c r="G12" s="25" t="n">
        <v>25</v>
      </c>
      <c r="H12" s="22" t="n">
        <v>46292</v>
      </c>
      <c r="I12" s="22" t="n">
        <v>46532</v>
      </c>
      <c r="J12" s="22" t="n">
        <v>46312</v>
      </c>
      <c r="K12" s="16" t="s">
        <v>600</v>
      </c>
      <c r="L12" s="16" t="s">
        <v>584</v>
      </c>
      <c r="M12" s="16" t="s">
        <v>601</v>
      </c>
      <c r="N12" s="16"/>
      <c r="O12" s="7" t="n">
        <f aca="false">IF(OR(E12="Closed Won",E12="Closed Lost"),0,1)</f>
        <v>1</v>
      </c>
      <c r="P12" s="17" t="str">
        <f aca="false">INDEX(Accounts!$K$5:$K$336,MATCH(B12,Accounts!$A$5:$A$336,0))</f>
        <v>Real Estate &amp; Infrastructure</v>
      </c>
      <c r="Q12" s="17" t="str">
        <f aca="false">INDEX(Accounts!$D$5:$D$336,MATCH(B12,Accounts!$A$5:$A$336,0))</f>
        <v>Standard</v>
      </c>
      <c r="R12" s="7" t="n">
        <f aca="false">INDEX(Inputs!$B$11:$B$16,MATCH(E12,Inputs!$A$11:$A$16,0))</f>
        <v>25</v>
      </c>
      <c r="S12" s="27" t="n">
        <f aca="false">IF(F12="",0,F12)*R12/100</f>
        <v>6300000</v>
      </c>
      <c r="T12" s="7" t="n">
        <f aca="false">Inputs!$B$4-J12</f>
        <v>2</v>
      </c>
      <c r="U12" s="7" t="n">
        <f aca="false">IF(OR(F12="",F12=0),1,0)</f>
        <v>0</v>
      </c>
      <c r="V12" s="7" t="n">
        <f aca="false">IF(K12="",1,0)</f>
        <v>0</v>
      </c>
      <c r="W12" s="7" t="n">
        <f aca="false">IF(AND(O12=1,K12&lt;&gt;"",COUNTIFS(Owners!$A$5:$A$32,K12,Owners!$E$5:$E$32,"No")&gt;0),1,0)</f>
        <v>0</v>
      </c>
      <c r="X12" s="7" t="n">
        <f aca="false">IF(AND(O12=1,I12&lt;Inputs!$B$4),1,0)</f>
        <v>0</v>
      </c>
      <c r="Y12" s="7" t="n">
        <f aca="false">IF(AND(O12=1,T12&gt;Inputs!$B$5),1,0)</f>
        <v>0</v>
      </c>
      <c r="Z12" s="7" t="n">
        <f aca="false">IF(AND(O12=1,G12&lt;&gt;R12),1,0)</f>
        <v>0</v>
      </c>
      <c r="AA12" s="7" t="n">
        <f aca="false">IF(AND(O12=1,M12=""),1,0)</f>
        <v>0</v>
      </c>
      <c r="AB12" s="7" t="n">
        <f aca="false">IF(AND(E12="Closed Lost",N12=""),1,0)</f>
        <v>0</v>
      </c>
      <c r="AC12" s="7" t="n">
        <f aca="false">SUM(U12:AB12)</f>
        <v>0</v>
      </c>
      <c r="AD12" s="7" t="n">
        <f aca="false">IF(AC12=0,1,0)</f>
        <v>1</v>
      </c>
      <c r="AE12" s="7" t="n">
        <f aca="false">IF(AND(O12=1,I12&gt;=Inputs!$B$6,I12&lt;=Inputs!$B$7),1,0)</f>
        <v>1</v>
      </c>
      <c r="AF12" s="7" t="n">
        <f aca="false">IF(AND(E12="Closed Won",I12&gt;=Inputs!$B$6,I12&lt;=Inputs!$B$4),1,0)</f>
        <v>0</v>
      </c>
      <c r="AG12" s="7" t="n">
        <f aca="false">IF(AND(O12=0,I12&gt;Inputs!$B$4-Inputs!$B$8,I12&lt;=Inputs!$B$4),1,0)</f>
        <v>0</v>
      </c>
      <c r="AH12" s="7" t="n">
        <f aca="false">I12-H12</f>
        <v>240</v>
      </c>
    </row>
    <row r="13" customFormat="false" ht="15" hidden="false" customHeight="false" outlineLevel="0" collapsed="false">
      <c r="A13" s="16" t="s">
        <v>602</v>
      </c>
      <c r="B13" s="16" t="s">
        <v>252</v>
      </c>
      <c r="C13" s="16" t="s">
        <v>603</v>
      </c>
      <c r="D13" s="16" t="s">
        <v>165</v>
      </c>
      <c r="E13" s="16" t="s">
        <v>531</v>
      </c>
      <c r="F13" s="26" t="n">
        <v>2821000</v>
      </c>
      <c r="G13" s="25" t="n">
        <v>0</v>
      </c>
      <c r="H13" s="22" t="n">
        <v>45932</v>
      </c>
      <c r="I13" s="22" t="n">
        <v>46223</v>
      </c>
      <c r="J13" s="22" t="n">
        <v>46223</v>
      </c>
      <c r="K13" s="16" t="s">
        <v>604</v>
      </c>
      <c r="L13" s="16" t="s">
        <v>584</v>
      </c>
      <c r="M13" s="16"/>
      <c r="N13" s="16" t="s">
        <v>597</v>
      </c>
      <c r="O13" s="7" t="n">
        <f aca="false">IF(OR(E13="Closed Won",E13="Closed Lost"),0,1)</f>
        <v>0</v>
      </c>
      <c r="P13" s="17" t="str">
        <f aca="false">INDEX(Accounts!$K$5:$K$336,MATCH(B13,Accounts!$A$5:$A$336,0))</f>
        <v>Financial Services</v>
      </c>
      <c r="Q13" s="17" t="str">
        <f aca="false">INDEX(Accounts!$D$5:$D$336,MATCH(B13,Accounts!$A$5:$A$336,0))</f>
        <v>Key</v>
      </c>
      <c r="R13" s="7" t="n">
        <f aca="false">INDEX(Inputs!$B$11:$B$16,MATCH(E13,Inputs!$A$11:$A$16,0))</f>
        <v>0</v>
      </c>
      <c r="S13" s="27" t="n">
        <f aca="false">IF(F13="",0,F13)*R13/100</f>
        <v>0</v>
      </c>
      <c r="T13" s="7" t="n">
        <f aca="false">Inputs!$B$4-J13</f>
        <v>91</v>
      </c>
      <c r="U13" s="7" t="n">
        <f aca="false">IF(OR(F13="",F13=0),1,0)</f>
        <v>0</v>
      </c>
      <c r="V13" s="7" t="n">
        <f aca="false">IF(K13="",1,0)</f>
        <v>0</v>
      </c>
      <c r="W13" s="7" t="n">
        <f aca="false">IF(AND(O13=1,K13&lt;&gt;"",COUNTIFS(Owners!$A$5:$A$32,K13,Owners!$E$5:$E$32,"No")&gt;0),1,0)</f>
        <v>0</v>
      </c>
      <c r="X13" s="7" t="n">
        <f aca="false">IF(AND(O13=1,I13&lt;Inputs!$B$4),1,0)</f>
        <v>0</v>
      </c>
      <c r="Y13" s="7" t="n">
        <f aca="false">IF(AND(O13=1,T13&gt;Inputs!$B$5),1,0)</f>
        <v>0</v>
      </c>
      <c r="Z13" s="7" t="n">
        <f aca="false">IF(AND(O13=1,G13&lt;&gt;R13),1,0)</f>
        <v>0</v>
      </c>
      <c r="AA13" s="7" t="n">
        <f aca="false">IF(AND(O13=1,M13=""),1,0)</f>
        <v>0</v>
      </c>
      <c r="AB13" s="7" t="n">
        <f aca="false">IF(AND(E13="Closed Lost",N13=""),1,0)</f>
        <v>0</v>
      </c>
      <c r="AC13" s="7" t="n">
        <f aca="false">SUM(U13:AB13)</f>
        <v>0</v>
      </c>
      <c r="AD13" s="7" t="n">
        <f aca="false">IF(AC13=0,1,0)</f>
        <v>1</v>
      </c>
      <c r="AE13" s="7" t="n">
        <f aca="false">IF(AND(O13=1,I13&gt;=Inputs!$B$6,I13&lt;=Inputs!$B$7),1,0)</f>
        <v>0</v>
      </c>
      <c r="AF13" s="7" t="n">
        <f aca="false">IF(AND(E13="Closed Won",I13&gt;=Inputs!$B$6,I13&lt;=Inputs!$B$4),1,0)</f>
        <v>0</v>
      </c>
      <c r="AG13" s="7" t="n">
        <f aca="false">IF(AND(O13=0,I13&gt;Inputs!$B$4-Inputs!$B$8,I13&lt;=Inputs!$B$4),1,0)</f>
        <v>1</v>
      </c>
      <c r="AH13" s="7" t="n">
        <f aca="false">I13-H13</f>
        <v>291</v>
      </c>
    </row>
    <row r="14" customFormat="false" ht="15" hidden="false" customHeight="false" outlineLevel="0" collapsed="false">
      <c r="A14" s="16" t="s">
        <v>605</v>
      </c>
      <c r="B14" s="16" t="s">
        <v>88</v>
      </c>
      <c r="C14" s="16" t="s">
        <v>606</v>
      </c>
      <c r="D14" s="16" t="s">
        <v>177</v>
      </c>
      <c r="E14" s="16" t="s">
        <v>527</v>
      </c>
      <c r="F14" s="26" t="n">
        <v>6036000</v>
      </c>
      <c r="G14" s="25" t="n">
        <v>100</v>
      </c>
      <c r="H14" s="22" t="n">
        <v>46263</v>
      </c>
      <c r="I14" s="22" t="n">
        <v>46557</v>
      </c>
      <c r="J14" s="22" t="n">
        <v>46208</v>
      </c>
      <c r="K14" s="16" t="s">
        <v>596</v>
      </c>
      <c r="L14" s="16" t="s">
        <v>568</v>
      </c>
      <c r="M14" s="16" t="s">
        <v>593</v>
      </c>
      <c r="N14" s="16"/>
      <c r="O14" s="7" t="n">
        <f aca="false">IF(OR(E14="Closed Won",E14="Closed Lost"),0,1)</f>
        <v>1</v>
      </c>
      <c r="P14" s="17" t="str">
        <f aca="false">INDEX(Accounts!$K$5:$K$336,MATCH(B14,Accounts!$A$5:$A$336,0))</f>
        <v>Agribusiness</v>
      </c>
      <c r="Q14" s="17" t="str">
        <f aca="false">INDEX(Accounts!$D$5:$D$336,MATCH(B14,Accounts!$A$5:$A$336,0))</f>
        <v>Priority</v>
      </c>
      <c r="R14" s="7" t="n">
        <f aca="false">INDEX(Inputs!$B$11:$B$16,MATCH(E14,Inputs!$A$11:$A$16,0))</f>
        <v>25</v>
      </c>
      <c r="S14" s="27" t="n">
        <f aca="false">IF(F14="",0,F14)*R14/100</f>
        <v>1509000</v>
      </c>
      <c r="T14" s="7" t="n">
        <f aca="false">Inputs!$B$4-J14</f>
        <v>106</v>
      </c>
      <c r="U14" s="7" t="n">
        <f aca="false">IF(OR(F14="",F14=0),1,0)</f>
        <v>0</v>
      </c>
      <c r="V14" s="7" t="n">
        <f aca="false">IF(K14="",1,0)</f>
        <v>0</v>
      </c>
      <c r="W14" s="7" t="n">
        <f aca="false">IF(AND(O14=1,K14&lt;&gt;"",COUNTIFS(Owners!$A$5:$A$32,K14,Owners!$E$5:$E$32,"No")&gt;0),1,0)</f>
        <v>0</v>
      </c>
      <c r="X14" s="7" t="n">
        <f aca="false">IF(AND(O14=1,I14&lt;Inputs!$B$4),1,0)</f>
        <v>0</v>
      </c>
      <c r="Y14" s="7" t="n">
        <f aca="false">IF(AND(O14=1,T14&gt;Inputs!$B$5),1,0)</f>
        <v>1</v>
      </c>
      <c r="Z14" s="7" t="n">
        <f aca="false">IF(AND(O14=1,G14&lt;&gt;R14),1,0)</f>
        <v>1</v>
      </c>
      <c r="AA14" s="7" t="n">
        <f aca="false">IF(AND(O14=1,M14=""),1,0)</f>
        <v>0</v>
      </c>
      <c r="AB14" s="7" t="n">
        <f aca="false">IF(AND(E14="Closed Lost",N14=""),1,0)</f>
        <v>0</v>
      </c>
      <c r="AC14" s="7" t="n">
        <f aca="false">SUM(U14:AB14)</f>
        <v>2</v>
      </c>
      <c r="AD14" s="7" t="n">
        <f aca="false">IF(AC14=0,1,0)</f>
        <v>0</v>
      </c>
      <c r="AE14" s="7" t="n">
        <f aca="false">IF(AND(O14=1,I14&gt;=Inputs!$B$6,I14&lt;=Inputs!$B$7),1,0)</f>
        <v>1</v>
      </c>
      <c r="AF14" s="7" t="n">
        <f aca="false">IF(AND(E14="Closed Won",I14&gt;=Inputs!$B$6,I14&lt;=Inputs!$B$4),1,0)</f>
        <v>0</v>
      </c>
      <c r="AG14" s="7" t="n">
        <f aca="false">IF(AND(O14=0,I14&gt;Inputs!$B$4-Inputs!$B$8,I14&lt;=Inputs!$B$4),1,0)</f>
        <v>0</v>
      </c>
      <c r="AH14" s="7" t="n">
        <f aca="false">I14-H14</f>
        <v>294</v>
      </c>
    </row>
    <row r="15" customFormat="false" ht="15" hidden="false" customHeight="false" outlineLevel="0" collapsed="false">
      <c r="A15" s="16" t="s">
        <v>607</v>
      </c>
      <c r="B15" s="16" t="s">
        <v>294</v>
      </c>
      <c r="C15" s="16" t="s">
        <v>608</v>
      </c>
      <c r="D15" s="16" t="s">
        <v>167</v>
      </c>
      <c r="E15" s="16" t="s">
        <v>531</v>
      </c>
      <c r="F15" s="26" t="n">
        <v>4076000</v>
      </c>
      <c r="G15" s="25" t="n">
        <v>0</v>
      </c>
      <c r="H15" s="22" t="n">
        <v>46058</v>
      </c>
      <c r="I15" s="22" t="n">
        <v>46134</v>
      </c>
      <c r="J15" s="22" t="n">
        <v>46134</v>
      </c>
      <c r="K15" s="16" t="s">
        <v>604</v>
      </c>
      <c r="L15" s="16" t="s">
        <v>609</v>
      </c>
      <c r="M15" s="16"/>
      <c r="N15" s="16" t="s">
        <v>610</v>
      </c>
      <c r="O15" s="7" t="n">
        <f aca="false">IF(OR(E15="Closed Won",E15="Closed Lost"),0,1)</f>
        <v>0</v>
      </c>
      <c r="P15" s="17" t="str">
        <f aca="false">INDEX(Accounts!$K$5:$K$336,MATCH(B15,Accounts!$A$5:$A$336,0))</f>
        <v>Public Sector &amp; Development</v>
      </c>
      <c r="Q15" s="17" t="str">
        <f aca="false">INDEX(Accounts!$D$5:$D$336,MATCH(B15,Accounts!$A$5:$A$336,0))</f>
        <v>Standard</v>
      </c>
      <c r="R15" s="7" t="n">
        <f aca="false">INDEX(Inputs!$B$11:$B$16,MATCH(E15,Inputs!$A$11:$A$16,0))</f>
        <v>0</v>
      </c>
      <c r="S15" s="27" t="n">
        <f aca="false">IF(F15="",0,F15)*R15/100</f>
        <v>0</v>
      </c>
      <c r="T15" s="7" t="n">
        <f aca="false">Inputs!$B$4-J15</f>
        <v>180</v>
      </c>
      <c r="U15" s="7" t="n">
        <f aca="false">IF(OR(F15="",F15=0),1,0)</f>
        <v>0</v>
      </c>
      <c r="V15" s="7" t="n">
        <f aca="false">IF(K15="",1,0)</f>
        <v>0</v>
      </c>
      <c r="W15" s="7" t="n">
        <f aca="false">IF(AND(O15=1,K15&lt;&gt;"",COUNTIFS(Owners!$A$5:$A$32,K15,Owners!$E$5:$E$32,"No")&gt;0),1,0)</f>
        <v>0</v>
      </c>
      <c r="X15" s="7" t="n">
        <f aca="false">IF(AND(O15=1,I15&lt;Inputs!$B$4),1,0)</f>
        <v>0</v>
      </c>
      <c r="Y15" s="7" t="n">
        <f aca="false">IF(AND(O15=1,T15&gt;Inputs!$B$5),1,0)</f>
        <v>0</v>
      </c>
      <c r="Z15" s="7" t="n">
        <f aca="false">IF(AND(O15=1,G15&lt;&gt;R15),1,0)</f>
        <v>0</v>
      </c>
      <c r="AA15" s="7" t="n">
        <f aca="false">IF(AND(O15=1,M15=""),1,0)</f>
        <v>0</v>
      </c>
      <c r="AB15" s="7" t="n">
        <f aca="false">IF(AND(E15="Closed Lost",N15=""),1,0)</f>
        <v>0</v>
      </c>
      <c r="AC15" s="7" t="n">
        <f aca="false">SUM(U15:AB15)</f>
        <v>0</v>
      </c>
      <c r="AD15" s="7" t="n">
        <f aca="false">IF(AC15=0,1,0)</f>
        <v>1</v>
      </c>
      <c r="AE15" s="7" t="n">
        <f aca="false">IF(AND(O15=1,I15&gt;=Inputs!$B$6,I15&lt;=Inputs!$B$7),1,0)</f>
        <v>0</v>
      </c>
      <c r="AF15" s="7" t="n">
        <f aca="false">IF(AND(E15="Closed Won",I15&gt;=Inputs!$B$6,I15&lt;=Inputs!$B$4),1,0)</f>
        <v>0</v>
      </c>
      <c r="AG15" s="7" t="n">
        <f aca="false">IF(AND(O15=0,I15&gt;Inputs!$B$4-Inputs!$B$8,I15&lt;=Inputs!$B$4),1,0)</f>
        <v>1</v>
      </c>
      <c r="AH15" s="7" t="n">
        <f aca="false">I15-H15</f>
        <v>76</v>
      </c>
    </row>
    <row r="16" customFormat="false" ht="15" hidden="false" customHeight="false" outlineLevel="0" collapsed="false">
      <c r="A16" s="16" t="s">
        <v>611</v>
      </c>
      <c r="B16" s="16" t="s">
        <v>83</v>
      </c>
      <c r="C16" s="16" t="s">
        <v>612</v>
      </c>
      <c r="D16" s="16" t="s">
        <v>167</v>
      </c>
      <c r="E16" s="16" t="s">
        <v>528</v>
      </c>
      <c r="F16" s="26" t="n">
        <v>2608000</v>
      </c>
      <c r="G16" s="25" t="n">
        <v>50</v>
      </c>
      <c r="H16" s="22" t="n">
        <v>46223</v>
      </c>
      <c r="I16" s="22" t="n">
        <v>46370</v>
      </c>
      <c r="J16" s="22" t="n">
        <v>46281</v>
      </c>
      <c r="K16" s="16" t="s">
        <v>604</v>
      </c>
      <c r="L16" s="16" t="s">
        <v>609</v>
      </c>
      <c r="M16" s="16" t="s">
        <v>613</v>
      </c>
      <c r="N16" s="16"/>
      <c r="O16" s="7" t="n">
        <f aca="false">IF(OR(E16="Closed Won",E16="Closed Lost"),0,1)</f>
        <v>1</v>
      </c>
      <c r="P16" s="17" t="str">
        <f aca="false">INDEX(Accounts!$K$5:$K$336,MATCH(B16,Accounts!$A$5:$A$336,0))</f>
        <v>Agribusiness</v>
      </c>
      <c r="Q16" s="17" t="str">
        <f aca="false">INDEX(Accounts!$D$5:$D$336,MATCH(B16,Accounts!$A$5:$A$336,0))</f>
        <v>Priority</v>
      </c>
      <c r="R16" s="7" t="n">
        <f aca="false">INDEX(Inputs!$B$11:$B$16,MATCH(E16,Inputs!$A$11:$A$16,0))</f>
        <v>50</v>
      </c>
      <c r="S16" s="27" t="n">
        <f aca="false">IF(F16="",0,F16)*R16/100</f>
        <v>1304000</v>
      </c>
      <c r="T16" s="7" t="n">
        <f aca="false">Inputs!$B$4-J16</f>
        <v>33</v>
      </c>
      <c r="U16" s="7" t="n">
        <f aca="false">IF(OR(F16="",F16=0),1,0)</f>
        <v>0</v>
      </c>
      <c r="V16" s="7" t="n">
        <f aca="false">IF(K16="",1,0)</f>
        <v>0</v>
      </c>
      <c r="W16" s="7" t="n">
        <f aca="false">IF(AND(O16=1,K16&lt;&gt;"",COUNTIFS(Owners!$A$5:$A$32,K16,Owners!$E$5:$E$32,"No")&gt;0),1,0)</f>
        <v>0</v>
      </c>
      <c r="X16" s="7" t="n">
        <f aca="false">IF(AND(O16=1,I16&lt;Inputs!$B$4),1,0)</f>
        <v>0</v>
      </c>
      <c r="Y16" s="7" t="n">
        <f aca="false">IF(AND(O16=1,T16&gt;Inputs!$B$5),1,0)</f>
        <v>0</v>
      </c>
      <c r="Z16" s="7" t="n">
        <f aca="false">IF(AND(O16=1,G16&lt;&gt;R16),1,0)</f>
        <v>0</v>
      </c>
      <c r="AA16" s="7" t="n">
        <f aca="false">IF(AND(O16=1,M16=""),1,0)</f>
        <v>0</v>
      </c>
      <c r="AB16" s="7" t="n">
        <f aca="false">IF(AND(E16="Closed Lost",N16=""),1,0)</f>
        <v>0</v>
      </c>
      <c r="AC16" s="7" t="n">
        <f aca="false">SUM(U16:AB16)</f>
        <v>0</v>
      </c>
      <c r="AD16" s="7" t="n">
        <f aca="false">IF(AC16=0,1,0)</f>
        <v>1</v>
      </c>
      <c r="AE16" s="7" t="n">
        <f aca="false">IF(AND(O16=1,I16&gt;=Inputs!$B$6,I16&lt;=Inputs!$B$7),1,0)</f>
        <v>1</v>
      </c>
      <c r="AF16" s="7" t="n">
        <f aca="false">IF(AND(E16="Closed Won",I16&gt;=Inputs!$B$6,I16&lt;=Inputs!$B$4),1,0)</f>
        <v>0</v>
      </c>
      <c r="AG16" s="7" t="n">
        <f aca="false">IF(AND(O16=0,I16&gt;Inputs!$B$4-Inputs!$B$8,I16&lt;=Inputs!$B$4),1,0)</f>
        <v>0</v>
      </c>
      <c r="AH16" s="7" t="n">
        <f aca="false">I16-H16</f>
        <v>147</v>
      </c>
    </row>
    <row r="17" customFormat="false" ht="15" hidden="false" customHeight="false" outlineLevel="0" collapsed="false">
      <c r="A17" s="16" t="s">
        <v>614</v>
      </c>
      <c r="B17" s="16" t="s">
        <v>615</v>
      </c>
      <c r="C17" s="16" t="s">
        <v>616</v>
      </c>
      <c r="D17" s="16" t="s">
        <v>165</v>
      </c>
      <c r="E17" s="16" t="s">
        <v>531</v>
      </c>
      <c r="F17" s="26" t="n">
        <v>34156000</v>
      </c>
      <c r="G17" s="25" t="n">
        <v>0</v>
      </c>
      <c r="H17" s="22" t="n">
        <v>46235</v>
      </c>
      <c r="I17" s="22" t="n">
        <v>46307</v>
      </c>
      <c r="J17" s="22" t="n">
        <v>46307</v>
      </c>
      <c r="K17" s="16"/>
      <c r="L17" s="16" t="s">
        <v>584</v>
      </c>
      <c r="M17" s="16"/>
      <c r="N17" s="16" t="s">
        <v>610</v>
      </c>
      <c r="O17" s="7" t="n">
        <f aca="false">IF(OR(E17="Closed Won",E17="Closed Lost"),0,1)</f>
        <v>0</v>
      </c>
      <c r="P17" s="17" t="str">
        <f aca="false">INDEX(Accounts!$K$5:$K$336,MATCH(B17,Accounts!$A$5:$A$336,0))</f>
        <v>Energy &amp; Resources</v>
      </c>
      <c r="Q17" s="17" t="str">
        <f aca="false">INDEX(Accounts!$D$5:$D$336,MATCH(B17,Accounts!$A$5:$A$336,0))</f>
        <v>Standard</v>
      </c>
      <c r="R17" s="7" t="n">
        <f aca="false">INDEX(Inputs!$B$11:$B$16,MATCH(E17,Inputs!$A$11:$A$16,0))</f>
        <v>0</v>
      </c>
      <c r="S17" s="27" t="n">
        <f aca="false">IF(F17="",0,F17)*R17/100</f>
        <v>0</v>
      </c>
      <c r="T17" s="7" t="n">
        <f aca="false">Inputs!$B$4-J17</f>
        <v>7</v>
      </c>
      <c r="U17" s="7" t="n">
        <f aca="false">IF(OR(F17="",F17=0),1,0)</f>
        <v>0</v>
      </c>
      <c r="V17" s="7" t="n">
        <f aca="false">IF(K17="",1,0)</f>
        <v>1</v>
      </c>
      <c r="W17" s="7" t="n">
        <f aca="false">IF(AND(O17=1,K17&lt;&gt;"",COUNTIFS(Owners!$A$5:$A$32,K17,Owners!$E$5:$E$32,"No")&gt;0),1,0)</f>
        <v>0</v>
      </c>
      <c r="X17" s="7" t="n">
        <f aca="false">IF(AND(O17=1,I17&lt;Inputs!$B$4),1,0)</f>
        <v>0</v>
      </c>
      <c r="Y17" s="7" t="n">
        <f aca="false">IF(AND(O17=1,T17&gt;Inputs!$B$5),1,0)</f>
        <v>0</v>
      </c>
      <c r="Z17" s="7" t="n">
        <f aca="false">IF(AND(O17=1,G17&lt;&gt;R17),1,0)</f>
        <v>0</v>
      </c>
      <c r="AA17" s="7" t="n">
        <f aca="false">IF(AND(O17=1,M17=""),1,0)</f>
        <v>0</v>
      </c>
      <c r="AB17" s="7" t="n">
        <f aca="false">IF(AND(E17="Closed Lost",N17=""),1,0)</f>
        <v>0</v>
      </c>
      <c r="AC17" s="7" t="n">
        <f aca="false">SUM(U17:AB17)</f>
        <v>1</v>
      </c>
      <c r="AD17" s="7" t="n">
        <f aca="false">IF(AC17=0,1,0)</f>
        <v>0</v>
      </c>
      <c r="AE17" s="7" t="n">
        <f aca="false">IF(AND(O17=1,I17&gt;=Inputs!$B$6,I17&lt;=Inputs!$B$7),1,0)</f>
        <v>0</v>
      </c>
      <c r="AF17" s="7" t="n">
        <f aca="false">IF(AND(E17="Closed Won",I17&gt;=Inputs!$B$6,I17&lt;=Inputs!$B$4),1,0)</f>
        <v>0</v>
      </c>
      <c r="AG17" s="7" t="n">
        <f aca="false">IF(AND(O17=0,I17&gt;Inputs!$B$4-Inputs!$B$8,I17&lt;=Inputs!$B$4),1,0)</f>
        <v>1</v>
      </c>
      <c r="AH17" s="7" t="n">
        <f aca="false">I17-H17</f>
        <v>72</v>
      </c>
    </row>
    <row r="18" customFormat="false" ht="15" hidden="false" customHeight="false" outlineLevel="0" collapsed="false">
      <c r="A18" s="16" t="s">
        <v>617</v>
      </c>
      <c r="B18" s="16" t="s">
        <v>81</v>
      </c>
      <c r="C18" s="16" t="s">
        <v>618</v>
      </c>
      <c r="D18" s="16" t="s">
        <v>177</v>
      </c>
      <c r="E18" s="16" t="s">
        <v>526</v>
      </c>
      <c r="F18" s="26" t="n">
        <v>6960000</v>
      </c>
      <c r="G18" s="25" t="n">
        <v>10</v>
      </c>
      <c r="H18" s="22" t="n">
        <v>46306</v>
      </c>
      <c r="I18" s="22" t="n">
        <v>46374</v>
      </c>
      <c r="J18" s="22" t="n">
        <v>46305</v>
      </c>
      <c r="K18" s="16" t="s">
        <v>596</v>
      </c>
      <c r="L18" s="16" t="s">
        <v>568</v>
      </c>
      <c r="M18" s="16" t="s">
        <v>619</v>
      </c>
      <c r="N18" s="16"/>
      <c r="O18" s="7" t="n">
        <f aca="false">IF(OR(E18="Closed Won",E18="Closed Lost"),0,1)</f>
        <v>1</v>
      </c>
      <c r="P18" s="17" t="str">
        <f aca="false">INDEX(Accounts!$K$5:$K$336,MATCH(B18,Accounts!$A$5:$A$336,0))</f>
        <v>Financial Services</v>
      </c>
      <c r="Q18" s="17" t="str">
        <f aca="false">INDEX(Accounts!$D$5:$D$336,MATCH(B18,Accounts!$A$5:$A$336,0))</f>
        <v>Priority</v>
      </c>
      <c r="R18" s="7" t="n">
        <f aca="false">INDEX(Inputs!$B$11:$B$16,MATCH(E18,Inputs!$A$11:$A$16,0))</f>
        <v>10</v>
      </c>
      <c r="S18" s="27" t="n">
        <f aca="false">IF(F18="",0,F18)*R18/100</f>
        <v>696000</v>
      </c>
      <c r="T18" s="7" t="n">
        <f aca="false">Inputs!$B$4-J18</f>
        <v>9</v>
      </c>
      <c r="U18" s="7" t="n">
        <f aca="false">IF(OR(F18="",F18=0),1,0)</f>
        <v>0</v>
      </c>
      <c r="V18" s="7" t="n">
        <f aca="false">IF(K18="",1,0)</f>
        <v>0</v>
      </c>
      <c r="W18" s="7" t="n">
        <f aca="false">IF(AND(O18=1,K18&lt;&gt;"",COUNTIFS(Owners!$A$5:$A$32,K18,Owners!$E$5:$E$32,"No")&gt;0),1,0)</f>
        <v>0</v>
      </c>
      <c r="X18" s="7" t="n">
        <f aca="false">IF(AND(O18=1,I18&lt;Inputs!$B$4),1,0)</f>
        <v>0</v>
      </c>
      <c r="Y18" s="7" t="n">
        <f aca="false">IF(AND(O18=1,T18&gt;Inputs!$B$5),1,0)</f>
        <v>0</v>
      </c>
      <c r="Z18" s="7" t="n">
        <f aca="false">IF(AND(O18=1,G18&lt;&gt;R18),1,0)</f>
        <v>0</v>
      </c>
      <c r="AA18" s="7" t="n">
        <f aca="false">IF(AND(O18=1,M18=""),1,0)</f>
        <v>0</v>
      </c>
      <c r="AB18" s="7" t="n">
        <f aca="false">IF(AND(E18="Closed Lost",N18=""),1,0)</f>
        <v>0</v>
      </c>
      <c r="AC18" s="7" t="n">
        <f aca="false">SUM(U18:AB18)</f>
        <v>0</v>
      </c>
      <c r="AD18" s="7" t="n">
        <f aca="false">IF(AC18=0,1,0)</f>
        <v>1</v>
      </c>
      <c r="AE18" s="7" t="n">
        <f aca="false">IF(AND(O18=1,I18&gt;=Inputs!$B$6,I18&lt;=Inputs!$B$7),1,0)</f>
        <v>1</v>
      </c>
      <c r="AF18" s="7" t="n">
        <f aca="false">IF(AND(E18="Closed Won",I18&gt;=Inputs!$B$6,I18&lt;=Inputs!$B$4),1,0)</f>
        <v>0</v>
      </c>
      <c r="AG18" s="7" t="n">
        <f aca="false">IF(AND(O18=0,I18&gt;Inputs!$B$4-Inputs!$B$8,I18&lt;=Inputs!$B$4),1,0)</f>
        <v>0</v>
      </c>
      <c r="AH18" s="7" t="n">
        <f aca="false">I18-H18</f>
        <v>68</v>
      </c>
    </row>
    <row r="19" customFormat="false" ht="15" hidden="false" customHeight="false" outlineLevel="0" collapsed="false">
      <c r="A19" s="16" t="s">
        <v>620</v>
      </c>
      <c r="B19" s="16" t="s">
        <v>94</v>
      </c>
      <c r="C19" s="16" t="s">
        <v>621</v>
      </c>
      <c r="D19" s="16" t="s">
        <v>165</v>
      </c>
      <c r="E19" s="16" t="s">
        <v>528</v>
      </c>
      <c r="F19" s="26" t="n">
        <v>10433000</v>
      </c>
      <c r="G19" s="25" t="n">
        <v>50</v>
      </c>
      <c r="H19" s="22" t="n">
        <v>46165</v>
      </c>
      <c r="I19" s="22" t="n">
        <v>46281</v>
      </c>
      <c r="J19" s="22" t="n">
        <v>46284</v>
      </c>
      <c r="K19" s="16" t="s">
        <v>622</v>
      </c>
      <c r="L19" s="16" t="s">
        <v>584</v>
      </c>
      <c r="M19" s="16" t="s">
        <v>613</v>
      </c>
      <c r="N19" s="16"/>
      <c r="O19" s="7" t="n">
        <f aca="false">IF(OR(E19="Closed Won",E19="Closed Lost"),0,1)</f>
        <v>1</v>
      </c>
      <c r="P19" s="17" t="str">
        <f aca="false">INDEX(Accounts!$K$5:$K$336,MATCH(B19,Accounts!$A$5:$A$336,0))</f>
        <v>Technology, Media &amp; Telecom</v>
      </c>
      <c r="Q19" s="17" t="str">
        <f aca="false">INDEX(Accounts!$D$5:$D$336,MATCH(B19,Accounts!$A$5:$A$336,0))</f>
        <v>Priority</v>
      </c>
      <c r="R19" s="7" t="n">
        <f aca="false">INDEX(Inputs!$B$11:$B$16,MATCH(E19,Inputs!$A$11:$A$16,0))</f>
        <v>50</v>
      </c>
      <c r="S19" s="27" t="n">
        <f aca="false">IF(F19="",0,F19)*R19/100</f>
        <v>5216500</v>
      </c>
      <c r="T19" s="7" t="n">
        <f aca="false">Inputs!$B$4-J19</f>
        <v>30</v>
      </c>
      <c r="U19" s="7" t="n">
        <f aca="false">IF(OR(F19="",F19=0),1,0)</f>
        <v>0</v>
      </c>
      <c r="V19" s="7" t="n">
        <f aca="false">IF(K19="",1,0)</f>
        <v>0</v>
      </c>
      <c r="W19" s="7" t="n">
        <f aca="false">IF(AND(O19=1,K19&lt;&gt;"",COUNTIFS(Owners!$A$5:$A$32,K19,Owners!$E$5:$E$32,"No")&gt;0),1,0)</f>
        <v>0</v>
      </c>
      <c r="X19" s="7" t="n">
        <f aca="false">IF(AND(O19=1,I19&lt;Inputs!$B$4),1,0)</f>
        <v>1</v>
      </c>
      <c r="Y19" s="7" t="n">
        <f aca="false">IF(AND(O19=1,T19&gt;Inputs!$B$5),1,0)</f>
        <v>0</v>
      </c>
      <c r="Z19" s="7" t="n">
        <f aca="false">IF(AND(O19=1,G19&lt;&gt;R19),1,0)</f>
        <v>0</v>
      </c>
      <c r="AA19" s="7" t="n">
        <f aca="false">IF(AND(O19=1,M19=""),1,0)</f>
        <v>0</v>
      </c>
      <c r="AB19" s="7" t="n">
        <f aca="false">IF(AND(E19="Closed Lost",N19=""),1,0)</f>
        <v>0</v>
      </c>
      <c r="AC19" s="7" t="n">
        <f aca="false">SUM(U19:AB19)</f>
        <v>1</v>
      </c>
      <c r="AD19" s="7" t="n">
        <f aca="false">IF(AC19=0,1,0)</f>
        <v>0</v>
      </c>
      <c r="AE19" s="7" t="n">
        <f aca="false">IF(AND(O19=1,I19&gt;=Inputs!$B$6,I19&lt;=Inputs!$B$7),1,0)</f>
        <v>1</v>
      </c>
      <c r="AF19" s="7" t="n">
        <f aca="false">IF(AND(E19="Closed Won",I19&gt;=Inputs!$B$6,I19&lt;=Inputs!$B$4),1,0)</f>
        <v>0</v>
      </c>
      <c r="AG19" s="7" t="n">
        <f aca="false">IF(AND(O19=0,I19&gt;Inputs!$B$4-Inputs!$B$8,I19&lt;=Inputs!$B$4),1,0)</f>
        <v>0</v>
      </c>
      <c r="AH19" s="7" t="n">
        <f aca="false">I19-H19</f>
        <v>116</v>
      </c>
    </row>
    <row r="20" customFormat="false" ht="15" hidden="false" customHeight="false" outlineLevel="0" collapsed="false">
      <c r="A20" s="16" t="s">
        <v>623</v>
      </c>
      <c r="B20" s="16" t="s">
        <v>359</v>
      </c>
      <c r="C20" s="16" t="s">
        <v>624</v>
      </c>
      <c r="D20" s="16" t="s">
        <v>167</v>
      </c>
      <c r="E20" s="16" t="s">
        <v>530</v>
      </c>
      <c r="F20" s="26" t="n">
        <v>3840000</v>
      </c>
      <c r="G20" s="25" t="n">
        <v>100</v>
      </c>
      <c r="H20" s="22" t="n">
        <v>45989</v>
      </c>
      <c r="I20" s="22" t="n">
        <v>46096</v>
      </c>
      <c r="J20" s="22" t="n">
        <v>46096</v>
      </c>
      <c r="K20" s="16" t="s">
        <v>588</v>
      </c>
      <c r="L20" s="16" t="s">
        <v>584</v>
      </c>
      <c r="M20" s="16"/>
      <c r="N20" s="16"/>
      <c r="O20" s="7" t="n">
        <f aca="false">IF(OR(E20="Closed Won",E20="Closed Lost"),0,1)</f>
        <v>0</v>
      </c>
      <c r="P20" s="17" t="str">
        <f aca="false">INDEX(Accounts!$K$5:$K$336,MATCH(B20,Accounts!$A$5:$A$336,0))</f>
        <v>Health</v>
      </c>
      <c r="Q20" s="17" t="str">
        <f aca="false">INDEX(Accounts!$D$5:$D$336,MATCH(B20,Accounts!$A$5:$A$336,0))</f>
        <v>Standard</v>
      </c>
      <c r="R20" s="7" t="n">
        <f aca="false">INDEX(Inputs!$B$11:$B$16,MATCH(E20,Inputs!$A$11:$A$16,0))</f>
        <v>100</v>
      </c>
      <c r="S20" s="27" t="n">
        <f aca="false">IF(F20="",0,F20)*R20/100</f>
        <v>3840000</v>
      </c>
      <c r="T20" s="7" t="n">
        <f aca="false">Inputs!$B$4-J20</f>
        <v>218</v>
      </c>
      <c r="U20" s="7" t="n">
        <f aca="false">IF(OR(F20="",F20=0),1,0)</f>
        <v>0</v>
      </c>
      <c r="V20" s="7" t="n">
        <f aca="false">IF(K20="",1,0)</f>
        <v>0</v>
      </c>
      <c r="W20" s="7" t="n">
        <f aca="false">IF(AND(O20=1,K20&lt;&gt;"",COUNTIFS(Owners!$A$5:$A$32,K20,Owners!$E$5:$E$32,"No")&gt;0),1,0)</f>
        <v>0</v>
      </c>
      <c r="X20" s="7" t="n">
        <f aca="false">IF(AND(O20=1,I20&lt;Inputs!$B$4),1,0)</f>
        <v>0</v>
      </c>
      <c r="Y20" s="7" t="n">
        <f aca="false">IF(AND(O20=1,T20&gt;Inputs!$B$5),1,0)</f>
        <v>0</v>
      </c>
      <c r="Z20" s="7" t="n">
        <f aca="false">IF(AND(O20=1,G20&lt;&gt;R20),1,0)</f>
        <v>0</v>
      </c>
      <c r="AA20" s="7" t="n">
        <f aca="false">IF(AND(O20=1,M20=""),1,0)</f>
        <v>0</v>
      </c>
      <c r="AB20" s="7" t="n">
        <f aca="false">IF(AND(E20="Closed Lost",N20=""),1,0)</f>
        <v>0</v>
      </c>
      <c r="AC20" s="7" t="n">
        <f aca="false">SUM(U20:AB20)</f>
        <v>0</v>
      </c>
      <c r="AD20" s="7" t="n">
        <f aca="false">IF(AC20=0,1,0)</f>
        <v>1</v>
      </c>
      <c r="AE20" s="7" t="n">
        <f aca="false">IF(AND(O20=1,I20&gt;=Inputs!$B$6,I20&lt;=Inputs!$B$7),1,0)</f>
        <v>0</v>
      </c>
      <c r="AF20" s="7" t="n">
        <f aca="false">IF(AND(E20="Closed Won",I20&gt;=Inputs!$B$6,I20&lt;=Inputs!$B$4),1,0)</f>
        <v>0</v>
      </c>
      <c r="AG20" s="7" t="n">
        <f aca="false">IF(AND(O20=0,I20&gt;Inputs!$B$4-Inputs!$B$8,I20&lt;=Inputs!$B$4),1,0)</f>
        <v>1</v>
      </c>
      <c r="AH20" s="7" t="n">
        <f aca="false">I20-H20</f>
        <v>107</v>
      </c>
    </row>
    <row r="21" customFormat="false" ht="15" hidden="false" customHeight="false" outlineLevel="0" collapsed="false">
      <c r="A21" s="16" t="s">
        <v>625</v>
      </c>
      <c r="B21" s="16" t="s">
        <v>69</v>
      </c>
      <c r="C21" s="16" t="s">
        <v>626</v>
      </c>
      <c r="D21" s="16" t="s">
        <v>167</v>
      </c>
      <c r="E21" s="16" t="s">
        <v>530</v>
      </c>
      <c r="F21" s="26" t="n">
        <v>6278000</v>
      </c>
      <c r="G21" s="25" t="n">
        <v>100</v>
      </c>
      <c r="H21" s="22" t="n">
        <v>46153</v>
      </c>
      <c r="I21" s="22" t="n">
        <v>46238</v>
      </c>
      <c r="J21" s="22" t="n">
        <v>46238</v>
      </c>
      <c r="K21" s="16" t="s">
        <v>604</v>
      </c>
      <c r="L21" s="16" t="s">
        <v>584</v>
      </c>
      <c r="M21" s="16"/>
      <c r="N21" s="16"/>
      <c r="O21" s="7" t="n">
        <f aca="false">IF(OR(E21="Closed Won",E21="Closed Lost"),0,1)</f>
        <v>0</v>
      </c>
      <c r="P21" s="17" t="str">
        <f aca="false">INDEX(Accounts!$K$5:$K$336,MATCH(B21,Accounts!$A$5:$A$336,0))</f>
        <v>Financial Services</v>
      </c>
      <c r="Q21" s="17" t="str">
        <f aca="false">INDEX(Accounts!$D$5:$D$336,MATCH(B21,Accounts!$A$5:$A$336,0))</f>
        <v>Priority</v>
      </c>
      <c r="R21" s="7" t="n">
        <f aca="false">INDEX(Inputs!$B$11:$B$16,MATCH(E21,Inputs!$A$11:$A$16,0))</f>
        <v>100</v>
      </c>
      <c r="S21" s="27" t="n">
        <f aca="false">IF(F21="",0,F21)*R21/100</f>
        <v>6278000</v>
      </c>
      <c r="T21" s="7" t="n">
        <f aca="false">Inputs!$B$4-J21</f>
        <v>76</v>
      </c>
      <c r="U21" s="7" t="n">
        <f aca="false">IF(OR(F21="",F21=0),1,0)</f>
        <v>0</v>
      </c>
      <c r="V21" s="7" t="n">
        <f aca="false">IF(K21="",1,0)</f>
        <v>0</v>
      </c>
      <c r="W21" s="7" t="n">
        <f aca="false">IF(AND(O21=1,K21&lt;&gt;"",COUNTIFS(Owners!$A$5:$A$32,K21,Owners!$E$5:$E$32,"No")&gt;0),1,0)</f>
        <v>0</v>
      </c>
      <c r="X21" s="7" t="n">
        <f aca="false">IF(AND(O21=1,I21&lt;Inputs!$B$4),1,0)</f>
        <v>0</v>
      </c>
      <c r="Y21" s="7" t="n">
        <f aca="false">IF(AND(O21=1,T21&gt;Inputs!$B$5),1,0)</f>
        <v>0</v>
      </c>
      <c r="Z21" s="7" t="n">
        <f aca="false">IF(AND(O21=1,G21&lt;&gt;R21),1,0)</f>
        <v>0</v>
      </c>
      <c r="AA21" s="7" t="n">
        <f aca="false">IF(AND(O21=1,M21=""),1,0)</f>
        <v>0</v>
      </c>
      <c r="AB21" s="7" t="n">
        <f aca="false">IF(AND(E21="Closed Lost",N21=""),1,0)</f>
        <v>0</v>
      </c>
      <c r="AC21" s="7" t="n">
        <f aca="false">SUM(U21:AB21)</f>
        <v>0</v>
      </c>
      <c r="AD21" s="7" t="n">
        <f aca="false">IF(AC21=0,1,0)</f>
        <v>1</v>
      </c>
      <c r="AE21" s="7" t="n">
        <f aca="false">IF(AND(O21=1,I21&gt;=Inputs!$B$6,I21&lt;=Inputs!$B$7),1,0)</f>
        <v>0</v>
      </c>
      <c r="AF21" s="7" t="n">
        <f aca="false">IF(AND(E21="Closed Won",I21&gt;=Inputs!$B$6,I21&lt;=Inputs!$B$4),1,0)</f>
        <v>1</v>
      </c>
      <c r="AG21" s="7" t="n">
        <f aca="false">IF(AND(O21=0,I21&gt;Inputs!$B$4-Inputs!$B$8,I21&lt;=Inputs!$B$4),1,0)</f>
        <v>1</v>
      </c>
      <c r="AH21" s="7" t="n">
        <f aca="false">I21-H21</f>
        <v>85</v>
      </c>
    </row>
    <row r="22" customFormat="false" ht="15" hidden="false" customHeight="false" outlineLevel="0" collapsed="false">
      <c r="A22" s="16" t="s">
        <v>627</v>
      </c>
      <c r="B22" s="16" t="s">
        <v>244</v>
      </c>
      <c r="C22" s="16" t="s">
        <v>628</v>
      </c>
      <c r="D22" s="16" t="s">
        <v>167</v>
      </c>
      <c r="E22" s="16" t="s">
        <v>530</v>
      </c>
      <c r="F22" s="26" t="n">
        <v>14738000</v>
      </c>
      <c r="G22" s="25" t="n">
        <v>100</v>
      </c>
      <c r="H22" s="22" t="n">
        <v>45990</v>
      </c>
      <c r="I22" s="22" t="n">
        <v>46050</v>
      </c>
      <c r="J22" s="22" t="n">
        <v>46050</v>
      </c>
      <c r="K22" s="16" t="s">
        <v>622</v>
      </c>
      <c r="L22" s="16" t="s">
        <v>500</v>
      </c>
      <c r="M22" s="16"/>
      <c r="N22" s="16"/>
      <c r="O22" s="7" t="n">
        <f aca="false">IF(OR(E22="Closed Won",E22="Closed Lost"),0,1)</f>
        <v>0</v>
      </c>
      <c r="P22" s="17" t="str">
        <f aca="false">INDEX(Accounts!$K$5:$K$336,MATCH(B22,Accounts!$A$5:$A$336,0))</f>
        <v>Financial Services</v>
      </c>
      <c r="Q22" s="17" t="str">
        <f aca="false">INDEX(Accounts!$D$5:$D$336,MATCH(B22,Accounts!$A$5:$A$336,0))</f>
        <v>Key</v>
      </c>
      <c r="R22" s="7" t="n">
        <f aca="false">INDEX(Inputs!$B$11:$B$16,MATCH(E22,Inputs!$A$11:$A$16,0))</f>
        <v>100</v>
      </c>
      <c r="S22" s="27" t="n">
        <f aca="false">IF(F22="",0,F22)*R22/100</f>
        <v>14738000</v>
      </c>
      <c r="T22" s="7" t="n">
        <f aca="false">Inputs!$B$4-J22</f>
        <v>264</v>
      </c>
      <c r="U22" s="7" t="n">
        <f aca="false">IF(OR(F22="",F22=0),1,0)</f>
        <v>0</v>
      </c>
      <c r="V22" s="7" t="n">
        <f aca="false">IF(K22="",1,0)</f>
        <v>0</v>
      </c>
      <c r="W22" s="7" t="n">
        <f aca="false">IF(AND(O22=1,K22&lt;&gt;"",COUNTIFS(Owners!$A$5:$A$32,K22,Owners!$E$5:$E$32,"No")&gt;0),1,0)</f>
        <v>0</v>
      </c>
      <c r="X22" s="7" t="n">
        <f aca="false">IF(AND(O22=1,I22&lt;Inputs!$B$4),1,0)</f>
        <v>0</v>
      </c>
      <c r="Y22" s="7" t="n">
        <f aca="false">IF(AND(O22=1,T22&gt;Inputs!$B$5),1,0)</f>
        <v>0</v>
      </c>
      <c r="Z22" s="7" t="n">
        <f aca="false">IF(AND(O22=1,G22&lt;&gt;R22),1,0)</f>
        <v>0</v>
      </c>
      <c r="AA22" s="7" t="n">
        <f aca="false">IF(AND(O22=1,M22=""),1,0)</f>
        <v>0</v>
      </c>
      <c r="AB22" s="7" t="n">
        <f aca="false">IF(AND(E22="Closed Lost",N22=""),1,0)</f>
        <v>0</v>
      </c>
      <c r="AC22" s="7" t="n">
        <f aca="false">SUM(U22:AB22)</f>
        <v>0</v>
      </c>
      <c r="AD22" s="7" t="n">
        <f aca="false">IF(AC22=0,1,0)</f>
        <v>1</v>
      </c>
      <c r="AE22" s="7" t="n">
        <f aca="false">IF(AND(O22=1,I22&gt;=Inputs!$B$6,I22&lt;=Inputs!$B$7),1,0)</f>
        <v>0</v>
      </c>
      <c r="AF22" s="7" t="n">
        <f aca="false">IF(AND(E22="Closed Won",I22&gt;=Inputs!$B$6,I22&lt;=Inputs!$B$4),1,0)</f>
        <v>0</v>
      </c>
      <c r="AG22" s="7" t="n">
        <f aca="false">IF(AND(O22=0,I22&gt;Inputs!$B$4-Inputs!$B$8,I22&lt;=Inputs!$B$4),1,0)</f>
        <v>1</v>
      </c>
      <c r="AH22" s="7" t="n">
        <f aca="false">I22-H22</f>
        <v>60</v>
      </c>
    </row>
    <row r="23" customFormat="false" ht="15" hidden="false" customHeight="false" outlineLevel="0" collapsed="false">
      <c r="A23" s="16" t="s">
        <v>629</v>
      </c>
      <c r="B23" s="16" t="s">
        <v>71</v>
      </c>
      <c r="C23" s="16" t="s">
        <v>630</v>
      </c>
      <c r="D23" s="16" t="s">
        <v>162</v>
      </c>
      <c r="E23" s="16" t="s">
        <v>530</v>
      </c>
      <c r="F23" s="26" t="n">
        <v>12321000</v>
      </c>
      <c r="G23" s="25" t="n">
        <v>100</v>
      </c>
      <c r="H23" s="22" t="n">
        <v>46039</v>
      </c>
      <c r="I23" s="22" t="n">
        <v>46138</v>
      </c>
      <c r="J23" s="22" t="n">
        <v>46138</v>
      </c>
      <c r="K23" s="16"/>
      <c r="L23" s="16" t="s">
        <v>574</v>
      </c>
      <c r="M23" s="16"/>
      <c r="N23" s="16"/>
      <c r="O23" s="7" t="n">
        <f aca="false">IF(OR(E23="Closed Won",E23="Closed Lost"),0,1)</f>
        <v>0</v>
      </c>
      <c r="P23" s="17" t="str">
        <f aca="false">INDEX(Accounts!$K$5:$K$336,MATCH(B23,Accounts!$A$5:$A$336,0))</f>
        <v>Energy &amp; Resources</v>
      </c>
      <c r="Q23" s="17" t="str">
        <f aca="false">INDEX(Accounts!$D$5:$D$336,MATCH(B23,Accounts!$A$5:$A$336,0))</f>
        <v>Priority</v>
      </c>
      <c r="R23" s="7" t="n">
        <f aca="false">INDEX(Inputs!$B$11:$B$16,MATCH(E23,Inputs!$A$11:$A$16,0))</f>
        <v>100</v>
      </c>
      <c r="S23" s="27" t="n">
        <f aca="false">IF(F23="",0,F23)*R23/100</f>
        <v>12321000</v>
      </c>
      <c r="T23" s="7" t="n">
        <f aca="false">Inputs!$B$4-J23</f>
        <v>176</v>
      </c>
      <c r="U23" s="7" t="n">
        <f aca="false">IF(OR(F23="",F23=0),1,0)</f>
        <v>0</v>
      </c>
      <c r="V23" s="7" t="n">
        <f aca="false">IF(K23="",1,0)</f>
        <v>1</v>
      </c>
      <c r="W23" s="7" t="n">
        <f aca="false">IF(AND(O23=1,K23&lt;&gt;"",COUNTIFS(Owners!$A$5:$A$32,K23,Owners!$E$5:$E$32,"No")&gt;0),1,0)</f>
        <v>0</v>
      </c>
      <c r="X23" s="7" t="n">
        <f aca="false">IF(AND(O23=1,I23&lt;Inputs!$B$4),1,0)</f>
        <v>0</v>
      </c>
      <c r="Y23" s="7" t="n">
        <f aca="false">IF(AND(O23=1,T23&gt;Inputs!$B$5),1,0)</f>
        <v>0</v>
      </c>
      <c r="Z23" s="7" t="n">
        <f aca="false">IF(AND(O23=1,G23&lt;&gt;R23),1,0)</f>
        <v>0</v>
      </c>
      <c r="AA23" s="7" t="n">
        <f aca="false">IF(AND(O23=1,M23=""),1,0)</f>
        <v>0</v>
      </c>
      <c r="AB23" s="7" t="n">
        <f aca="false">IF(AND(E23="Closed Lost",N23=""),1,0)</f>
        <v>0</v>
      </c>
      <c r="AC23" s="7" t="n">
        <f aca="false">SUM(U23:AB23)</f>
        <v>1</v>
      </c>
      <c r="AD23" s="7" t="n">
        <f aca="false">IF(AC23=0,1,0)</f>
        <v>0</v>
      </c>
      <c r="AE23" s="7" t="n">
        <f aca="false">IF(AND(O23=1,I23&gt;=Inputs!$B$6,I23&lt;=Inputs!$B$7),1,0)</f>
        <v>0</v>
      </c>
      <c r="AF23" s="7" t="n">
        <f aca="false">IF(AND(E23="Closed Won",I23&gt;=Inputs!$B$6,I23&lt;=Inputs!$B$4),1,0)</f>
        <v>0</v>
      </c>
      <c r="AG23" s="7" t="n">
        <f aca="false">IF(AND(O23=0,I23&gt;Inputs!$B$4-Inputs!$B$8,I23&lt;=Inputs!$B$4),1,0)</f>
        <v>1</v>
      </c>
      <c r="AH23" s="7" t="n">
        <f aca="false">I23-H23</f>
        <v>99</v>
      </c>
    </row>
    <row r="24" customFormat="false" ht="15" hidden="false" customHeight="false" outlineLevel="0" collapsed="false">
      <c r="A24" s="16" t="s">
        <v>631</v>
      </c>
      <c r="B24" s="16" t="s">
        <v>77</v>
      </c>
      <c r="C24" s="16" t="s">
        <v>632</v>
      </c>
      <c r="D24" s="16" t="s">
        <v>167</v>
      </c>
      <c r="E24" s="16" t="s">
        <v>530</v>
      </c>
      <c r="F24" s="26" t="n">
        <v>10584000</v>
      </c>
      <c r="G24" s="25" t="n">
        <v>100</v>
      </c>
      <c r="H24" s="22" t="n">
        <v>45958</v>
      </c>
      <c r="I24" s="22" t="n">
        <v>46113</v>
      </c>
      <c r="J24" s="22" t="n">
        <v>46113</v>
      </c>
      <c r="K24" s="16" t="s">
        <v>633</v>
      </c>
      <c r="L24" s="16" t="s">
        <v>592</v>
      </c>
      <c r="M24" s="16"/>
      <c r="N24" s="16"/>
      <c r="O24" s="7" t="n">
        <f aca="false">IF(OR(E24="Closed Won",E24="Closed Lost"),0,1)</f>
        <v>0</v>
      </c>
      <c r="P24" s="17" t="str">
        <f aca="false">INDEX(Accounts!$K$5:$K$336,MATCH(B24,Accounts!$A$5:$A$336,0))</f>
        <v>Financial Services</v>
      </c>
      <c r="Q24" s="17" t="str">
        <f aca="false">INDEX(Accounts!$D$5:$D$336,MATCH(B24,Accounts!$A$5:$A$336,0))</f>
        <v>Priority</v>
      </c>
      <c r="R24" s="7" t="n">
        <f aca="false">INDEX(Inputs!$B$11:$B$16,MATCH(E24,Inputs!$A$11:$A$16,0))</f>
        <v>100</v>
      </c>
      <c r="S24" s="27" t="n">
        <f aca="false">IF(F24="",0,F24)*R24/100</f>
        <v>10584000</v>
      </c>
      <c r="T24" s="7" t="n">
        <f aca="false">Inputs!$B$4-J24</f>
        <v>201</v>
      </c>
      <c r="U24" s="7" t="n">
        <f aca="false">IF(OR(F24="",F24=0),1,0)</f>
        <v>0</v>
      </c>
      <c r="V24" s="7" t="n">
        <f aca="false">IF(K24="",1,0)</f>
        <v>0</v>
      </c>
      <c r="W24" s="7" t="n">
        <f aca="false">IF(AND(O24=1,K24&lt;&gt;"",COUNTIFS(Owners!$A$5:$A$32,K24,Owners!$E$5:$E$32,"No")&gt;0),1,0)</f>
        <v>0</v>
      </c>
      <c r="X24" s="7" t="n">
        <f aca="false">IF(AND(O24=1,I24&lt;Inputs!$B$4),1,0)</f>
        <v>0</v>
      </c>
      <c r="Y24" s="7" t="n">
        <f aca="false">IF(AND(O24=1,T24&gt;Inputs!$B$5),1,0)</f>
        <v>0</v>
      </c>
      <c r="Z24" s="7" t="n">
        <f aca="false">IF(AND(O24=1,G24&lt;&gt;R24),1,0)</f>
        <v>0</v>
      </c>
      <c r="AA24" s="7" t="n">
        <f aca="false">IF(AND(O24=1,M24=""),1,0)</f>
        <v>0</v>
      </c>
      <c r="AB24" s="7" t="n">
        <f aca="false">IF(AND(E24="Closed Lost",N24=""),1,0)</f>
        <v>0</v>
      </c>
      <c r="AC24" s="7" t="n">
        <f aca="false">SUM(U24:AB24)</f>
        <v>0</v>
      </c>
      <c r="AD24" s="7" t="n">
        <f aca="false">IF(AC24=0,1,0)</f>
        <v>1</v>
      </c>
      <c r="AE24" s="7" t="n">
        <f aca="false">IF(AND(O24=1,I24&gt;=Inputs!$B$6,I24&lt;=Inputs!$B$7),1,0)</f>
        <v>0</v>
      </c>
      <c r="AF24" s="7" t="n">
        <f aca="false">IF(AND(E24="Closed Won",I24&gt;=Inputs!$B$6,I24&lt;=Inputs!$B$4),1,0)</f>
        <v>0</v>
      </c>
      <c r="AG24" s="7" t="n">
        <f aca="false">IF(AND(O24=0,I24&gt;Inputs!$B$4-Inputs!$B$8,I24&lt;=Inputs!$B$4),1,0)</f>
        <v>1</v>
      </c>
      <c r="AH24" s="7" t="n">
        <f aca="false">I24-H24</f>
        <v>155</v>
      </c>
    </row>
    <row r="25" customFormat="false" ht="15" hidden="false" customHeight="false" outlineLevel="0" collapsed="false">
      <c r="A25" s="16" t="s">
        <v>634</v>
      </c>
      <c r="B25" s="16" t="s">
        <v>635</v>
      </c>
      <c r="C25" s="16" t="s">
        <v>636</v>
      </c>
      <c r="D25" s="16" t="s">
        <v>167</v>
      </c>
      <c r="E25" s="16" t="s">
        <v>531</v>
      </c>
      <c r="F25" s="26" t="n">
        <v>26258000</v>
      </c>
      <c r="G25" s="25" t="n">
        <v>0</v>
      </c>
      <c r="H25" s="22" t="n">
        <v>46017</v>
      </c>
      <c r="I25" s="22" t="n">
        <v>46107</v>
      </c>
      <c r="J25" s="22" t="n">
        <v>46107</v>
      </c>
      <c r="K25" s="16" t="s">
        <v>637</v>
      </c>
      <c r="L25" s="16" t="s">
        <v>584</v>
      </c>
      <c r="M25" s="16"/>
      <c r="N25" s="16" t="s">
        <v>579</v>
      </c>
      <c r="O25" s="7" t="n">
        <f aca="false">IF(OR(E25="Closed Won",E25="Closed Lost"),0,1)</f>
        <v>0</v>
      </c>
      <c r="P25" s="17" t="str">
        <f aca="false">INDEX(Accounts!$K$5:$K$336,MATCH(B25,Accounts!$A$5:$A$336,0))</f>
        <v>Public Sector &amp; Development</v>
      </c>
      <c r="Q25" s="17" t="str">
        <f aca="false">INDEX(Accounts!$D$5:$D$336,MATCH(B25,Accounts!$A$5:$A$336,0))</f>
        <v>Standard</v>
      </c>
      <c r="R25" s="7" t="n">
        <f aca="false">INDEX(Inputs!$B$11:$B$16,MATCH(E25,Inputs!$A$11:$A$16,0))</f>
        <v>0</v>
      </c>
      <c r="S25" s="27" t="n">
        <f aca="false">IF(F25="",0,F25)*R25/100</f>
        <v>0</v>
      </c>
      <c r="T25" s="7" t="n">
        <f aca="false">Inputs!$B$4-J25</f>
        <v>207</v>
      </c>
      <c r="U25" s="7" t="n">
        <f aca="false">IF(OR(F25="",F25=0),1,0)</f>
        <v>0</v>
      </c>
      <c r="V25" s="7" t="n">
        <f aca="false">IF(K25="",1,0)</f>
        <v>0</v>
      </c>
      <c r="W25" s="7" t="n">
        <f aca="false">IF(AND(O25=1,K25&lt;&gt;"",COUNTIFS(Owners!$A$5:$A$32,K25,Owners!$E$5:$E$32,"No")&gt;0),1,0)</f>
        <v>0</v>
      </c>
      <c r="X25" s="7" t="n">
        <f aca="false">IF(AND(O25=1,I25&lt;Inputs!$B$4),1,0)</f>
        <v>0</v>
      </c>
      <c r="Y25" s="7" t="n">
        <f aca="false">IF(AND(O25=1,T25&gt;Inputs!$B$5),1,0)</f>
        <v>0</v>
      </c>
      <c r="Z25" s="7" t="n">
        <f aca="false">IF(AND(O25=1,G25&lt;&gt;R25),1,0)</f>
        <v>0</v>
      </c>
      <c r="AA25" s="7" t="n">
        <f aca="false">IF(AND(O25=1,M25=""),1,0)</f>
        <v>0</v>
      </c>
      <c r="AB25" s="7" t="n">
        <f aca="false">IF(AND(E25="Closed Lost",N25=""),1,0)</f>
        <v>0</v>
      </c>
      <c r="AC25" s="7" t="n">
        <f aca="false">SUM(U25:AB25)</f>
        <v>0</v>
      </c>
      <c r="AD25" s="7" t="n">
        <f aca="false">IF(AC25=0,1,0)</f>
        <v>1</v>
      </c>
      <c r="AE25" s="7" t="n">
        <f aca="false">IF(AND(O25=1,I25&gt;=Inputs!$B$6,I25&lt;=Inputs!$B$7),1,0)</f>
        <v>0</v>
      </c>
      <c r="AF25" s="7" t="n">
        <f aca="false">IF(AND(E25="Closed Won",I25&gt;=Inputs!$B$6,I25&lt;=Inputs!$B$4),1,0)</f>
        <v>0</v>
      </c>
      <c r="AG25" s="7" t="n">
        <f aca="false">IF(AND(O25=0,I25&gt;Inputs!$B$4-Inputs!$B$8,I25&lt;=Inputs!$B$4),1,0)</f>
        <v>1</v>
      </c>
      <c r="AH25" s="7" t="n">
        <f aca="false">I25-H25</f>
        <v>90</v>
      </c>
    </row>
    <row r="26" customFormat="false" ht="15" hidden="false" customHeight="false" outlineLevel="0" collapsed="false">
      <c r="A26" s="16" t="s">
        <v>638</v>
      </c>
      <c r="B26" s="16" t="s">
        <v>87</v>
      </c>
      <c r="C26" s="16" t="s">
        <v>639</v>
      </c>
      <c r="D26" s="16" t="s">
        <v>167</v>
      </c>
      <c r="E26" s="16" t="s">
        <v>531</v>
      </c>
      <c r="F26" s="26" t="n">
        <v>19420000</v>
      </c>
      <c r="G26" s="25" t="n">
        <v>0</v>
      </c>
      <c r="H26" s="22" t="n">
        <v>46048</v>
      </c>
      <c r="I26" s="22" t="n">
        <v>46150</v>
      </c>
      <c r="J26" s="22" t="n">
        <v>46150</v>
      </c>
      <c r="K26" s="16" t="s">
        <v>640</v>
      </c>
      <c r="L26" s="16" t="s">
        <v>584</v>
      </c>
      <c r="M26" s="16"/>
      <c r="N26" s="16" t="s">
        <v>579</v>
      </c>
      <c r="O26" s="7" t="n">
        <f aca="false">IF(OR(E26="Closed Won",E26="Closed Lost"),0,1)</f>
        <v>0</v>
      </c>
      <c r="P26" s="17" t="str">
        <f aca="false">INDEX(Accounts!$K$5:$K$336,MATCH(B26,Accounts!$A$5:$A$336,0))</f>
        <v>Unassigned</v>
      </c>
      <c r="Q26" s="17" t="str">
        <f aca="false">INDEX(Accounts!$D$5:$D$336,MATCH(B26,Accounts!$A$5:$A$336,0))</f>
        <v>Priority</v>
      </c>
      <c r="R26" s="7" t="n">
        <f aca="false">INDEX(Inputs!$B$11:$B$16,MATCH(E26,Inputs!$A$11:$A$16,0))</f>
        <v>0</v>
      </c>
      <c r="S26" s="27" t="n">
        <f aca="false">IF(F26="",0,F26)*R26/100</f>
        <v>0</v>
      </c>
      <c r="T26" s="7" t="n">
        <f aca="false">Inputs!$B$4-J26</f>
        <v>164</v>
      </c>
      <c r="U26" s="7" t="n">
        <f aca="false">IF(OR(F26="",F26=0),1,0)</f>
        <v>0</v>
      </c>
      <c r="V26" s="7" t="n">
        <f aca="false">IF(K26="",1,0)</f>
        <v>0</v>
      </c>
      <c r="W26" s="7" t="n">
        <f aca="false">IF(AND(O26=1,K26&lt;&gt;"",COUNTIFS(Owners!$A$5:$A$32,K26,Owners!$E$5:$E$32,"No")&gt;0),1,0)</f>
        <v>0</v>
      </c>
      <c r="X26" s="7" t="n">
        <f aca="false">IF(AND(O26=1,I26&lt;Inputs!$B$4),1,0)</f>
        <v>0</v>
      </c>
      <c r="Y26" s="7" t="n">
        <f aca="false">IF(AND(O26=1,T26&gt;Inputs!$B$5),1,0)</f>
        <v>0</v>
      </c>
      <c r="Z26" s="7" t="n">
        <f aca="false">IF(AND(O26=1,G26&lt;&gt;R26),1,0)</f>
        <v>0</v>
      </c>
      <c r="AA26" s="7" t="n">
        <f aca="false">IF(AND(O26=1,M26=""),1,0)</f>
        <v>0</v>
      </c>
      <c r="AB26" s="7" t="n">
        <f aca="false">IF(AND(E26="Closed Lost",N26=""),1,0)</f>
        <v>0</v>
      </c>
      <c r="AC26" s="7" t="n">
        <f aca="false">SUM(U26:AB26)</f>
        <v>0</v>
      </c>
      <c r="AD26" s="7" t="n">
        <f aca="false">IF(AC26=0,1,0)</f>
        <v>1</v>
      </c>
      <c r="AE26" s="7" t="n">
        <f aca="false">IF(AND(O26=1,I26&gt;=Inputs!$B$6,I26&lt;=Inputs!$B$7),1,0)</f>
        <v>0</v>
      </c>
      <c r="AF26" s="7" t="n">
        <f aca="false">IF(AND(E26="Closed Won",I26&gt;=Inputs!$B$6,I26&lt;=Inputs!$B$4),1,0)</f>
        <v>0</v>
      </c>
      <c r="AG26" s="7" t="n">
        <f aca="false">IF(AND(O26=0,I26&gt;Inputs!$B$4-Inputs!$B$8,I26&lt;=Inputs!$B$4),1,0)</f>
        <v>1</v>
      </c>
      <c r="AH26" s="7" t="n">
        <f aca="false">I26-H26</f>
        <v>102</v>
      </c>
    </row>
    <row r="27" customFormat="false" ht="15" hidden="false" customHeight="false" outlineLevel="0" collapsed="false">
      <c r="A27" s="16" t="s">
        <v>641</v>
      </c>
      <c r="B27" s="16" t="s">
        <v>84</v>
      </c>
      <c r="C27" s="16" t="s">
        <v>642</v>
      </c>
      <c r="D27" s="16" t="s">
        <v>165</v>
      </c>
      <c r="E27" s="16" t="s">
        <v>527</v>
      </c>
      <c r="F27" s="26" t="n">
        <v>8663000</v>
      </c>
      <c r="G27" s="25" t="n">
        <v>25</v>
      </c>
      <c r="H27" s="22" t="n">
        <v>46159</v>
      </c>
      <c r="I27" s="22" t="n">
        <v>46381</v>
      </c>
      <c r="J27" s="22" t="n">
        <v>46302</v>
      </c>
      <c r="K27" s="16" t="s">
        <v>633</v>
      </c>
      <c r="L27" s="16" t="s">
        <v>609</v>
      </c>
      <c r="M27" s="16" t="s">
        <v>593</v>
      </c>
      <c r="N27" s="16"/>
      <c r="O27" s="7" t="n">
        <f aca="false">IF(OR(E27="Closed Won",E27="Closed Lost"),0,1)</f>
        <v>1</v>
      </c>
      <c r="P27" s="17" t="str">
        <f aca="false">INDEX(Accounts!$K$5:$K$336,MATCH(B27,Accounts!$A$5:$A$336,0))</f>
        <v>Consumer &amp; Retail</v>
      </c>
      <c r="Q27" s="17" t="str">
        <f aca="false">INDEX(Accounts!$D$5:$D$336,MATCH(B27,Accounts!$A$5:$A$336,0))</f>
        <v>Priority</v>
      </c>
      <c r="R27" s="7" t="n">
        <f aca="false">INDEX(Inputs!$B$11:$B$16,MATCH(E27,Inputs!$A$11:$A$16,0))</f>
        <v>25</v>
      </c>
      <c r="S27" s="27" t="n">
        <f aca="false">IF(F27="",0,F27)*R27/100</f>
        <v>2165750</v>
      </c>
      <c r="T27" s="7" t="n">
        <f aca="false">Inputs!$B$4-J27</f>
        <v>12</v>
      </c>
      <c r="U27" s="7" t="n">
        <f aca="false">IF(OR(F27="",F27=0),1,0)</f>
        <v>0</v>
      </c>
      <c r="V27" s="7" t="n">
        <f aca="false">IF(K27="",1,0)</f>
        <v>0</v>
      </c>
      <c r="W27" s="7" t="n">
        <f aca="false">IF(AND(O27=1,K27&lt;&gt;"",COUNTIFS(Owners!$A$5:$A$32,K27,Owners!$E$5:$E$32,"No")&gt;0),1,0)</f>
        <v>0</v>
      </c>
      <c r="X27" s="7" t="n">
        <f aca="false">IF(AND(O27=1,I27&lt;Inputs!$B$4),1,0)</f>
        <v>0</v>
      </c>
      <c r="Y27" s="7" t="n">
        <f aca="false">IF(AND(O27=1,T27&gt;Inputs!$B$5),1,0)</f>
        <v>0</v>
      </c>
      <c r="Z27" s="7" t="n">
        <f aca="false">IF(AND(O27=1,G27&lt;&gt;R27),1,0)</f>
        <v>0</v>
      </c>
      <c r="AA27" s="7" t="n">
        <f aca="false">IF(AND(O27=1,M27=""),1,0)</f>
        <v>0</v>
      </c>
      <c r="AB27" s="7" t="n">
        <f aca="false">IF(AND(E27="Closed Lost",N27=""),1,0)</f>
        <v>0</v>
      </c>
      <c r="AC27" s="7" t="n">
        <f aca="false">SUM(U27:AB27)</f>
        <v>0</v>
      </c>
      <c r="AD27" s="7" t="n">
        <f aca="false">IF(AC27=0,1,0)</f>
        <v>1</v>
      </c>
      <c r="AE27" s="7" t="n">
        <f aca="false">IF(AND(O27=1,I27&gt;=Inputs!$B$6,I27&lt;=Inputs!$B$7),1,0)</f>
        <v>1</v>
      </c>
      <c r="AF27" s="7" t="n">
        <f aca="false">IF(AND(E27="Closed Won",I27&gt;=Inputs!$B$6,I27&lt;=Inputs!$B$4),1,0)</f>
        <v>0</v>
      </c>
      <c r="AG27" s="7" t="n">
        <f aca="false">IF(AND(O27=0,I27&gt;Inputs!$B$4-Inputs!$B$8,I27&lt;=Inputs!$B$4),1,0)</f>
        <v>0</v>
      </c>
      <c r="AH27" s="7" t="n">
        <f aca="false">I27-H27</f>
        <v>222</v>
      </c>
    </row>
    <row r="28" customFormat="false" ht="15" hidden="false" customHeight="false" outlineLevel="0" collapsed="false">
      <c r="A28" s="16" t="s">
        <v>643</v>
      </c>
      <c r="B28" s="16" t="s">
        <v>644</v>
      </c>
      <c r="C28" s="16" t="s">
        <v>645</v>
      </c>
      <c r="D28" s="16" t="s">
        <v>165</v>
      </c>
      <c r="E28" s="16" t="s">
        <v>526</v>
      </c>
      <c r="F28" s="26" t="n">
        <v>11361000</v>
      </c>
      <c r="G28" s="25" t="n">
        <v>10</v>
      </c>
      <c r="H28" s="22" t="n">
        <v>46271</v>
      </c>
      <c r="I28" s="22" t="n">
        <v>46355</v>
      </c>
      <c r="J28" s="22" t="n">
        <v>46240</v>
      </c>
      <c r="K28" s="16" t="s">
        <v>646</v>
      </c>
      <c r="L28" s="16" t="s">
        <v>574</v>
      </c>
      <c r="M28" s="16"/>
      <c r="N28" s="16"/>
      <c r="O28" s="7" t="n">
        <f aca="false">IF(OR(E28="Closed Won",E28="Closed Lost"),0,1)</f>
        <v>1</v>
      </c>
      <c r="P28" s="17" t="str">
        <f aca="false">INDEX(Accounts!$K$5:$K$336,MATCH(B28,Accounts!$A$5:$A$336,0))</f>
        <v>Consumer &amp; Retail</v>
      </c>
      <c r="Q28" s="17" t="str">
        <f aca="false">INDEX(Accounts!$D$5:$D$336,MATCH(B28,Accounts!$A$5:$A$336,0))</f>
        <v>Key</v>
      </c>
      <c r="R28" s="7" t="n">
        <f aca="false">INDEX(Inputs!$B$11:$B$16,MATCH(E28,Inputs!$A$11:$A$16,0))</f>
        <v>10</v>
      </c>
      <c r="S28" s="27" t="n">
        <f aca="false">IF(F28="",0,F28)*R28/100</f>
        <v>1136100</v>
      </c>
      <c r="T28" s="7" t="n">
        <f aca="false">Inputs!$B$4-J28</f>
        <v>74</v>
      </c>
      <c r="U28" s="7" t="n">
        <f aca="false">IF(OR(F28="",F28=0),1,0)</f>
        <v>0</v>
      </c>
      <c r="V28" s="7" t="n">
        <f aca="false">IF(K28="",1,0)</f>
        <v>0</v>
      </c>
      <c r="W28" s="7" t="n">
        <f aca="false">IF(AND(O28=1,K28&lt;&gt;"",COUNTIFS(Owners!$A$5:$A$32,K28,Owners!$E$5:$E$32,"No")&gt;0),1,0)</f>
        <v>0</v>
      </c>
      <c r="X28" s="7" t="n">
        <f aca="false">IF(AND(O28=1,I28&lt;Inputs!$B$4),1,0)</f>
        <v>0</v>
      </c>
      <c r="Y28" s="7" t="n">
        <f aca="false">IF(AND(O28=1,T28&gt;Inputs!$B$5),1,0)</f>
        <v>1</v>
      </c>
      <c r="Z28" s="7" t="n">
        <f aca="false">IF(AND(O28=1,G28&lt;&gt;R28),1,0)</f>
        <v>0</v>
      </c>
      <c r="AA28" s="7" t="n">
        <f aca="false">IF(AND(O28=1,M28=""),1,0)</f>
        <v>1</v>
      </c>
      <c r="AB28" s="7" t="n">
        <f aca="false">IF(AND(E28="Closed Lost",N28=""),1,0)</f>
        <v>0</v>
      </c>
      <c r="AC28" s="7" t="n">
        <f aca="false">SUM(U28:AB28)</f>
        <v>2</v>
      </c>
      <c r="AD28" s="7" t="n">
        <f aca="false">IF(AC28=0,1,0)</f>
        <v>0</v>
      </c>
      <c r="AE28" s="7" t="n">
        <f aca="false">IF(AND(O28=1,I28&gt;=Inputs!$B$6,I28&lt;=Inputs!$B$7),1,0)</f>
        <v>1</v>
      </c>
      <c r="AF28" s="7" t="n">
        <f aca="false">IF(AND(E28="Closed Won",I28&gt;=Inputs!$B$6,I28&lt;=Inputs!$B$4),1,0)</f>
        <v>0</v>
      </c>
      <c r="AG28" s="7" t="n">
        <f aca="false">IF(AND(O28=0,I28&gt;Inputs!$B$4-Inputs!$B$8,I28&lt;=Inputs!$B$4),1,0)</f>
        <v>0</v>
      </c>
      <c r="AH28" s="7" t="n">
        <f aca="false">I28-H28</f>
        <v>84</v>
      </c>
    </row>
    <row r="29" customFormat="false" ht="15" hidden="false" customHeight="false" outlineLevel="0" collapsed="false">
      <c r="A29" s="16" t="s">
        <v>647</v>
      </c>
      <c r="B29" s="16" t="s">
        <v>488</v>
      </c>
      <c r="C29" s="16" t="s">
        <v>648</v>
      </c>
      <c r="D29" s="16" t="s">
        <v>162</v>
      </c>
      <c r="E29" s="16" t="s">
        <v>529</v>
      </c>
      <c r="F29" s="26" t="n">
        <v>7705000</v>
      </c>
      <c r="G29" s="25" t="n">
        <v>75</v>
      </c>
      <c r="H29" s="22" t="n">
        <v>46226</v>
      </c>
      <c r="I29" s="22" t="n">
        <v>46433</v>
      </c>
      <c r="J29" s="22" t="n">
        <v>46180</v>
      </c>
      <c r="K29" s="16" t="s">
        <v>578</v>
      </c>
      <c r="L29" s="16" t="s">
        <v>500</v>
      </c>
      <c r="M29" s="16" t="s">
        <v>601</v>
      </c>
      <c r="N29" s="16"/>
      <c r="O29" s="7" t="n">
        <f aca="false">IF(OR(E29="Closed Won",E29="Closed Lost"),0,1)</f>
        <v>1</v>
      </c>
      <c r="P29" s="17" t="str">
        <f aca="false">INDEX(Accounts!$K$5:$K$336,MATCH(B29,Accounts!$A$5:$A$336,0))</f>
        <v>Public Sector &amp; Development</v>
      </c>
      <c r="Q29" s="17" t="str">
        <f aca="false">INDEX(Accounts!$D$5:$D$336,MATCH(B29,Accounts!$A$5:$A$336,0))</f>
        <v>Standard</v>
      </c>
      <c r="R29" s="7" t="n">
        <f aca="false">INDEX(Inputs!$B$11:$B$16,MATCH(E29,Inputs!$A$11:$A$16,0))</f>
        <v>75</v>
      </c>
      <c r="S29" s="27" t="n">
        <f aca="false">IF(F29="",0,F29)*R29/100</f>
        <v>5778750</v>
      </c>
      <c r="T29" s="7" t="n">
        <f aca="false">Inputs!$B$4-J29</f>
        <v>134</v>
      </c>
      <c r="U29" s="7" t="n">
        <f aca="false">IF(OR(F29="",F29=0),1,0)</f>
        <v>0</v>
      </c>
      <c r="V29" s="7" t="n">
        <f aca="false">IF(K29="",1,0)</f>
        <v>0</v>
      </c>
      <c r="W29" s="7" t="n">
        <f aca="false">IF(AND(O29=1,K29&lt;&gt;"",COUNTIFS(Owners!$A$5:$A$32,K29,Owners!$E$5:$E$32,"No")&gt;0),1,0)</f>
        <v>0</v>
      </c>
      <c r="X29" s="7" t="n">
        <f aca="false">IF(AND(O29=1,I29&lt;Inputs!$B$4),1,0)</f>
        <v>0</v>
      </c>
      <c r="Y29" s="7" t="n">
        <f aca="false">IF(AND(O29=1,T29&gt;Inputs!$B$5),1,0)</f>
        <v>1</v>
      </c>
      <c r="Z29" s="7" t="n">
        <f aca="false">IF(AND(O29=1,G29&lt;&gt;R29),1,0)</f>
        <v>0</v>
      </c>
      <c r="AA29" s="7" t="n">
        <f aca="false">IF(AND(O29=1,M29=""),1,0)</f>
        <v>0</v>
      </c>
      <c r="AB29" s="7" t="n">
        <f aca="false">IF(AND(E29="Closed Lost",N29=""),1,0)</f>
        <v>0</v>
      </c>
      <c r="AC29" s="7" t="n">
        <f aca="false">SUM(U29:AB29)</f>
        <v>1</v>
      </c>
      <c r="AD29" s="7" t="n">
        <f aca="false">IF(AC29=0,1,0)</f>
        <v>0</v>
      </c>
      <c r="AE29" s="7" t="n">
        <f aca="false">IF(AND(O29=1,I29&gt;=Inputs!$B$6,I29&lt;=Inputs!$B$7),1,0)</f>
        <v>1</v>
      </c>
      <c r="AF29" s="7" t="n">
        <f aca="false">IF(AND(E29="Closed Won",I29&gt;=Inputs!$B$6,I29&lt;=Inputs!$B$4),1,0)</f>
        <v>0</v>
      </c>
      <c r="AG29" s="7" t="n">
        <f aca="false">IF(AND(O29=0,I29&gt;Inputs!$B$4-Inputs!$B$8,I29&lt;=Inputs!$B$4),1,0)</f>
        <v>0</v>
      </c>
      <c r="AH29" s="7" t="n">
        <f aca="false">I29-H29</f>
        <v>207</v>
      </c>
    </row>
    <row r="30" customFormat="false" ht="15" hidden="false" customHeight="false" outlineLevel="0" collapsed="false">
      <c r="A30" s="16" t="s">
        <v>649</v>
      </c>
      <c r="B30" s="16" t="s">
        <v>399</v>
      </c>
      <c r="C30" s="16" t="s">
        <v>650</v>
      </c>
      <c r="D30" s="16" t="s">
        <v>165</v>
      </c>
      <c r="E30" s="16" t="s">
        <v>529</v>
      </c>
      <c r="F30" s="26" t="n">
        <v>18475000</v>
      </c>
      <c r="G30" s="25" t="n">
        <v>75</v>
      </c>
      <c r="H30" s="22" t="n">
        <v>46094</v>
      </c>
      <c r="I30" s="22" t="n">
        <v>46352</v>
      </c>
      <c r="J30" s="22" t="n">
        <v>46292</v>
      </c>
      <c r="K30" s="16" t="s">
        <v>651</v>
      </c>
      <c r="L30" s="16" t="s">
        <v>584</v>
      </c>
      <c r="M30" s="16" t="s">
        <v>575</v>
      </c>
      <c r="N30" s="16"/>
      <c r="O30" s="7" t="n">
        <f aca="false">IF(OR(E30="Closed Won",E30="Closed Lost"),0,1)</f>
        <v>1</v>
      </c>
      <c r="P30" s="17" t="str">
        <f aca="false">INDEX(Accounts!$K$5:$K$336,MATCH(B30,Accounts!$A$5:$A$336,0))</f>
        <v>Technology, Media &amp; Telecom</v>
      </c>
      <c r="Q30" s="17" t="str">
        <f aca="false">INDEX(Accounts!$D$5:$D$336,MATCH(B30,Accounts!$A$5:$A$336,0))</f>
        <v>Standard</v>
      </c>
      <c r="R30" s="7" t="n">
        <f aca="false">INDEX(Inputs!$B$11:$B$16,MATCH(E30,Inputs!$A$11:$A$16,0))</f>
        <v>75</v>
      </c>
      <c r="S30" s="27" t="n">
        <f aca="false">IF(F30="",0,F30)*R30/100</f>
        <v>13856250</v>
      </c>
      <c r="T30" s="7" t="n">
        <f aca="false">Inputs!$B$4-J30</f>
        <v>22</v>
      </c>
      <c r="U30" s="7" t="n">
        <f aca="false">IF(OR(F30="",F30=0),1,0)</f>
        <v>0</v>
      </c>
      <c r="V30" s="7" t="n">
        <f aca="false">IF(K30="",1,0)</f>
        <v>0</v>
      </c>
      <c r="W30" s="7" t="n">
        <f aca="false">IF(AND(O30=1,K30&lt;&gt;"",COUNTIFS(Owners!$A$5:$A$32,K30,Owners!$E$5:$E$32,"No")&gt;0),1,0)</f>
        <v>0</v>
      </c>
      <c r="X30" s="7" t="n">
        <f aca="false">IF(AND(O30=1,I30&lt;Inputs!$B$4),1,0)</f>
        <v>0</v>
      </c>
      <c r="Y30" s="7" t="n">
        <f aca="false">IF(AND(O30=1,T30&gt;Inputs!$B$5),1,0)</f>
        <v>0</v>
      </c>
      <c r="Z30" s="7" t="n">
        <f aca="false">IF(AND(O30=1,G30&lt;&gt;R30),1,0)</f>
        <v>0</v>
      </c>
      <c r="AA30" s="7" t="n">
        <f aca="false">IF(AND(O30=1,M30=""),1,0)</f>
        <v>0</v>
      </c>
      <c r="AB30" s="7" t="n">
        <f aca="false">IF(AND(E30="Closed Lost",N30=""),1,0)</f>
        <v>0</v>
      </c>
      <c r="AC30" s="7" t="n">
        <f aca="false">SUM(U30:AB30)</f>
        <v>0</v>
      </c>
      <c r="AD30" s="7" t="n">
        <f aca="false">IF(AC30=0,1,0)</f>
        <v>1</v>
      </c>
      <c r="AE30" s="7" t="n">
        <f aca="false">IF(AND(O30=1,I30&gt;=Inputs!$B$6,I30&lt;=Inputs!$B$7),1,0)</f>
        <v>1</v>
      </c>
      <c r="AF30" s="7" t="n">
        <f aca="false">IF(AND(E30="Closed Won",I30&gt;=Inputs!$B$6,I30&lt;=Inputs!$B$4),1,0)</f>
        <v>0</v>
      </c>
      <c r="AG30" s="7" t="n">
        <f aca="false">IF(AND(O30=0,I30&gt;Inputs!$B$4-Inputs!$B$8,I30&lt;=Inputs!$B$4),1,0)</f>
        <v>0</v>
      </c>
      <c r="AH30" s="7" t="n">
        <f aca="false">I30-H30</f>
        <v>258</v>
      </c>
    </row>
    <row r="31" customFormat="false" ht="15" hidden="false" customHeight="false" outlineLevel="0" collapsed="false">
      <c r="A31" s="16" t="s">
        <v>652</v>
      </c>
      <c r="B31" s="16" t="s">
        <v>65</v>
      </c>
      <c r="C31" s="16" t="s">
        <v>653</v>
      </c>
      <c r="D31" s="16" t="s">
        <v>177</v>
      </c>
      <c r="E31" s="16" t="s">
        <v>528</v>
      </c>
      <c r="F31" s="26" t="n">
        <v>3663000</v>
      </c>
      <c r="G31" s="25" t="n">
        <v>50</v>
      </c>
      <c r="H31" s="22" t="n">
        <v>46027</v>
      </c>
      <c r="I31" s="22" t="n">
        <v>46306</v>
      </c>
      <c r="J31" s="22" t="n">
        <v>46296</v>
      </c>
      <c r="K31" s="16" t="s">
        <v>654</v>
      </c>
      <c r="L31" s="16" t="s">
        <v>574</v>
      </c>
      <c r="M31" s="16" t="s">
        <v>601</v>
      </c>
      <c r="N31" s="16"/>
      <c r="O31" s="7" t="n">
        <f aca="false">IF(OR(E31="Closed Won",E31="Closed Lost"),0,1)</f>
        <v>1</v>
      </c>
      <c r="P31" s="17" t="str">
        <f aca="false">INDEX(Accounts!$K$5:$K$336,MATCH(B31,Accounts!$A$5:$A$336,0))</f>
        <v>Technology, Media &amp; Telecom</v>
      </c>
      <c r="Q31" s="17" t="str">
        <f aca="false">INDEX(Accounts!$D$5:$D$336,MATCH(B31,Accounts!$A$5:$A$336,0))</f>
        <v>Priority</v>
      </c>
      <c r="R31" s="7" t="n">
        <f aca="false">INDEX(Inputs!$B$11:$B$16,MATCH(E31,Inputs!$A$11:$A$16,0))</f>
        <v>50</v>
      </c>
      <c r="S31" s="27" t="n">
        <f aca="false">IF(F31="",0,F31)*R31/100</f>
        <v>1831500</v>
      </c>
      <c r="T31" s="7" t="n">
        <f aca="false">Inputs!$B$4-J31</f>
        <v>18</v>
      </c>
      <c r="U31" s="7" t="n">
        <f aca="false">IF(OR(F31="",F31=0),1,0)</f>
        <v>0</v>
      </c>
      <c r="V31" s="7" t="n">
        <f aca="false">IF(K31="",1,0)</f>
        <v>0</v>
      </c>
      <c r="W31" s="7" t="n">
        <f aca="false">IF(AND(O31=1,K31&lt;&gt;"",COUNTIFS(Owners!$A$5:$A$32,K31,Owners!$E$5:$E$32,"No")&gt;0),1,0)</f>
        <v>0</v>
      </c>
      <c r="X31" s="7" t="n">
        <f aca="false">IF(AND(O31=1,I31&lt;Inputs!$B$4),1,0)</f>
        <v>1</v>
      </c>
      <c r="Y31" s="7" t="n">
        <f aca="false">IF(AND(O31=1,T31&gt;Inputs!$B$5),1,0)</f>
        <v>0</v>
      </c>
      <c r="Z31" s="7" t="n">
        <f aca="false">IF(AND(O31=1,G31&lt;&gt;R31),1,0)</f>
        <v>0</v>
      </c>
      <c r="AA31" s="7" t="n">
        <f aca="false">IF(AND(O31=1,M31=""),1,0)</f>
        <v>0</v>
      </c>
      <c r="AB31" s="7" t="n">
        <f aca="false">IF(AND(E31="Closed Lost",N31=""),1,0)</f>
        <v>0</v>
      </c>
      <c r="AC31" s="7" t="n">
        <f aca="false">SUM(U31:AB31)</f>
        <v>1</v>
      </c>
      <c r="AD31" s="7" t="n">
        <f aca="false">IF(AC31=0,1,0)</f>
        <v>0</v>
      </c>
      <c r="AE31" s="7" t="n">
        <f aca="false">IF(AND(O31=1,I31&gt;=Inputs!$B$6,I31&lt;=Inputs!$B$7),1,0)</f>
        <v>1</v>
      </c>
      <c r="AF31" s="7" t="n">
        <f aca="false">IF(AND(E31="Closed Won",I31&gt;=Inputs!$B$6,I31&lt;=Inputs!$B$4),1,0)</f>
        <v>0</v>
      </c>
      <c r="AG31" s="7" t="n">
        <f aca="false">IF(AND(O31=0,I31&gt;Inputs!$B$4-Inputs!$B$8,I31&lt;=Inputs!$B$4),1,0)</f>
        <v>0</v>
      </c>
      <c r="AH31" s="7" t="n">
        <f aca="false">I31-H31</f>
        <v>279</v>
      </c>
    </row>
    <row r="32" customFormat="false" ht="15" hidden="false" customHeight="false" outlineLevel="0" collapsed="false">
      <c r="A32" s="16" t="s">
        <v>655</v>
      </c>
      <c r="B32" s="16" t="s">
        <v>656</v>
      </c>
      <c r="C32" s="16" t="s">
        <v>657</v>
      </c>
      <c r="D32" s="16" t="s">
        <v>158</v>
      </c>
      <c r="E32" s="16" t="s">
        <v>528</v>
      </c>
      <c r="F32" s="26" t="n">
        <v>60815000</v>
      </c>
      <c r="G32" s="25" t="n">
        <v>0</v>
      </c>
      <c r="H32" s="22" t="n">
        <v>46124</v>
      </c>
      <c r="I32" s="22" t="n">
        <v>46382</v>
      </c>
      <c r="J32" s="22" t="n">
        <v>46279</v>
      </c>
      <c r="K32" s="16" t="s">
        <v>588</v>
      </c>
      <c r="L32" s="16" t="s">
        <v>592</v>
      </c>
      <c r="M32" s="16" t="s">
        <v>619</v>
      </c>
      <c r="N32" s="16"/>
      <c r="O32" s="7" t="n">
        <f aca="false">IF(OR(E32="Closed Won",E32="Closed Lost"),0,1)</f>
        <v>1</v>
      </c>
      <c r="P32" s="17" t="str">
        <f aca="false">INDEX(Accounts!$K$5:$K$336,MATCH(B32,Accounts!$A$5:$A$336,0))</f>
        <v>Unassigned</v>
      </c>
      <c r="Q32" s="17" t="str">
        <f aca="false">INDEX(Accounts!$D$5:$D$336,MATCH(B32,Accounts!$A$5:$A$336,0))</f>
        <v>Standard</v>
      </c>
      <c r="R32" s="7" t="n">
        <f aca="false">INDEX(Inputs!$B$11:$B$16,MATCH(E32,Inputs!$A$11:$A$16,0))</f>
        <v>50</v>
      </c>
      <c r="S32" s="27" t="n">
        <f aca="false">IF(F32="",0,F32)*R32/100</f>
        <v>30407500</v>
      </c>
      <c r="T32" s="7" t="n">
        <f aca="false">Inputs!$B$4-J32</f>
        <v>35</v>
      </c>
      <c r="U32" s="7" t="n">
        <f aca="false">IF(OR(F32="",F32=0),1,0)</f>
        <v>0</v>
      </c>
      <c r="V32" s="7" t="n">
        <f aca="false">IF(K32="",1,0)</f>
        <v>0</v>
      </c>
      <c r="W32" s="7" t="n">
        <f aca="false">IF(AND(O32=1,K32&lt;&gt;"",COUNTIFS(Owners!$A$5:$A$32,K32,Owners!$E$5:$E$32,"No")&gt;0),1,0)</f>
        <v>0</v>
      </c>
      <c r="X32" s="7" t="n">
        <f aca="false">IF(AND(O32=1,I32&lt;Inputs!$B$4),1,0)</f>
        <v>0</v>
      </c>
      <c r="Y32" s="7" t="n">
        <f aca="false">IF(AND(O32=1,T32&gt;Inputs!$B$5),1,0)</f>
        <v>0</v>
      </c>
      <c r="Z32" s="7" t="n">
        <f aca="false">IF(AND(O32=1,G32&lt;&gt;R32),1,0)</f>
        <v>1</v>
      </c>
      <c r="AA32" s="7" t="n">
        <f aca="false">IF(AND(O32=1,M32=""),1,0)</f>
        <v>0</v>
      </c>
      <c r="AB32" s="7" t="n">
        <f aca="false">IF(AND(E32="Closed Lost",N32=""),1,0)</f>
        <v>0</v>
      </c>
      <c r="AC32" s="7" t="n">
        <f aca="false">SUM(U32:AB32)</f>
        <v>1</v>
      </c>
      <c r="AD32" s="7" t="n">
        <f aca="false">IF(AC32=0,1,0)</f>
        <v>0</v>
      </c>
      <c r="AE32" s="7" t="n">
        <f aca="false">IF(AND(O32=1,I32&gt;=Inputs!$B$6,I32&lt;=Inputs!$B$7),1,0)</f>
        <v>1</v>
      </c>
      <c r="AF32" s="7" t="n">
        <f aca="false">IF(AND(E32="Closed Won",I32&gt;=Inputs!$B$6,I32&lt;=Inputs!$B$4),1,0)</f>
        <v>0</v>
      </c>
      <c r="AG32" s="7" t="n">
        <f aca="false">IF(AND(O32=0,I32&gt;Inputs!$B$4-Inputs!$B$8,I32&lt;=Inputs!$B$4),1,0)</f>
        <v>0</v>
      </c>
      <c r="AH32" s="7" t="n">
        <f aca="false">I32-H32</f>
        <v>258</v>
      </c>
    </row>
    <row r="33" customFormat="false" ht="15" hidden="false" customHeight="false" outlineLevel="0" collapsed="false">
      <c r="A33" s="16" t="s">
        <v>658</v>
      </c>
      <c r="B33" s="16" t="s">
        <v>84</v>
      </c>
      <c r="C33" s="16" t="s">
        <v>659</v>
      </c>
      <c r="D33" s="16" t="s">
        <v>165</v>
      </c>
      <c r="E33" s="16" t="s">
        <v>529</v>
      </c>
      <c r="F33" s="26" t="n">
        <v>30478000</v>
      </c>
      <c r="G33" s="25" t="n">
        <v>75</v>
      </c>
      <c r="H33" s="22" t="n">
        <v>46240</v>
      </c>
      <c r="I33" s="22" t="n">
        <v>46479</v>
      </c>
      <c r="J33" s="22" t="n">
        <v>46269</v>
      </c>
      <c r="K33" s="16" t="s">
        <v>633</v>
      </c>
      <c r="L33" s="16" t="s">
        <v>609</v>
      </c>
      <c r="M33" s="16" t="s">
        <v>619</v>
      </c>
      <c r="N33" s="16"/>
      <c r="O33" s="7" t="n">
        <f aca="false">IF(OR(E33="Closed Won",E33="Closed Lost"),0,1)</f>
        <v>1</v>
      </c>
      <c r="P33" s="17" t="str">
        <f aca="false">INDEX(Accounts!$K$5:$K$336,MATCH(B33,Accounts!$A$5:$A$336,0))</f>
        <v>Consumer &amp; Retail</v>
      </c>
      <c r="Q33" s="17" t="str">
        <f aca="false">INDEX(Accounts!$D$5:$D$336,MATCH(B33,Accounts!$A$5:$A$336,0))</f>
        <v>Priority</v>
      </c>
      <c r="R33" s="7" t="n">
        <f aca="false">INDEX(Inputs!$B$11:$B$16,MATCH(E33,Inputs!$A$11:$A$16,0))</f>
        <v>75</v>
      </c>
      <c r="S33" s="27" t="n">
        <f aca="false">IF(F33="",0,F33)*R33/100</f>
        <v>22858500</v>
      </c>
      <c r="T33" s="7" t="n">
        <f aca="false">Inputs!$B$4-J33</f>
        <v>45</v>
      </c>
      <c r="U33" s="7" t="n">
        <f aca="false">IF(OR(F33="",F33=0),1,0)</f>
        <v>0</v>
      </c>
      <c r="V33" s="7" t="n">
        <f aca="false">IF(K33="",1,0)</f>
        <v>0</v>
      </c>
      <c r="W33" s="7" t="n">
        <f aca="false">IF(AND(O33=1,K33&lt;&gt;"",COUNTIFS(Owners!$A$5:$A$32,K33,Owners!$E$5:$E$32,"No")&gt;0),1,0)</f>
        <v>0</v>
      </c>
      <c r="X33" s="7" t="n">
        <f aca="false">IF(AND(O33=1,I33&lt;Inputs!$B$4),1,0)</f>
        <v>0</v>
      </c>
      <c r="Y33" s="7" t="n">
        <f aca="false">IF(AND(O33=1,T33&gt;Inputs!$B$5),1,0)</f>
        <v>0</v>
      </c>
      <c r="Z33" s="7" t="n">
        <f aca="false">IF(AND(O33=1,G33&lt;&gt;R33),1,0)</f>
        <v>0</v>
      </c>
      <c r="AA33" s="7" t="n">
        <f aca="false">IF(AND(O33=1,M33=""),1,0)</f>
        <v>0</v>
      </c>
      <c r="AB33" s="7" t="n">
        <f aca="false">IF(AND(E33="Closed Lost",N33=""),1,0)</f>
        <v>0</v>
      </c>
      <c r="AC33" s="7" t="n">
        <f aca="false">SUM(U33:AB33)</f>
        <v>0</v>
      </c>
      <c r="AD33" s="7" t="n">
        <f aca="false">IF(AC33=0,1,0)</f>
        <v>1</v>
      </c>
      <c r="AE33" s="7" t="n">
        <f aca="false">IF(AND(O33=1,I33&gt;=Inputs!$B$6,I33&lt;=Inputs!$B$7),1,0)</f>
        <v>1</v>
      </c>
      <c r="AF33" s="7" t="n">
        <f aca="false">IF(AND(E33="Closed Won",I33&gt;=Inputs!$B$6,I33&lt;=Inputs!$B$4),1,0)</f>
        <v>0</v>
      </c>
      <c r="AG33" s="7" t="n">
        <f aca="false">IF(AND(O33=0,I33&gt;Inputs!$B$4-Inputs!$B$8,I33&lt;=Inputs!$B$4),1,0)</f>
        <v>0</v>
      </c>
      <c r="AH33" s="7" t="n">
        <f aca="false">I33-H33</f>
        <v>239</v>
      </c>
    </row>
    <row r="34" customFormat="false" ht="15" hidden="false" customHeight="false" outlineLevel="0" collapsed="false">
      <c r="A34" s="16" t="s">
        <v>660</v>
      </c>
      <c r="B34" s="16" t="s">
        <v>661</v>
      </c>
      <c r="C34" s="16" t="s">
        <v>662</v>
      </c>
      <c r="D34" s="16" t="s">
        <v>167</v>
      </c>
      <c r="E34" s="16" t="s">
        <v>531</v>
      </c>
      <c r="F34" s="26" t="n">
        <v>3191000</v>
      </c>
      <c r="G34" s="25" t="n">
        <v>0</v>
      </c>
      <c r="H34" s="22" t="n">
        <v>46092</v>
      </c>
      <c r="I34" s="22" t="n">
        <v>46196</v>
      </c>
      <c r="J34" s="22" t="n">
        <v>46196</v>
      </c>
      <c r="K34" s="16" t="s">
        <v>663</v>
      </c>
      <c r="L34" s="16" t="s">
        <v>568</v>
      </c>
      <c r="M34" s="16"/>
      <c r="N34" s="16" t="s">
        <v>597</v>
      </c>
      <c r="O34" s="7" t="n">
        <f aca="false">IF(OR(E34="Closed Won",E34="Closed Lost"),0,1)</f>
        <v>0</v>
      </c>
      <c r="P34" s="17" t="str">
        <f aca="false">INDEX(Accounts!$K$5:$K$336,MATCH(B34,Accounts!$A$5:$A$336,0))</f>
        <v>Technology, Media &amp; Telecom</v>
      </c>
      <c r="Q34" s="17" t="str">
        <f aca="false">INDEX(Accounts!$D$5:$D$336,MATCH(B34,Accounts!$A$5:$A$336,0))</f>
        <v>Key</v>
      </c>
      <c r="R34" s="7" t="n">
        <f aca="false">INDEX(Inputs!$B$11:$B$16,MATCH(E34,Inputs!$A$11:$A$16,0))</f>
        <v>0</v>
      </c>
      <c r="S34" s="27" t="n">
        <f aca="false">IF(F34="",0,F34)*R34/100</f>
        <v>0</v>
      </c>
      <c r="T34" s="7" t="n">
        <f aca="false">Inputs!$B$4-J34</f>
        <v>118</v>
      </c>
      <c r="U34" s="7" t="n">
        <f aca="false">IF(OR(F34="",F34=0),1,0)</f>
        <v>0</v>
      </c>
      <c r="V34" s="7" t="n">
        <f aca="false">IF(K34="",1,0)</f>
        <v>0</v>
      </c>
      <c r="W34" s="7" t="n">
        <f aca="false">IF(AND(O34=1,K34&lt;&gt;"",COUNTIFS(Owners!$A$5:$A$32,K34,Owners!$E$5:$E$32,"No")&gt;0),1,0)</f>
        <v>0</v>
      </c>
      <c r="X34" s="7" t="n">
        <f aca="false">IF(AND(O34=1,I34&lt;Inputs!$B$4),1,0)</f>
        <v>0</v>
      </c>
      <c r="Y34" s="7" t="n">
        <f aca="false">IF(AND(O34=1,T34&gt;Inputs!$B$5),1,0)</f>
        <v>0</v>
      </c>
      <c r="Z34" s="7" t="n">
        <f aca="false">IF(AND(O34=1,G34&lt;&gt;R34),1,0)</f>
        <v>0</v>
      </c>
      <c r="AA34" s="7" t="n">
        <f aca="false">IF(AND(O34=1,M34=""),1,0)</f>
        <v>0</v>
      </c>
      <c r="AB34" s="7" t="n">
        <f aca="false">IF(AND(E34="Closed Lost",N34=""),1,0)</f>
        <v>0</v>
      </c>
      <c r="AC34" s="7" t="n">
        <f aca="false">SUM(U34:AB34)</f>
        <v>0</v>
      </c>
      <c r="AD34" s="7" t="n">
        <f aca="false">IF(AC34=0,1,0)</f>
        <v>1</v>
      </c>
      <c r="AE34" s="7" t="n">
        <f aca="false">IF(AND(O34=1,I34&gt;=Inputs!$B$6,I34&lt;=Inputs!$B$7),1,0)</f>
        <v>0</v>
      </c>
      <c r="AF34" s="7" t="n">
        <f aca="false">IF(AND(E34="Closed Won",I34&gt;=Inputs!$B$6,I34&lt;=Inputs!$B$4),1,0)</f>
        <v>0</v>
      </c>
      <c r="AG34" s="7" t="n">
        <f aca="false">IF(AND(O34=0,I34&gt;Inputs!$B$4-Inputs!$B$8,I34&lt;=Inputs!$B$4),1,0)</f>
        <v>1</v>
      </c>
      <c r="AH34" s="7" t="n">
        <f aca="false">I34-H34</f>
        <v>104</v>
      </c>
    </row>
    <row r="35" customFormat="false" ht="15" hidden="false" customHeight="false" outlineLevel="0" collapsed="false">
      <c r="A35" s="16" t="s">
        <v>664</v>
      </c>
      <c r="B35" s="16" t="s">
        <v>77</v>
      </c>
      <c r="C35" s="16" t="s">
        <v>665</v>
      </c>
      <c r="D35" s="16" t="s">
        <v>158</v>
      </c>
      <c r="E35" s="16" t="s">
        <v>530</v>
      </c>
      <c r="F35" s="26" t="n">
        <v>5994000</v>
      </c>
      <c r="G35" s="25" t="n">
        <v>100</v>
      </c>
      <c r="H35" s="22" t="n">
        <v>45901</v>
      </c>
      <c r="I35" s="22" t="n">
        <v>46089</v>
      </c>
      <c r="J35" s="22" t="n">
        <v>46089</v>
      </c>
      <c r="K35" s="16" t="s">
        <v>666</v>
      </c>
      <c r="L35" s="16" t="s">
        <v>592</v>
      </c>
      <c r="M35" s="16"/>
      <c r="N35" s="16"/>
      <c r="O35" s="7" t="n">
        <f aca="false">IF(OR(E35="Closed Won",E35="Closed Lost"),0,1)</f>
        <v>0</v>
      </c>
      <c r="P35" s="17" t="str">
        <f aca="false">INDEX(Accounts!$K$5:$K$336,MATCH(B35,Accounts!$A$5:$A$336,0))</f>
        <v>Financial Services</v>
      </c>
      <c r="Q35" s="17" t="str">
        <f aca="false">INDEX(Accounts!$D$5:$D$336,MATCH(B35,Accounts!$A$5:$A$336,0))</f>
        <v>Priority</v>
      </c>
      <c r="R35" s="7" t="n">
        <f aca="false">INDEX(Inputs!$B$11:$B$16,MATCH(E35,Inputs!$A$11:$A$16,0))</f>
        <v>100</v>
      </c>
      <c r="S35" s="27" t="n">
        <f aca="false">IF(F35="",0,F35)*R35/100</f>
        <v>5994000</v>
      </c>
      <c r="T35" s="7" t="n">
        <f aca="false">Inputs!$B$4-J35</f>
        <v>225</v>
      </c>
      <c r="U35" s="7" t="n">
        <f aca="false">IF(OR(F35="",F35=0),1,0)</f>
        <v>0</v>
      </c>
      <c r="V35" s="7" t="n">
        <f aca="false">IF(K35="",1,0)</f>
        <v>0</v>
      </c>
      <c r="W35" s="7" t="n">
        <f aca="false">IF(AND(O35=1,K35&lt;&gt;"",COUNTIFS(Owners!$A$5:$A$32,K35,Owners!$E$5:$E$32,"No")&gt;0),1,0)</f>
        <v>0</v>
      </c>
      <c r="X35" s="7" t="n">
        <f aca="false">IF(AND(O35=1,I35&lt;Inputs!$B$4),1,0)</f>
        <v>0</v>
      </c>
      <c r="Y35" s="7" t="n">
        <f aca="false">IF(AND(O35=1,T35&gt;Inputs!$B$5),1,0)</f>
        <v>0</v>
      </c>
      <c r="Z35" s="7" t="n">
        <f aca="false">IF(AND(O35=1,G35&lt;&gt;R35),1,0)</f>
        <v>0</v>
      </c>
      <c r="AA35" s="7" t="n">
        <f aca="false">IF(AND(O35=1,M35=""),1,0)</f>
        <v>0</v>
      </c>
      <c r="AB35" s="7" t="n">
        <f aca="false">IF(AND(E35="Closed Lost",N35=""),1,0)</f>
        <v>0</v>
      </c>
      <c r="AC35" s="7" t="n">
        <f aca="false">SUM(U35:AB35)</f>
        <v>0</v>
      </c>
      <c r="AD35" s="7" t="n">
        <f aca="false">IF(AC35=0,1,0)</f>
        <v>1</v>
      </c>
      <c r="AE35" s="7" t="n">
        <f aca="false">IF(AND(O35=1,I35&gt;=Inputs!$B$6,I35&lt;=Inputs!$B$7),1,0)</f>
        <v>0</v>
      </c>
      <c r="AF35" s="7" t="n">
        <f aca="false">IF(AND(E35="Closed Won",I35&gt;=Inputs!$B$6,I35&lt;=Inputs!$B$4),1,0)</f>
        <v>0</v>
      </c>
      <c r="AG35" s="7" t="n">
        <f aca="false">IF(AND(O35=0,I35&gt;Inputs!$B$4-Inputs!$B$8,I35&lt;=Inputs!$B$4),1,0)</f>
        <v>1</v>
      </c>
      <c r="AH35" s="7" t="n">
        <f aca="false">I35-H35</f>
        <v>188</v>
      </c>
    </row>
    <row r="36" customFormat="false" ht="15" hidden="false" customHeight="false" outlineLevel="0" collapsed="false">
      <c r="A36" s="16" t="s">
        <v>667</v>
      </c>
      <c r="B36" s="16" t="s">
        <v>668</v>
      </c>
      <c r="C36" s="16" t="s">
        <v>669</v>
      </c>
      <c r="D36" s="16" t="s">
        <v>167</v>
      </c>
      <c r="E36" s="16" t="s">
        <v>528</v>
      </c>
      <c r="F36" s="26" t="n">
        <v>6763000</v>
      </c>
      <c r="G36" s="25" t="n">
        <v>50</v>
      </c>
      <c r="H36" s="22" t="n">
        <v>46308</v>
      </c>
      <c r="I36" s="22" t="n">
        <v>46358</v>
      </c>
      <c r="J36" s="22" t="n">
        <v>46263</v>
      </c>
      <c r="K36" s="16" t="s">
        <v>583</v>
      </c>
      <c r="L36" s="16" t="s">
        <v>592</v>
      </c>
      <c r="M36" s="16"/>
      <c r="N36" s="16"/>
      <c r="O36" s="7" t="n">
        <f aca="false">IF(OR(E36="Closed Won",E36="Closed Lost"),0,1)</f>
        <v>1</v>
      </c>
      <c r="P36" s="17" t="str">
        <f aca="false">INDEX(Accounts!$K$5:$K$336,MATCH(B36,Accounts!$A$5:$A$336,0))</f>
        <v>Public Sector &amp; Development</v>
      </c>
      <c r="Q36" s="17" t="str">
        <f aca="false">INDEX(Accounts!$D$5:$D$336,MATCH(B36,Accounts!$A$5:$A$336,0))</f>
        <v>Key</v>
      </c>
      <c r="R36" s="7" t="n">
        <f aca="false">INDEX(Inputs!$B$11:$B$16,MATCH(E36,Inputs!$A$11:$A$16,0))</f>
        <v>50</v>
      </c>
      <c r="S36" s="27" t="n">
        <f aca="false">IF(F36="",0,F36)*R36/100</f>
        <v>3381500</v>
      </c>
      <c r="T36" s="7" t="n">
        <f aca="false">Inputs!$B$4-J36</f>
        <v>51</v>
      </c>
      <c r="U36" s="7" t="n">
        <f aca="false">IF(OR(F36="",F36=0),1,0)</f>
        <v>0</v>
      </c>
      <c r="V36" s="7" t="n">
        <f aca="false">IF(K36="",1,0)</f>
        <v>0</v>
      </c>
      <c r="W36" s="7" t="n">
        <f aca="false">IF(AND(O36=1,K36&lt;&gt;"",COUNTIFS(Owners!$A$5:$A$32,K36,Owners!$E$5:$E$32,"No")&gt;0),1,0)</f>
        <v>1</v>
      </c>
      <c r="X36" s="7" t="n">
        <f aca="false">IF(AND(O36=1,I36&lt;Inputs!$B$4),1,0)</f>
        <v>0</v>
      </c>
      <c r="Y36" s="7" t="n">
        <f aca="false">IF(AND(O36=1,T36&gt;Inputs!$B$5),1,0)</f>
        <v>0</v>
      </c>
      <c r="Z36" s="7" t="n">
        <f aca="false">IF(AND(O36=1,G36&lt;&gt;R36),1,0)</f>
        <v>0</v>
      </c>
      <c r="AA36" s="7" t="n">
        <f aca="false">IF(AND(O36=1,M36=""),1,0)</f>
        <v>1</v>
      </c>
      <c r="AB36" s="7" t="n">
        <f aca="false">IF(AND(E36="Closed Lost",N36=""),1,0)</f>
        <v>0</v>
      </c>
      <c r="AC36" s="7" t="n">
        <f aca="false">SUM(U36:AB36)</f>
        <v>2</v>
      </c>
      <c r="AD36" s="7" t="n">
        <f aca="false">IF(AC36=0,1,0)</f>
        <v>0</v>
      </c>
      <c r="AE36" s="7" t="n">
        <f aca="false">IF(AND(O36=1,I36&gt;=Inputs!$B$6,I36&lt;=Inputs!$B$7),1,0)</f>
        <v>1</v>
      </c>
      <c r="AF36" s="7" t="n">
        <f aca="false">IF(AND(E36="Closed Won",I36&gt;=Inputs!$B$6,I36&lt;=Inputs!$B$4),1,0)</f>
        <v>0</v>
      </c>
      <c r="AG36" s="7" t="n">
        <f aca="false">IF(AND(O36=0,I36&gt;Inputs!$B$4-Inputs!$B$8,I36&lt;=Inputs!$B$4),1,0)</f>
        <v>0</v>
      </c>
      <c r="AH36" s="7" t="n">
        <f aca="false">I36-H36</f>
        <v>50</v>
      </c>
    </row>
    <row r="37" customFormat="false" ht="15" hidden="false" customHeight="false" outlineLevel="0" collapsed="false">
      <c r="A37" s="16" t="s">
        <v>670</v>
      </c>
      <c r="B37" s="16" t="s">
        <v>95</v>
      </c>
      <c r="C37" s="16" t="s">
        <v>671</v>
      </c>
      <c r="D37" s="16" t="s">
        <v>165</v>
      </c>
      <c r="E37" s="16" t="s">
        <v>531</v>
      </c>
      <c r="F37" s="26" t="n">
        <v>26983000</v>
      </c>
      <c r="G37" s="25" t="n">
        <v>0</v>
      </c>
      <c r="H37" s="22" t="n">
        <v>46150</v>
      </c>
      <c r="I37" s="22" t="n">
        <v>46218</v>
      </c>
      <c r="J37" s="22" t="n">
        <v>46218</v>
      </c>
      <c r="K37" s="16" t="s">
        <v>654</v>
      </c>
      <c r="L37" s="16" t="s">
        <v>584</v>
      </c>
      <c r="M37" s="16"/>
      <c r="N37" s="16" t="s">
        <v>579</v>
      </c>
      <c r="O37" s="7" t="n">
        <f aca="false">IF(OR(E37="Closed Won",E37="Closed Lost"),0,1)</f>
        <v>0</v>
      </c>
      <c r="P37" s="17" t="str">
        <f aca="false">INDEX(Accounts!$K$5:$K$336,MATCH(B37,Accounts!$A$5:$A$336,0))</f>
        <v>Energy &amp; Resources</v>
      </c>
      <c r="Q37" s="17" t="str">
        <f aca="false">INDEX(Accounts!$D$5:$D$336,MATCH(B37,Accounts!$A$5:$A$336,0))</f>
        <v>Priority</v>
      </c>
      <c r="R37" s="7" t="n">
        <f aca="false">INDEX(Inputs!$B$11:$B$16,MATCH(E37,Inputs!$A$11:$A$16,0))</f>
        <v>0</v>
      </c>
      <c r="S37" s="27" t="n">
        <f aca="false">IF(F37="",0,F37)*R37/100</f>
        <v>0</v>
      </c>
      <c r="T37" s="7" t="n">
        <f aca="false">Inputs!$B$4-J37</f>
        <v>96</v>
      </c>
      <c r="U37" s="7" t="n">
        <f aca="false">IF(OR(F37="",F37=0),1,0)</f>
        <v>0</v>
      </c>
      <c r="V37" s="7" t="n">
        <f aca="false">IF(K37="",1,0)</f>
        <v>0</v>
      </c>
      <c r="W37" s="7" t="n">
        <f aca="false">IF(AND(O37=1,K37&lt;&gt;"",COUNTIFS(Owners!$A$5:$A$32,K37,Owners!$E$5:$E$32,"No")&gt;0),1,0)</f>
        <v>0</v>
      </c>
      <c r="X37" s="7" t="n">
        <f aca="false">IF(AND(O37=1,I37&lt;Inputs!$B$4),1,0)</f>
        <v>0</v>
      </c>
      <c r="Y37" s="7" t="n">
        <f aca="false">IF(AND(O37=1,T37&gt;Inputs!$B$5),1,0)</f>
        <v>0</v>
      </c>
      <c r="Z37" s="7" t="n">
        <f aca="false">IF(AND(O37=1,G37&lt;&gt;R37),1,0)</f>
        <v>0</v>
      </c>
      <c r="AA37" s="7" t="n">
        <f aca="false">IF(AND(O37=1,M37=""),1,0)</f>
        <v>0</v>
      </c>
      <c r="AB37" s="7" t="n">
        <f aca="false">IF(AND(E37="Closed Lost",N37=""),1,0)</f>
        <v>0</v>
      </c>
      <c r="AC37" s="7" t="n">
        <f aca="false">SUM(U37:AB37)</f>
        <v>0</v>
      </c>
      <c r="AD37" s="7" t="n">
        <f aca="false">IF(AC37=0,1,0)</f>
        <v>1</v>
      </c>
      <c r="AE37" s="7" t="n">
        <f aca="false">IF(AND(O37=1,I37&gt;=Inputs!$B$6,I37&lt;=Inputs!$B$7),1,0)</f>
        <v>0</v>
      </c>
      <c r="AF37" s="7" t="n">
        <f aca="false">IF(AND(E37="Closed Won",I37&gt;=Inputs!$B$6,I37&lt;=Inputs!$B$4),1,0)</f>
        <v>0</v>
      </c>
      <c r="AG37" s="7" t="n">
        <f aca="false">IF(AND(O37=0,I37&gt;Inputs!$B$4-Inputs!$B$8,I37&lt;=Inputs!$B$4),1,0)</f>
        <v>1</v>
      </c>
      <c r="AH37" s="7" t="n">
        <f aca="false">I37-H37</f>
        <v>68</v>
      </c>
    </row>
    <row r="38" customFormat="false" ht="15" hidden="false" customHeight="false" outlineLevel="0" collapsed="false">
      <c r="A38" s="16" t="s">
        <v>672</v>
      </c>
      <c r="B38" s="16" t="s">
        <v>224</v>
      </c>
      <c r="C38" s="16" t="s">
        <v>673</v>
      </c>
      <c r="D38" s="16" t="s">
        <v>162</v>
      </c>
      <c r="E38" s="16" t="s">
        <v>527</v>
      </c>
      <c r="F38" s="26" t="n">
        <v>17249000</v>
      </c>
      <c r="G38" s="25" t="n">
        <v>25</v>
      </c>
      <c r="H38" s="22" t="n">
        <v>46212</v>
      </c>
      <c r="I38" s="22" t="n">
        <v>46553</v>
      </c>
      <c r="J38" s="22" t="n">
        <v>46296</v>
      </c>
      <c r="K38" s="16" t="s">
        <v>666</v>
      </c>
      <c r="L38" s="16" t="s">
        <v>592</v>
      </c>
      <c r="M38" s="16" t="s">
        <v>593</v>
      </c>
      <c r="N38" s="16"/>
      <c r="O38" s="7" t="n">
        <f aca="false">IF(OR(E38="Closed Won",E38="Closed Lost"),0,1)</f>
        <v>1</v>
      </c>
      <c r="P38" s="17" t="str">
        <f aca="false">INDEX(Accounts!$K$5:$K$336,MATCH(B38,Accounts!$A$5:$A$336,0))</f>
        <v>Energy &amp; Resources</v>
      </c>
      <c r="Q38" s="17" t="str">
        <f aca="false">INDEX(Accounts!$D$5:$D$336,MATCH(B38,Accounts!$A$5:$A$336,0))</f>
        <v>Standard</v>
      </c>
      <c r="R38" s="7" t="n">
        <f aca="false">INDEX(Inputs!$B$11:$B$16,MATCH(E38,Inputs!$A$11:$A$16,0))</f>
        <v>25</v>
      </c>
      <c r="S38" s="27" t="n">
        <f aca="false">IF(F38="",0,F38)*R38/100</f>
        <v>4312250</v>
      </c>
      <c r="T38" s="7" t="n">
        <f aca="false">Inputs!$B$4-J38</f>
        <v>18</v>
      </c>
      <c r="U38" s="7" t="n">
        <f aca="false">IF(OR(F38="",F38=0),1,0)</f>
        <v>0</v>
      </c>
      <c r="V38" s="7" t="n">
        <f aca="false">IF(K38="",1,0)</f>
        <v>0</v>
      </c>
      <c r="W38" s="7" t="n">
        <f aca="false">IF(AND(O38=1,K38&lt;&gt;"",COUNTIFS(Owners!$A$5:$A$32,K38,Owners!$E$5:$E$32,"No")&gt;0),1,0)</f>
        <v>0</v>
      </c>
      <c r="X38" s="7" t="n">
        <f aca="false">IF(AND(O38=1,I38&lt;Inputs!$B$4),1,0)</f>
        <v>0</v>
      </c>
      <c r="Y38" s="7" t="n">
        <f aca="false">IF(AND(O38=1,T38&gt;Inputs!$B$5),1,0)</f>
        <v>0</v>
      </c>
      <c r="Z38" s="7" t="n">
        <f aca="false">IF(AND(O38=1,G38&lt;&gt;R38),1,0)</f>
        <v>0</v>
      </c>
      <c r="AA38" s="7" t="n">
        <f aca="false">IF(AND(O38=1,M38=""),1,0)</f>
        <v>0</v>
      </c>
      <c r="AB38" s="7" t="n">
        <f aca="false">IF(AND(E38="Closed Lost",N38=""),1,0)</f>
        <v>0</v>
      </c>
      <c r="AC38" s="7" t="n">
        <f aca="false">SUM(U38:AB38)</f>
        <v>0</v>
      </c>
      <c r="AD38" s="7" t="n">
        <f aca="false">IF(AC38=0,1,0)</f>
        <v>1</v>
      </c>
      <c r="AE38" s="7" t="n">
        <f aca="false">IF(AND(O38=1,I38&gt;=Inputs!$B$6,I38&lt;=Inputs!$B$7),1,0)</f>
        <v>1</v>
      </c>
      <c r="AF38" s="7" t="n">
        <f aca="false">IF(AND(E38="Closed Won",I38&gt;=Inputs!$B$6,I38&lt;=Inputs!$B$4),1,0)</f>
        <v>0</v>
      </c>
      <c r="AG38" s="7" t="n">
        <f aca="false">IF(AND(O38=0,I38&gt;Inputs!$B$4-Inputs!$B$8,I38&lt;=Inputs!$B$4),1,0)</f>
        <v>0</v>
      </c>
      <c r="AH38" s="7" t="n">
        <f aca="false">I38-H38</f>
        <v>341</v>
      </c>
    </row>
    <row r="39" customFormat="false" ht="15" hidden="false" customHeight="false" outlineLevel="0" collapsed="false">
      <c r="A39" s="16" t="s">
        <v>674</v>
      </c>
      <c r="B39" s="16" t="s">
        <v>675</v>
      </c>
      <c r="C39" s="16" t="s">
        <v>676</v>
      </c>
      <c r="D39" s="16" t="s">
        <v>167</v>
      </c>
      <c r="E39" s="16" t="s">
        <v>531</v>
      </c>
      <c r="F39" s="26" t="n">
        <v>4727000</v>
      </c>
      <c r="G39" s="25" t="n">
        <v>0</v>
      </c>
      <c r="H39" s="22" t="n">
        <v>45939</v>
      </c>
      <c r="I39" s="22" t="n">
        <v>46153</v>
      </c>
      <c r="J39" s="22" t="n">
        <v>46153</v>
      </c>
      <c r="K39" s="16" t="s">
        <v>677</v>
      </c>
      <c r="L39" s="16" t="s">
        <v>500</v>
      </c>
      <c r="M39" s="16"/>
      <c r="N39" s="16" t="s">
        <v>597</v>
      </c>
      <c r="O39" s="7" t="n">
        <f aca="false">IF(OR(E39="Closed Won",E39="Closed Lost"),0,1)</f>
        <v>0</v>
      </c>
      <c r="P39" s="17" t="str">
        <f aca="false">INDEX(Accounts!$K$5:$K$336,MATCH(B39,Accounts!$A$5:$A$336,0))</f>
        <v>Unassigned</v>
      </c>
      <c r="Q39" s="17" t="str">
        <f aca="false">INDEX(Accounts!$D$5:$D$336,MATCH(B39,Accounts!$A$5:$A$336,0))</f>
        <v>Standard</v>
      </c>
      <c r="R39" s="7" t="n">
        <f aca="false">INDEX(Inputs!$B$11:$B$16,MATCH(E39,Inputs!$A$11:$A$16,0))</f>
        <v>0</v>
      </c>
      <c r="S39" s="27" t="n">
        <f aca="false">IF(F39="",0,F39)*R39/100</f>
        <v>0</v>
      </c>
      <c r="T39" s="7" t="n">
        <f aca="false">Inputs!$B$4-J39</f>
        <v>161</v>
      </c>
      <c r="U39" s="7" t="n">
        <f aca="false">IF(OR(F39="",F39=0),1,0)</f>
        <v>0</v>
      </c>
      <c r="V39" s="7" t="n">
        <f aca="false">IF(K39="",1,0)</f>
        <v>0</v>
      </c>
      <c r="W39" s="7" t="n">
        <f aca="false">IF(AND(O39=1,K39&lt;&gt;"",COUNTIFS(Owners!$A$5:$A$32,K39,Owners!$E$5:$E$32,"No")&gt;0),1,0)</f>
        <v>0</v>
      </c>
      <c r="X39" s="7" t="n">
        <f aca="false">IF(AND(O39=1,I39&lt;Inputs!$B$4),1,0)</f>
        <v>0</v>
      </c>
      <c r="Y39" s="7" t="n">
        <f aca="false">IF(AND(O39=1,T39&gt;Inputs!$B$5),1,0)</f>
        <v>0</v>
      </c>
      <c r="Z39" s="7" t="n">
        <f aca="false">IF(AND(O39=1,G39&lt;&gt;R39),1,0)</f>
        <v>0</v>
      </c>
      <c r="AA39" s="7" t="n">
        <f aca="false">IF(AND(O39=1,M39=""),1,0)</f>
        <v>0</v>
      </c>
      <c r="AB39" s="7" t="n">
        <f aca="false">IF(AND(E39="Closed Lost",N39=""),1,0)</f>
        <v>0</v>
      </c>
      <c r="AC39" s="7" t="n">
        <f aca="false">SUM(U39:AB39)</f>
        <v>0</v>
      </c>
      <c r="AD39" s="7" t="n">
        <f aca="false">IF(AC39=0,1,0)</f>
        <v>1</v>
      </c>
      <c r="AE39" s="7" t="n">
        <f aca="false">IF(AND(O39=1,I39&gt;=Inputs!$B$6,I39&lt;=Inputs!$B$7),1,0)</f>
        <v>0</v>
      </c>
      <c r="AF39" s="7" t="n">
        <f aca="false">IF(AND(E39="Closed Won",I39&gt;=Inputs!$B$6,I39&lt;=Inputs!$B$4),1,0)</f>
        <v>0</v>
      </c>
      <c r="AG39" s="7" t="n">
        <f aca="false">IF(AND(O39=0,I39&gt;Inputs!$B$4-Inputs!$B$8,I39&lt;=Inputs!$B$4),1,0)</f>
        <v>1</v>
      </c>
      <c r="AH39" s="7" t="n">
        <f aca="false">I39-H39</f>
        <v>214</v>
      </c>
    </row>
    <row r="40" customFormat="false" ht="15" hidden="false" customHeight="false" outlineLevel="0" collapsed="false">
      <c r="A40" s="16" t="s">
        <v>678</v>
      </c>
      <c r="B40" s="16" t="s">
        <v>76</v>
      </c>
      <c r="C40" s="16" t="s">
        <v>679</v>
      </c>
      <c r="D40" s="16" t="s">
        <v>158</v>
      </c>
      <c r="E40" s="16" t="s">
        <v>531</v>
      </c>
      <c r="F40" s="26" t="n">
        <v>15525000</v>
      </c>
      <c r="G40" s="25" t="n">
        <v>0</v>
      </c>
      <c r="H40" s="22" t="n">
        <v>46066</v>
      </c>
      <c r="I40" s="22" t="n">
        <v>46191</v>
      </c>
      <c r="J40" s="22" t="n">
        <v>46191</v>
      </c>
      <c r="K40" s="16" t="s">
        <v>604</v>
      </c>
      <c r="L40" s="16" t="s">
        <v>584</v>
      </c>
      <c r="M40" s="16"/>
      <c r="N40" s="16"/>
      <c r="O40" s="7" t="n">
        <f aca="false">IF(OR(E40="Closed Won",E40="Closed Lost"),0,1)</f>
        <v>0</v>
      </c>
      <c r="P40" s="17" t="str">
        <f aca="false">INDEX(Accounts!$K$5:$K$336,MATCH(B40,Accounts!$A$5:$A$336,0))</f>
        <v>Real Estate &amp; Infrastructure</v>
      </c>
      <c r="Q40" s="17" t="str">
        <f aca="false">INDEX(Accounts!$D$5:$D$336,MATCH(B40,Accounts!$A$5:$A$336,0))</f>
        <v>Priority</v>
      </c>
      <c r="R40" s="7" t="n">
        <f aca="false">INDEX(Inputs!$B$11:$B$16,MATCH(E40,Inputs!$A$11:$A$16,0))</f>
        <v>0</v>
      </c>
      <c r="S40" s="27" t="n">
        <f aca="false">IF(F40="",0,F40)*R40/100</f>
        <v>0</v>
      </c>
      <c r="T40" s="7" t="n">
        <f aca="false">Inputs!$B$4-J40</f>
        <v>123</v>
      </c>
      <c r="U40" s="7" t="n">
        <f aca="false">IF(OR(F40="",F40=0),1,0)</f>
        <v>0</v>
      </c>
      <c r="V40" s="7" t="n">
        <f aca="false">IF(K40="",1,0)</f>
        <v>0</v>
      </c>
      <c r="W40" s="7" t="n">
        <f aca="false">IF(AND(O40=1,K40&lt;&gt;"",COUNTIFS(Owners!$A$5:$A$32,K40,Owners!$E$5:$E$32,"No")&gt;0),1,0)</f>
        <v>0</v>
      </c>
      <c r="X40" s="7" t="n">
        <f aca="false">IF(AND(O40=1,I40&lt;Inputs!$B$4),1,0)</f>
        <v>0</v>
      </c>
      <c r="Y40" s="7" t="n">
        <f aca="false">IF(AND(O40=1,T40&gt;Inputs!$B$5),1,0)</f>
        <v>0</v>
      </c>
      <c r="Z40" s="7" t="n">
        <f aca="false">IF(AND(O40=1,G40&lt;&gt;R40),1,0)</f>
        <v>0</v>
      </c>
      <c r="AA40" s="7" t="n">
        <f aca="false">IF(AND(O40=1,M40=""),1,0)</f>
        <v>0</v>
      </c>
      <c r="AB40" s="7" t="n">
        <f aca="false">IF(AND(E40="Closed Lost",N40=""),1,0)</f>
        <v>1</v>
      </c>
      <c r="AC40" s="7" t="n">
        <f aca="false">SUM(U40:AB40)</f>
        <v>1</v>
      </c>
      <c r="AD40" s="7" t="n">
        <f aca="false">IF(AC40=0,1,0)</f>
        <v>0</v>
      </c>
      <c r="AE40" s="7" t="n">
        <f aca="false">IF(AND(O40=1,I40&gt;=Inputs!$B$6,I40&lt;=Inputs!$B$7),1,0)</f>
        <v>0</v>
      </c>
      <c r="AF40" s="7" t="n">
        <f aca="false">IF(AND(E40="Closed Won",I40&gt;=Inputs!$B$6,I40&lt;=Inputs!$B$4),1,0)</f>
        <v>0</v>
      </c>
      <c r="AG40" s="7" t="n">
        <f aca="false">IF(AND(O40=0,I40&gt;Inputs!$B$4-Inputs!$B$8,I40&lt;=Inputs!$B$4),1,0)</f>
        <v>1</v>
      </c>
      <c r="AH40" s="7" t="n">
        <f aca="false">I40-H40</f>
        <v>125</v>
      </c>
    </row>
    <row r="41" customFormat="false" ht="15" hidden="false" customHeight="false" outlineLevel="0" collapsed="false">
      <c r="A41" s="16" t="s">
        <v>680</v>
      </c>
      <c r="B41" s="16" t="s">
        <v>681</v>
      </c>
      <c r="C41" s="16" t="s">
        <v>682</v>
      </c>
      <c r="D41" s="16" t="s">
        <v>167</v>
      </c>
      <c r="E41" s="16" t="s">
        <v>526</v>
      </c>
      <c r="F41" s="26" t="n">
        <v>1191000</v>
      </c>
      <c r="G41" s="25" t="n">
        <v>0</v>
      </c>
      <c r="H41" s="22" t="n">
        <v>46223</v>
      </c>
      <c r="I41" s="22" t="n">
        <v>46296</v>
      </c>
      <c r="J41" s="22" t="n">
        <v>46274</v>
      </c>
      <c r="K41" s="16" t="s">
        <v>573</v>
      </c>
      <c r="L41" s="16" t="s">
        <v>500</v>
      </c>
      <c r="M41" s="16" t="s">
        <v>575</v>
      </c>
      <c r="N41" s="16"/>
      <c r="O41" s="7" t="n">
        <f aca="false">IF(OR(E41="Closed Won",E41="Closed Lost"),0,1)</f>
        <v>1</v>
      </c>
      <c r="P41" s="17" t="str">
        <f aca="false">INDEX(Accounts!$K$5:$K$336,MATCH(B41,Accounts!$A$5:$A$336,0))</f>
        <v>Real Estate &amp; Infrastructure</v>
      </c>
      <c r="Q41" s="17" t="str">
        <f aca="false">INDEX(Accounts!$D$5:$D$336,MATCH(B41,Accounts!$A$5:$A$336,0))</f>
        <v>Key</v>
      </c>
      <c r="R41" s="7" t="n">
        <f aca="false">INDEX(Inputs!$B$11:$B$16,MATCH(E41,Inputs!$A$11:$A$16,0))</f>
        <v>10</v>
      </c>
      <c r="S41" s="27" t="n">
        <f aca="false">IF(F41="",0,F41)*R41/100</f>
        <v>119100</v>
      </c>
      <c r="T41" s="7" t="n">
        <f aca="false">Inputs!$B$4-J41</f>
        <v>40</v>
      </c>
      <c r="U41" s="7" t="n">
        <f aca="false">IF(OR(F41="",F41=0),1,0)</f>
        <v>0</v>
      </c>
      <c r="V41" s="7" t="n">
        <f aca="false">IF(K41="",1,0)</f>
        <v>0</v>
      </c>
      <c r="W41" s="7" t="n">
        <f aca="false">IF(AND(O41=1,K41&lt;&gt;"",COUNTIFS(Owners!$A$5:$A$32,K41,Owners!$E$5:$E$32,"No")&gt;0),1,0)</f>
        <v>0</v>
      </c>
      <c r="X41" s="7" t="n">
        <f aca="false">IF(AND(O41=1,I41&lt;Inputs!$B$4),1,0)</f>
        <v>1</v>
      </c>
      <c r="Y41" s="7" t="n">
        <f aca="false">IF(AND(O41=1,T41&gt;Inputs!$B$5),1,0)</f>
        <v>0</v>
      </c>
      <c r="Z41" s="7" t="n">
        <f aca="false">IF(AND(O41=1,G41&lt;&gt;R41),1,0)</f>
        <v>1</v>
      </c>
      <c r="AA41" s="7" t="n">
        <f aca="false">IF(AND(O41=1,M41=""),1,0)</f>
        <v>0</v>
      </c>
      <c r="AB41" s="7" t="n">
        <f aca="false">IF(AND(E41="Closed Lost",N41=""),1,0)</f>
        <v>0</v>
      </c>
      <c r="AC41" s="7" t="n">
        <f aca="false">SUM(U41:AB41)</f>
        <v>2</v>
      </c>
      <c r="AD41" s="7" t="n">
        <f aca="false">IF(AC41=0,1,0)</f>
        <v>0</v>
      </c>
      <c r="AE41" s="7" t="n">
        <f aca="false">IF(AND(O41=1,I41&gt;=Inputs!$B$6,I41&lt;=Inputs!$B$7),1,0)</f>
        <v>1</v>
      </c>
      <c r="AF41" s="7" t="n">
        <f aca="false">IF(AND(E41="Closed Won",I41&gt;=Inputs!$B$6,I41&lt;=Inputs!$B$4),1,0)</f>
        <v>0</v>
      </c>
      <c r="AG41" s="7" t="n">
        <f aca="false">IF(AND(O41=0,I41&gt;Inputs!$B$4-Inputs!$B$8,I41&lt;=Inputs!$B$4),1,0)</f>
        <v>0</v>
      </c>
      <c r="AH41" s="7" t="n">
        <f aca="false">I41-H41</f>
        <v>73</v>
      </c>
    </row>
    <row r="42" customFormat="false" ht="15" hidden="false" customHeight="false" outlineLevel="0" collapsed="false">
      <c r="A42" s="16" t="s">
        <v>683</v>
      </c>
      <c r="B42" s="16" t="s">
        <v>73</v>
      </c>
      <c r="C42" s="16" t="s">
        <v>684</v>
      </c>
      <c r="D42" s="16" t="s">
        <v>158</v>
      </c>
      <c r="E42" s="16" t="s">
        <v>527</v>
      </c>
      <c r="F42" s="26" t="n">
        <v>16864000</v>
      </c>
      <c r="G42" s="25" t="n">
        <v>25</v>
      </c>
      <c r="H42" s="22" t="n">
        <v>46150</v>
      </c>
      <c r="I42" s="22" t="n">
        <v>46305</v>
      </c>
      <c r="J42" s="22" t="n">
        <v>46220</v>
      </c>
      <c r="K42" s="16" t="s">
        <v>685</v>
      </c>
      <c r="L42" s="16" t="s">
        <v>592</v>
      </c>
      <c r="M42" s="16" t="s">
        <v>619</v>
      </c>
      <c r="N42" s="16"/>
      <c r="O42" s="7" t="n">
        <f aca="false">IF(OR(E42="Closed Won",E42="Closed Lost"),0,1)</f>
        <v>1</v>
      </c>
      <c r="P42" s="17" t="str">
        <f aca="false">INDEX(Accounts!$K$5:$K$336,MATCH(B42,Accounts!$A$5:$A$336,0))</f>
        <v>Energy &amp; Resources</v>
      </c>
      <c r="Q42" s="17" t="str">
        <f aca="false">INDEX(Accounts!$D$5:$D$336,MATCH(B42,Accounts!$A$5:$A$336,0))</f>
        <v>Priority</v>
      </c>
      <c r="R42" s="7" t="n">
        <f aca="false">INDEX(Inputs!$B$11:$B$16,MATCH(E42,Inputs!$A$11:$A$16,0))</f>
        <v>25</v>
      </c>
      <c r="S42" s="27" t="n">
        <f aca="false">IF(F42="",0,F42)*R42/100</f>
        <v>4216000</v>
      </c>
      <c r="T42" s="7" t="n">
        <f aca="false">Inputs!$B$4-J42</f>
        <v>94</v>
      </c>
      <c r="U42" s="7" t="n">
        <f aca="false">IF(OR(F42="",F42=0),1,0)</f>
        <v>0</v>
      </c>
      <c r="V42" s="7" t="n">
        <f aca="false">IF(K42="",1,0)</f>
        <v>0</v>
      </c>
      <c r="W42" s="7" t="n">
        <f aca="false">IF(AND(O42=1,K42&lt;&gt;"",COUNTIFS(Owners!$A$5:$A$32,K42,Owners!$E$5:$E$32,"No")&gt;0),1,0)</f>
        <v>0</v>
      </c>
      <c r="X42" s="7" t="n">
        <f aca="false">IF(AND(O42=1,I42&lt;Inputs!$B$4),1,0)</f>
        <v>1</v>
      </c>
      <c r="Y42" s="7" t="n">
        <f aca="false">IF(AND(O42=1,T42&gt;Inputs!$B$5),1,0)</f>
        <v>1</v>
      </c>
      <c r="Z42" s="7" t="n">
        <f aca="false">IF(AND(O42=1,G42&lt;&gt;R42),1,0)</f>
        <v>0</v>
      </c>
      <c r="AA42" s="7" t="n">
        <f aca="false">IF(AND(O42=1,M42=""),1,0)</f>
        <v>0</v>
      </c>
      <c r="AB42" s="7" t="n">
        <f aca="false">IF(AND(E42="Closed Lost",N42=""),1,0)</f>
        <v>0</v>
      </c>
      <c r="AC42" s="7" t="n">
        <f aca="false">SUM(U42:AB42)</f>
        <v>2</v>
      </c>
      <c r="AD42" s="7" t="n">
        <f aca="false">IF(AC42=0,1,0)</f>
        <v>0</v>
      </c>
      <c r="AE42" s="7" t="n">
        <f aca="false">IF(AND(O42=1,I42&gt;=Inputs!$B$6,I42&lt;=Inputs!$B$7),1,0)</f>
        <v>1</v>
      </c>
      <c r="AF42" s="7" t="n">
        <f aca="false">IF(AND(E42="Closed Won",I42&gt;=Inputs!$B$6,I42&lt;=Inputs!$B$4),1,0)</f>
        <v>0</v>
      </c>
      <c r="AG42" s="7" t="n">
        <f aca="false">IF(AND(O42=0,I42&gt;Inputs!$B$4-Inputs!$B$8,I42&lt;=Inputs!$B$4),1,0)</f>
        <v>0</v>
      </c>
      <c r="AH42" s="7" t="n">
        <f aca="false">I42-H42</f>
        <v>155</v>
      </c>
    </row>
    <row r="43" customFormat="false" ht="15" hidden="false" customHeight="false" outlineLevel="0" collapsed="false">
      <c r="A43" s="16" t="s">
        <v>686</v>
      </c>
      <c r="B43" s="16" t="s">
        <v>687</v>
      </c>
      <c r="C43" s="16" t="s">
        <v>688</v>
      </c>
      <c r="D43" s="16" t="s">
        <v>167</v>
      </c>
      <c r="E43" s="16" t="s">
        <v>531</v>
      </c>
      <c r="F43" s="26"/>
      <c r="G43" s="25" t="n">
        <v>0</v>
      </c>
      <c r="H43" s="22" t="n">
        <v>45983</v>
      </c>
      <c r="I43" s="22" t="n">
        <v>46247</v>
      </c>
      <c r="J43" s="22" t="n">
        <v>46247</v>
      </c>
      <c r="K43" s="16" t="s">
        <v>663</v>
      </c>
      <c r="L43" s="16" t="s">
        <v>584</v>
      </c>
      <c r="M43" s="16"/>
      <c r="N43" s="16" t="s">
        <v>579</v>
      </c>
      <c r="O43" s="7" t="n">
        <f aca="false">IF(OR(E43="Closed Won",E43="Closed Lost"),0,1)</f>
        <v>0</v>
      </c>
      <c r="P43" s="17" t="str">
        <f aca="false">INDEX(Accounts!$K$5:$K$336,MATCH(B43,Accounts!$A$5:$A$336,0))</f>
        <v>Consumer &amp; Retail</v>
      </c>
      <c r="Q43" s="17" t="str">
        <f aca="false">INDEX(Accounts!$D$5:$D$336,MATCH(B43,Accounts!$A$5:$A$336,0))</f>
        <v>Key</v>
      </c>
      <c r="R43" s="7" t="n">
        <f aca="false">INDEX(Inputs!$B$11:$B$16,MATCH(E43,Inputs!$A$11:$A$16,0))</f>
        <v>0</v>
      </c>
      <c r="S43" s="27" t="n">
        <f aca="false">IF(F43="",0,F43)*R43/100</f>
        <v>0</v>
      </c>
      <c r="T43" s="7" t="n">
        <f aca="false">Inputs!$B$4-J43</f>
        <v>67</v>
      </c>
      <c r="U43" s="7" t="n">
        <f aca="false">IF(OR(F43="",F43=0),1,0)</f>
        <v>1</v>
      </c>
      <c r="V43" s="7" t="n">
        <f aca="false">IF(K43="",1,0)</f>
        <v>0</v>
      </c>
      <c r="W43" s="7" t="n">
        <f aca="false">IF(AND(O43=1,K43&lt;&gt;"",COUNTIFS(Owners!$A$5:$A$32,K43,Owners!$E$5:$E$32,"No")&gt;0),1,0)</f>
        <v>0</v>
      </c>
      <c r="X43" s="7" t="n">
        <f aca="false">IF(AND(O43=1,I43&lt;Inputs!$B$4),1,0)</f>
        <v>0</v>
      </c>
      <c r="Y43" s="7" t="n">
        <f aca="false">IF(AND(O43=1,T43&gt;Inputs!$B$5),1,0)</f>
        <v>0</v>
      </c>
      <c r="Z43" s="7" t="n">
        <f aca="false">IF(AND(O43=1,G43&lt;&gt;R43),1,0)</f>
        <v>0</v>
      </c>
      <c r="AA43" s="7" t="n">
        <f aca="false">IF(AND(O43=1,M43=""),1,0)</f>
        <v>0</v>
      </c>
      <c r="AB43" s="7" t="n">
        <f aca="false">IF(AND(E43="Closed Lost",N43=""),1,0)</f>
        <v>0</v>
      </c>
      <c r="AC43" s="7" t="n">
        <f aca="false">SUM(U43:AB43)</f>
        <v>1</v>
      </c>
      <c r="AD43" s="7" t="n">
        <f aca="false">IF(AC43=0,1,0)</f>
        <v>0</v>
      </c>
      <c r="AE43" s="7" t="n">
        <f aca="false">IF(AND(O43=1,I43&gt;=Inputs!$B$6,I43&lt;=Inputs!$B$7),1,0)</f>
        <v>0</v>
      </c>
      <c r="AF43" s="7" t="n">
        <f aca="false">IF(AND(E43="Closed Won",I43&gt;=Inputs!$B$6,I43&lt;=Inputs!$B$4),1,0)</f>
        <v>0</v>
      </c>
      <c r="AG43" s="7" t="n">
        <f aca="false">IF(AND(O43=0,I43&gt;Inputs!$B$4-Inputs!$B$8,I43&lt;=Inputs!$B$4),1,0)</f>
        <v>1</v>
      </c>
      <c r="AH43" s="7" t="n">
        <f aca="false">I43-H43</f>
        <v>264</v>
      </c>
    </row>
    <row r="44" customFormat="false" ht="15" hidden="false" customHeight="false" outlineLevel="0" collapsed="false">
      <c r="A44" s="16" t="s">
        <v>689</v>
      </c>
      <c r="B44" s="16" t="s">
        <v>78</v>
      </c>
      <c r="C44" s="16" t="s">
        <v>690</v>
      </c>
      <c r="D44" s="16" t="s">
        <v>158</v>
      </c>
      <c r="E44" s="16" t="s">
        <v>531</v>
      </c>
      <c r="F44" s="26" t="n">
        <v>67191000</v>
      </c>
      <c r="G44" s="25" t="n">
        <v>0</v>
      </c>
      <c r="H44" s="22" t="n">
        <v>46095</v>
      </c>
      <c r="I44" s="22" t="n">
        <v>46207</v>
      </c>
      <c r="J44" s="22" t="n">
        <v>46207</v>
      </c>
      <c r="K44" s="16" t="s">
        <v>691</v>
      </c>
      <c r="L44" s="16" t="s">
        <v>574</v>
      </c>
      <c r="M44" s="16"/>
      <c r="N44" s="16" t="s">
        <v>579</v>
      </c>
      <c r="O44" s="7" t="n">
        <f aca="false">IF(OR(E44="Closed Won",E44="Closed Lost"),0,1)</f>
        <v>0</v>
      </c>
      <c r="P44" s="17" t="str">
        <f aca="false">INDEX(Accounts!$K$5:$K$336,MATCH(B44,Accounts!$A$5:$A$336,0))</f>
        <v>Financial Services</v>
      </c>
      <c r="Q44" s="17" t="str">
        <f aca="false">INDEX(Accounts!$D$5:$D$336,MATCH(B44,Accounts!$A$5:$A$336,0))</f>
        <v>Priority</v>
      </c>
      <c r="R44" s="7" t="n">
        <f aca="false">INDEX(Inputs!$B$11:$B$16,MATCH(E44,Inputs!$A$11:$A$16,0))</f>
        <v>0</v>
      </c>
      <c r="S44" s="27" t="n">
        <f aca="false">IF(F44="",0,F44)*R44/100</f>
        <v>0</v>
      </c>
      <c r="T44" s="7" t="n">
        <f aca="false">Inputs!$B$4-J44</f>
        <v>107</v>
      </c>
      <c r="U44" s="7" t="n">
        <f aca="false">IF(OR(F44="",F44=0),1,0)</f>
        <v>0</v>
      </c>
      <c r="V44" s="7" t="n">
        <f aca="false">IF(K44="",1,0)</f>
        <v>0</v>
      </c>
      <c r="W44" s="7" t="n">
        <f aca="false">IF(AND(O44=1,K44&lt;&gt;"",COUNTIFS(Owners!$A$5:$A$32,K44,Owners!$E$5:$E$32,"No")&gt;0),1,0)</f>
        <v>0</v>
      </c>
      <c r="X44" s="7" t="n">
        <f aca="false">IF(AND(O44=1,I44&lt;Inputs!$B$4),1,0)</f>
        <v>0</v>
      </c>
      <c r="Y44" s="7" t="n">
        <f aca="false">IF(AND(O44=1,T44&gt;Inputs!$B$5),1,0)</f>
        <v>0</v>
      </c>
      <c r="Z44" s="7" t="n">
        <f aca="false">IF(AND(O44=1,G44&lt;&gt;R44),1,0)</f>
        <v>0</v>
      </c>
      <c r="AA44" s="7" t="n">
        <f aca="false">IF(AND(O44=1,M44=""),1,0)</f>
        <v>0</v>
      </c>
      <c r="AB44" s="7" t="n">
        <f aca="false">IF(AND(E44="Closed Lost",N44=""),1,0)</f>
        <v>0</v>
      </c>
      <c r="AC44" s="7" t="n">
        <f aca="false">SUM(U44:AB44)</f>
        <v>0</v>
      </c>
      <c r="AD44" s="7" t="n">
        <f aca="false">IF(AC44=0,1,0)</f>
        <v>1</v>
      </c>
      <c r="AE44" s="7" t="n">
        <f aca="false">IF(AND(O44=1,I44&gt;=Inputs!$B$6,I44&lt;=Inputs!$B$7),1,0)</f>
        <v>0</v>
      </c>
      <c r="AF44" s="7" t="n">
        <f aca="false">IF(AND(E44="Closed Won",I44&gt;=Inputs!$B$6,I44&lt;=Inputs!$B$4),1,0)</f>
        <v>0</v>
      </c>
      <c r="AG44" s="7" t="n">
        <f aca="false">IF(AND(O44=0,I44&gt;Inputs!$B$4-Inputs!$B$8,I44&lt;=Inputs!$B$4),1,0)</f>
        <v>1</v>
      </c>
      <c r="AH44" s="7" t="n">
        <f aca="false">I44-H44</f>
        <v>112</v>
      </c>
    </row>
    <row r="45" customFormat="false" ht="15" hidden="false" customHeight="false" outlineLevel="0" collapsed="false">
      <c r="A45" s="16" t="s">
        <v>692</v>
      </c>
      <c r="B45" s="16" t="s">
        <v>95</v>
      </c>
      <c r="C45" s="16" t="s">
        <v>693</v>
      </c>
      <c r="D45" s="16" t="s">
        <v>165</v>
      </c>
      <c r="E45" s="16" t="s">
        <v>531</v>
      </c>
      <c r="F45" s="26" t="n">
        <v>3101000</v>
      </c>
      <c r="G45" s="25" t="n">
        <v>0</v>
      </c>
      <c r="H45" s="22" t="n">
        <v>46157</v>
      </c>
      <c r="I45" s="22" t="n">
        <v>46293</v>
      </c>
      <c r="J45" s="22" t="n">
        <v>46293</v>
      </c>
      <c r="K45" s="16" t="s">
        <v>596</v>
      </c>
      <c r="L45" s="16" t="s">
        <v>609</v>
      </c>
      <c r="M45" s="16"/>
      <c r="N45" s="16" t="s">
        <v>610</v>
      </c>
      <c r="O45" s="7" t="n">
        <f aca="false">IF(OR(E45="Closed Won",E45="Closed Lost"),0,1)</f>
        <v>0</v>
      </c>
      <c r="P45" s="17" t="str">
        <f aca="false">INDEX(Accounts!$K$5:$K$336,MATCH(B45,Accounts!$A$5:$A$336,0))</f>
        <v>Energy &amp; Resources</v>
      </c>
      <c r="Q45" s="17" t="str">
        <f aca="false">INDEX(Accounts!$D$5:$D$336,MATCH(B45,Accounts!$A$5:$A$336,0))</f>
        <v>Priority</v>
      </c>
      <c r="R45" s="7" t="n">
        <f aca="false">INDEX(Inputs!$B$11:$B$16,MATCH(E45,Inputs!$A$11:$A$16,0))</f>
        <v>0</v>
      </c>
      <c r="S45" s="27" t="n">
        <f aca="false">IF(F45="",0,F45)*R45/100</f>
        <v>0</v>
      </c>
      <c r="T45" s="7" t="n">
        <f aca="false">Inputs!$B$4-J45</f>
        <v>21</v>
      </c>
      <c r="U45" s="7" t="n">
        <f aca="false">IF(OR(F45="",F45=0),1,0)</f>
        <v>0</v>
      </c>
      <c r="V45" s="7" t="n">
        <f aca="false">IF(K45="",1,0)</f>
        <v>0</v>
      </c>
      <c r="W45" s="7" t="n">
        <f aca="false">IF(AND(O45=1,K45&lt;&gt;"",COUNTIFS(Owners!$A$5:$A$32,K45,Owners!$E$5:$E$32,"No")&gt;0),1,0)</f>
        <v>0</v>
      </c>
      <c r="X45" s="7" t="n">
        <f aca="false">IF(AND(O45=1,I45&lt;Inputs!$B$4),1,0)</f>
        <v>0</v>
      </c>
      <c r="Y45" s="7" t="n">
        <f aca="false">IF(AND(O45=1,T45&gt;Inputs!$B$5),1,0)</f>
        <v>0</v>
      </c>
      <c r="Z45" s="7" t="n">
        <f aca="false">IF(AND(O45=1,G45&lt;&gt;R45),1,0)</f>
        <v>0</v>
      </c>
      <c r="AA45" s="7" t="n">
        <f aca="false">IF(AND(O45=1,M45=""),1,0)</f>
        <v>0</v>
      </c>
      <c r="AB45" s="7" t="n">
        <f aca="false">IF(AND(E45="Closed Lost",N45=""),1,0)</f>
        <v>0</v>
      </c>
      <c r="AC45" s="7" t="n">
        <f aca="false">SUM(U45:AB45)</f>
        <v>0</v>
      </c>
      <c r="AD45" s="7" t="n">
        <f aca="false">IF(AC45=0,1,0)</f>
        <v>1</v>
      </c>
      <c r="AE45" s="7" t="n">
        <f aca="false">IF(AND(O45=1,I45&gt;=Inputs!$B$6,I45&lt;=Inputs!$B$7),1,0)</f>
        <v>0</v>
      </c>
      <c r="AF45" s="7" t="n">
        <f aca="false">IF(AND(E45="Closed Won",I45&gt;=Inputs!$B$6,I45&lt;=Inputs!$B$4),1,0)</f>
        <v>0</v>
      </c>
      <c r="AG45" s="7" t="n">
        <f aca="false">IF(AND(O45=0,I45&gt;Inputs!$B$4-Inputs!$B$8,I45&lt;=Inputs!$B$4),1,0)</f>
        <v>1</v>
      </c>
      <c r="AH45" s="7" t="n">
        <f aca="false">I45-H45</f>
        <v>136</v>
      </c>
    </row>
    <row r="46" customFormat="false" ht="15" hidden="false" customHeight="false" outlineLevel="0" collapsed="false">
      <c r="A46" s="16" t="s">
        <v>694</v>
      </c>
      <c r="B46" s="16" t="s">
        <v>695</v>
      </c>
      <c r="C46" s="16" t="s">
        <v>696</v>
      </c>
      <c r="D46" s="16" t="s">
        <v>162</v>
      </c>
      <c r="E46" s="16" t="s">
        <v>531</v>
      </c>
      <c r="F46" s="26" t="n">
        <v>14007000</v>
      </c>
      <c r="G46" s="25" t="n">
        <v>0</v>
      </c>
      <c r="H46" s="22" t="n">
        <v>46154</v>
      </c>
      <c r="I46" s="22" t="n">
        <v>46311</v>
      </c>
      <c r="J46" s="22" t="n">
        <v>46311</v>
      </c>
      <c r="K46" s="16" t="s">
        <v>685</v>
      </c>
      <c r="L46" s="16" t="s">
        <v>584</v>
      </c>
      <c r="M46" s="16"/>
      <c r="N46" s="16" t="s">
        <v>697</v>
      </c>
      <c r="O46" s="7" t="n">
        <f aca="false">IF(OR(E46="Closed Won",E46="Closed Lost"),0,1)</f>
        <v>0</v>
      </c>
      <c r="P46" s="17" t="str">
        <f aca="false">INDEX(Accounts!$K$5:$K$336,MATCH(B46,Accounts!$A$5:$A$336,0))</f>
        <v>Technology, Media &amp; Telecom</v>
      </c>
      <c r="Q46" s="17" t="str">
        <f aca="false">INDEX(Accounts!$D$5:$D$336,MATCH(B46,Accounts!$A$5:$A$336,0))</f>
        <v>Key</v>
      </c>
      <c r="R46" s="7" t="n">
        <f aca="false">INDEX(Inputs!$B$11:$B$16,MATCH(E46,Inputs!$A$11:$A$16,0))</f>
        <v>0</v>
      </c>
      <c r="S46" s="27" t="n">
        <f aca="false">IF(F46="",0,F46)*R46/100</f>
        <v>0</v>
      </c>
      <c r="T46" s="7" t="n">
        <f aca="false">Inputs!$B$4-J46</f>
        <v>3</v>
      </c>
      <c r="U46" s="7" t="n">
        <f aca="false">IF(OR(F46="",F46=0),1,0)</f>
        <v>0</v>
      </c>
      <c r="V46" s="7" t="n">
        <f aca="false">IF(K46="",1,0)</f>
        <v>0</v>
      </c>
      <c r="W46" s="7" t="n">
        <f aca="false">IF(AND(O46=1,K46&lt;&gt;"",COUNTIFS(Owners!$A$5:$A$32,K46,Owners!$E$5:$E$32,"No")&gt;0),1,0)</f>
        <v>0</v>
      </c>
      <c r="X46" s="7" t="n">
        <f aca="false">IF(AND(O46=1,I46&lt;Inputs!$B$4),1,0)</f>
        <v>0</v>
      </c>
      <c r="Y46" s="7" t="n">
        <f aca="false">IF(AND(O46=1,T46&gt;Inputs!$B$5),1,0)</f>
        <v>0</v>
      </c>
      <c r="Z46" s="7" t="n">
        <f aca="false">IF(AND(O46=1,G46&lt;&gt;R46),1,0)</f>
        <v>0</v>
      </c>
      <c r="AA46" s="7" t="n">
        <f aca="false">IF(AND(O46=1,M46=""),1,0)</f>
        <v>0</v>
      </c>
      <c r="AB46" s="7" t="n">
        <f aca="false">IF(AND(E46="Closed Lost",N46=""),1,0)</f>
        <v>0</v>
      </c>
      <c r="AC46" s="7" t="n">
        <f aca="false">SUM(U46:AB46)</f>
        <v>0</v>
      </c>
      <c r="AD46" s="7" t="n">
        <f aca="false">IF(AC46=0,1,0)</f>
        <v>1</v>
      </c>
      <c r="AE46" s="7" t="n">
        <f aca="false">IF(AND(O46=1,I46&gt;=Inputs!$B$6,I46&lt;=Inputs!$B$7),1,0)</f>
        <v>0</v>
      </c>
      <c r="AF46" s="7" t="n">
        <f aca="false">IF(AND(E46="Closed Won",I46&gt;=Inputs!$B$6,I46&lt;=Inputs!$B$4),1,0)</f>
        <v>0</v>
      </c>
      <c r="AG46" s="7" t="n">
        <f aca="false">IF(AND(O46=0,I46&gt;Inputs!$B$4-Inputs!$B$8,I46&lt;=Inputs!$B$4),1,0)</f>
        <v>1</v>
      </c>
      <c r="AH46" s="7" t="n">
        <f aca="false">I46-H46</f>
        <v>157</v>
      </c>
    </row>
    <row r="47" customFormat="false" ht="15" hidden="false" customHeight="false" outlineLevel="0" collapsed="false">
      <c r="A47" s="16" t="s">
        <v>698</v>
      </c>
      <c r="B47" s="16" t="s">
        <v>699</v>
      </c>
      <c r="C47" s="16" t="s">
        <v>700</v>
      </c>
      <c r="D47" s="16" t="s">
        <v>177</v>
      </c>
      <c r="E47" s="16" t="s">
        <v>530</v>
      </c>
      <c r="F47" s="26" t="n">
        <v>8821000</v>
      </c>
      <c r="G47" s="25" t="n">
        <v>100</v>
      </c>
      <c r="H47" s="22" t="n">
        <v>46094</v>
      </c>
      <c r="I47" s="22" t="n">
        <v>46285</v>
      </c>
      <c r="J47" s="22" t="n">
        <v>46285</v>
      </c>
      <c r="K47" s="16" t="s">
        <v>583</v>
      </c>
      <c r="L47" s="16" t="s">
        <v>592</v>
      </c>
      <c r="M47" s="16"/>
      <c r="N47" s="16"/>
      <c r="O47" s="7" t="n">
        <f aca="false">IF(OR(E47="Closed Won",E47="Closed Lost"),0,1)</f>
        <v>0</v>
      </c>
      <c r="P47" s="17" t="str">
        <f aca="false">INDEX(Accounts!$K$5:$K$336,MATCH(B47,Accounts!$A$5:$A$336,0))</f>
        <v>Financial Services</v>
      </c>
      <c r="Q47" s="17" t="str">
        <f aca="false">INDEX(Accounts!$D$5:$D$336,MATCH(B47,Accounts!$A$5:$A$336,0))</f>
        <v>Standard</v>
      </c>
      <c r="R47" s="7" t="n">
        <f aca="false">INDEX(Inputs!$B$11:$B$16,MATCH(E47,Inputs!$A$11:$A$16,0))</f>
        <v>100</v>
      </c>
      <c r="S47" s="27" t="n">
        <f aca="false">IF(F47="",0,F47)*R47/100</f>
        <v>8821000</v>
      </c>
      <c r="T47" s="7" t="n">
        <f aca="false">Inputs!$B$4-J47</f>
        <v>29</v>
      </c>
      <c r="U47" s="7" t="n">
        <f aca="false">IF(OR(F47="",F47=0),1,0)</f>
        <v>0</v>
      </c>
      <c r="V47" s="7" t="n">
        <f aca="false">IF(K47="",1,0)</f>
        <v>0</v>
      </c>
      <c r="W47" s="7" t="n">
        <f aca="false">IF(AND(O47=1,K47&lt;&gt;"",COUNTIFS(Owners!$A$5:$A$32,K47,Owners!$E$5:$E$32,"No")&gt;0),1,0)</f>
        <v>0</v>
      </c>
      <c r="X47" s="7" t="n">
        <f aca="false">IF(AND(O47=1,I47&lt;Inputs!$B$4),1,0)</f>
        <v>0</v>
      </c>
      <c r="Y47" s="7" t="n">
        <f aca="false">IF(AND(O47=1,T47&gt;Inputs!$B$5),1,0)</f>
        <v>0</v>
      </c>
      <c r="Z47" s="7" t="n">
        <f aca="false">IF(AND(O47=1,G47&lt;&gt;R47),1,0)</f>
        <v>0</v>
      </c>
      <c r="AA47" s="7" t="n">
        <f aca="false">IF(AND(O47=1,M47=""),1,0)</f>
        <v>0</v>
      </c>
      <c r="AB47" s="7" t="n">
        <f aca="false">IF(AND(E47="Closed Lost",N47=""),1,0)</f>
        <v>0</v>
      </c>
      <c r="AC47" s="7" t="n">
        <f aca="false">SUM(U47:AB47)</f>
        <v>0</v>
      </c>
      <c r="AD47" s="7" t="n">
        <f aca="false">IF(AC47=0,1,0)</f>
        <v>1</v>
      </c>
      <c r="AE47" s="7" t="n">
        <f aca="false">IF(AND(O47=1,I47&gt;=Inputs!$B$6,I47&lt;=Inputs!$B$7),1,0)</f>
        <v>0</v>
      </c>
      <c r="AF47" s="7" t="n">
        <f aca="false">IF(AND(E47="Closed Won",I47&gt;=Inputs!$B$6,I47&lt;=Inputs!$B$4),1,0)</f>
        <v>1</v>
      </c>
      <c r="AG47" s="7" t="n">
        <f aca="false">IF(AND(O47=0,I47&gt;Inputs!$B$4-Inputs!$B$8,I47&lt;=Inputs!$B$4),1,0)</f>
        <v>1</v>
      </c>
      <c r="AH47" s="7" t="n">
        <f aca="false">I47-H47</f>
        <v>191</v>
      </c>
    </row>
    <row r="48" customFormat="false" ht="15" hidden="false" customHeight="false" outlineLevel="0" collapsed="false">
      <c r="A48" s="16" t="s">
        <v>701</v>
      </c>
      <c r="B48" s="16" t="s">
        <v>702</v>
      </c>
      <c r="C48" s="16" t="s">
        <v>703</v>
      </c>
      <c r="D48" s="16" t="s">
        <v>165</v>
      </c>
      <c r="E48" s="16" t="s">
        <v>530</v>
      </c>
      <c r="F48" s="26" t="n">
        <v>17551000</v>
      </c>
      <c r="G48" s="25" t="n">
        <v>100</v>
      </c>
      <c r="H48" s="22" t="n">
        <v>45977</v>
      </c>
      <c r="I48" s="22" t="n">
        <v>46137</v>
      </c>
      <c r="J48" s="22" t="n">
        <v>46137</v>
      </c>
      <c r="K48" s="16" t="s">
        <v>704</v>
      </c>
      <c r="L48" s="16" t="s">
        <v>568</v>
      </c>
      <c r="M48" s="16"/>
      <c r="N48" s="16"/>
      <c r="O48" s="7" t="n">
        <f aca="false">IF(OR(E48="Closed Won",E48="Closed Lost"),0,1)</f>
        <v>0</v>
      </c>
      <c r="P48" s="17" t="str">
        <f aca="false">INDEX(Accounts!$K$5:$K$336,MATCH(B48,Accounts!$A$5:$A$336,0))</f>
        <v>Consumer &amp; Retail</v>
      </c>
      <c r="Q48" s="17" t="str">
        <f aca="false">INDEX(Accounts!$D$5:$D$336,MATCH(B48,Accounts!$A$5:$A$336,0))</f>
        <v>Key</v>
      </c>
      <c r="R48" s="7" t="n">
        <f aca="false">INDEX(Inputs!$B$11:$B$16,MATCH(E48,Inputs!$A$11:$A$16,0))</f>
        <v>100</v>
      </c>
      <c r="S48" s="27" t="n">
        <f aca="false">IF(F48="",0,F48)*R48/100</f>
        <v>17551000</v>
      </c>
      <c r="T48" s="7" t="n">
        <f aca="false">Inputs!$B$4-J48</f>
        <v>177</v>
      </c>
      <c r="U48" s="7" t="n">
        <f aca="false">IF(OR(F48="",F48=0),1,0)</f>
        <v>0</v>
      </c>
      <c r="V48" s="7" t="n">
        <f aca="false">IF(K48="",1,0)</f>
        <v>0</v>
      </c>
      <c r="W48" s="7" t="n">
        <f aca="false">IF(AND(O48=1,K48&lt;&gt;"",COUNTIFS(Owners!$A$5:$A$32,K48,Owners!$E$5:$E$32,"No")&gt;0),1,0)</f>
        <v>0</v>
      </c>
      <c r="X48" s="7" t="n">
        <f aca="false">IF(AND(O48=1,I48&lt;Inputs!$B$4),1,0)</f>
        <v>0</v>
      </c>
      <c r="Y48" s="7" t="n">
        <f aca="false">IF(AND(O48=1,T48&gt;Inputs!$B$5),1,0)</f>
        <v>0</v>
      </c>
      <c r="Z48" s="7" t="n">
        <f aca="false">IF(AND(O48=1,G48&lt;&gt;R48),1,0)</f>
        <v>0</v>
      </c>
      <c r="AA48" s="7" t="n">
        <f aca="false">IF(AND(O48=1,M48=""),1,0)</f>
        <v>0</v>
      </c>
      <c r="AB48" s="7" t="n">
        <f aca="false">IF(AND(E48="Closed Lost",N48=""),1,0)</f>
        <v>0</v>
      </c>
      <c r="AC48" s="7" t="n">
        <f aca="false">SUM(U48:AB48)</f>
        <v>0</v>
      </c>
      <c r="AD48" s="7" t="n">
        <f aca="false">IF(AC48=0,1,0)</f>
        <v>1</v>
      </c>
      <c r="AE48" s="7" t="n">
        <f aca="false">IF(AND(O48=1,I48&gt;=Inputs!$B$6,I48&lt;=Inputs!$B$7),1,0)</f>
        <v>0</v>
      </c>
      <c r="AF48" s="7" t="n">
        <f aca="false">IF(AND(E48="Closed Won",I48&gt;=Inputs!$B$6,I48&lt;=Inputs!$B$4),1,0)</f>
        <v>0</v>
      </c>
      <c r="AG48" s="7" t="n">
        <f aca="false">IF(AND(O48=0,I48&gt;Inputs!$B$4-Inputs!$B$8,I48&lt;=Inputs!$B$4),1,0)</f>
        <v>1</v>
      </c>
      <c r="AH48" s="7" t="n">
        <f aca="false">I48-H48</f>
        <v>160</v>
      </c>
    </row>
    <row r="49" customFormat="false" ht="15" hidden="false" customHeight="false" outlineLevel="0" collapsed="false">
      <c r="A49" s="16" t="s">
        <v>705</v>
      </c>
      <c r="B49" s="16" t="s">
        <v>706</v>
      </c>
      <c r="C49" s="16" t="s">
        <v>707</v>
      </c>
      <c r="D49" s="16" t="s">
        <v>167</v>
      </c>
      <c r="E49" s="16" t="s">
        <v>530</v>
      </c>
      <c r="F49" s="26" t="n">
        <v>12680000</v>
      </c>
      <c r="G49" s="25" t="n">
        <v>100</v>
      </c>
      <c r="H49" s="22" t="n">
        <v>46016</v>
      </c>
      <c r="I49" s="22" t="n">
        <v>46168</v>
      </c>
      <c r="J49" s="22" t="n">
        <v>46168</v>
      </c>
      <c r="K49" s="16" t="s">
        <v>596</v>
      </c>
      <c r="L49" s="16" t="s">
        <v>609</v>
      </c>
      <c r="M49" s="16"/>
      <c r="N49" s="16"/>
      <c r="O49" s="7" t="n">
        <f aca="false">IF(OR(E49="Closed Won",E49="Closed Lost"),0,1)</f>
        <v>0</v>
      </c>
      <c r="P49" s="17" t="str">
        <f aca="false">INDEX(Accounts!$K$5:$K$336,MATCH(B49,Accounts!$A$5:$A$336,0))</f>
        <v>Energy &amp; Resources</v>
      </c>
      <c r="Q49" s="17" t="str">
        <f aca="false">INDEX(Accounts!$D$5:$D$336,MATCH(B49,Accounts!$A$5:$A$336,0))</f>
        <v>Standard</v>
      </c>
      <c r="R49" s="7" t="n">
        <f aca="false">INDEX(Inputs!$B$11:$B$16,MATCH(E49,Inputs!$A$11:$A$16,0))</f>
        <v>100</v>
      </c>
      <c r="S49" s="27" t="n">
        <f aca="false">IF(F49="",0,F49)*R49/100</f>
        <v>12680000</v>
      </c>
      <c r="T49" s="7" t="n">
        <f aca="false">Inputs!$B$4-J49</f>
        <v>146</v>
      </c>
      <c r="U49" s="7" t="n">
        <f aca="false">IF(OR(F49="",F49=0),1,0)</f>
        <v>0</v>
      </c>
      <c r="V49" s="7" t="n">
        <f aca="false">IF(K49="",1,0)</f>
        <v>0</v>
      </c>
      <c r="W49" s="7" t="n">
        <f aca="false">IF(AND(O49=1,K49&lt;&gt;"",COUNTIFS(Owners!$A$5:$A$32,K49,Owners!$E$5:$E$32,"No")&gt;0),1,0)</f>
        <v>0</v>
      </c>
      <c r="X49" s="7" t="n">
        <f aca="false">IF(AND(O49=1,I49&lt;Inputs!$B$4),1,0)</f>
        <v>0</v>
      </c>
      <c r="Y49" s="7" t="n">
        <f aca="false">IF(AND(O49=1,T49&gt;Inputs!$B$5),1,0)</f>
        <v>0</v>
      </c>
      <c r="Z49" s="7" t="n">
        <f aca="false">IF(AND(O49=1,G49&lt;&gt;R49),1,0)</f>
        <v>0</v>
      </c>
      <c r="AA49" s="7" t="n">
        <f aca="false">IF(AND(O49=1,M49=""),1,0)</f>
        <v>0</v>
      </c>
      <c r="AB49" s="7" t="n">
        <f aca="false">IF(AND(E49="Closed Lost",N49=""),1,0)</f>
        <v>0</v>
      </c>
      <c r="AC49" s="7" t="n">
        <f aca="false">SUM(U49:AB49)</f>
        <v>0</v>
      </c>
      <c r="AD49" s="7" t="n">
        <f aca="false">IF(AC49=0,1,0)</f>
        <v>1</v>
      </c>
      <c r="AE49" s="7" t="n">
        <f aca="false">IF(AND(O49=1,I49&gt;=Inputs!$B$6,I49&lt;=Inputs!$B$7),1,0)</f>
        <v>0</v>
      </c>
      <c r="AF49" s="7" t="n">
        <f aca="false">IF(AND(E49="Closed Won",I49&gt;=Inputs!$B$6,I49&lt;=Inputs!$B$4),1,0)</f>
        <v>0</v>
      </c>
      <c r="AG49" s="7" t="n">
        <f aca="false">IF(AND(O49=0,I49&gt;Inputs!$B$4-Inputs!$B$8,I49&lt;=Inputs!$B$4),1,0)</f>
        <v>1</v>
      </c>
      <c r="AH49" s="7" t="n">
        <f aca="false">I49-H49</f>
        <v>152</v>
      </c>
    </row>
    <row r="50" customFormat="false" ht="15" hidden="false" customHeight="false" outlineLevel="0" collapsed="false">
      <c r="A50" s="16" t="s">
        <v>708</v>
      </c>
      <c r="B50" s="16" t="s">
        <v>709</v>
      </c>
      <c r="C50" s="16" t="s">
        <v>710</v>
      </c>
      <c r="D50" s="16" t="s">
        <v>167</v>
      </c>
      <c r="E50" s="16" t="s">
        <v>531</v>
      </c>
      <c r="F50" s="26" t="n">
        <v>3387000</v>
      </c>
      <c r="G50" s="25" t="n">
        <v>0</v>
      </c>
      <c r="H50" s="22" t="n">
        <v>45985</v>
      </c>
      <c r="I50" s="22" t="n">
        <v>46282</v>
      </c>
      <c r="J50" s="22" t="n">
        <v>46282</v>
      </c>
      <c r="K50" s="16" t="s">
        <v>685</v>
      </c>
      <c r="L50" s="16" t="s">
        <v>584</v>
      </c>
      <c r="M50" s="16"/>
      <c r="N50" s="16" t="s">
        <v>579</v>
      </c>
      <c r="O50" s="7" t="n">
        <f aca="false">IF(OR(E50="Closed Won",E50="Closed Lost"),0,1)</f>
        <v>0</v>
      </c>
      <c r="P50" s="17" t="str">
        <f aca="false">INDEX(Accounts!$K$5:$K$336,MATCH(B50,Accounts!$A$5:$A$336,0))</f>
        <v>Health</v>
      </c>
      <c r="Q50" s="17" t="str">
        <f aca="false">INDEX(Accounts!$D$5:$D$336,MATCH(B50,Accounts!$A$5:$A$336,0))</f>
        <v>Key</v>
      </c>
      <c r="R50" s="7" t="n">
        <f aca="false">INDEX(Inputs!$B$11:$B$16,MATCH(E50,Inputs!$A$11:$A$16,0))</f>
        <v>0</v>
      </c>
      <c r="S50" s="27" t="n">
        <f aca="false">IF(F50="",0,F50)*R50/100</f>
        <v>0</v>
      </c>
      <c r="T50" s="7" t="n">
        <f aca="false">Inputs!$B$4-J50</f>
        <v>32</v>
      </c>
      <c r="U50" s="7" t="n">
        <f aca="false">IF(OR(F50="",F50=0),1,0)</f>
        <v>0</v>
      </c>
      <c r="V50" s="7" t="n">
        <f aca="false">IF(K50="",1,0)</f>
        <v>0</v>
      </c>
      <c r="W50" s="7" t="n">
        <f aca="false">IF(AND(O50=1,K50&lt;&gt;"",COUNTIFS(Owners!$A$5:$A$32,K50,Owners!$E$5:$E$32,"No")&gt;0),1,0)</f>
        <v>0</v>
      </c>
      <c r="X50" s="7" t="n">
        <f aca="false">IF(AND(O50=1,I50&lt;Inputs!$B$4),1,0)</f>
        <v>0</v>
      </c>
      <c r="Y50" s="7" t="n">
        <f aca="false">IF(AND(O50=1,T50&gt;Inputs!$B$5),1,0)</f>
        <v>0</v>
      </c>
      <c r="Z50" s="7" t="n">
        <f aca="false">IF(AND(O50=1,G50&lt;&gt;R50),1,0)</f>
        <v>0</v>
      </c>
      <c r="AA50" s="7" t="n">
        <f aca="false">IF(AND(O50=1,M50=""),1,0)</f>
        <v>0</v>
      </c>
      <c r="AB50" s="7" t="n">
        <f aca="false">IF(AND(E50="Closed Lost",N50=""),1,0)</f>
        <v>0</v>
      </c>
      <c r="AC50" s="7" t="n">
        <f aca="false">SUM(U50:AB50)</f>
        <v>0</v>
      </c>
      <c r="AD50" s="7" t="n">
        <f aca="false">IF(AC50=0,1,0)</f>
        <v>1</v>
      </c>
      <c r="AE50" s="7" t="n">
        <f aca="false">IF(AND(O50=1,I50&gt;=Inputs!$B$6,I50&lt;=Inputs!$B$7),1,0)</f>
        <v>0</v>
      </c>
      <c r="AF50" s="7" t="n">
        <f aca="false">IF(AND(E50="Closed Won",I50&gt;=Inputs!$B$6,I50&lt;=Inputs!$B$4),1,0)</f>
        <v>0</v>
      </c>
      <c r="AG50" s="7" t="n">
        <f aca="false">IF(AND(O50=0,I50&gt;Inputs!$B$4-Inputs!$B$8,I50&lt;=Inputs!$B$4),1,0)</f>
        <v>1</v>
      </c>
      <c r="AH50" s="7" t="n">
        <f aca="false">I50-H50</f>
        <v>297</v>
      </c>
    </row>
    <row r="51" customFormat="false" ht="15" hidden="false" customHeight="false" outlineLevel="0" collapsed="false">
      <c r="A51" s="16" t="s">
        <v>711</v>
      </c>
      <c r="B51" s="16" t="s">
        <v>87</v>
      </c>
      <c r="C51" s="16" t="s">
        <v>712</v>
      </c>
      <c r="D51" s="16" t="s">
        <v>167</v>
      </c>
      <c r="E51" s="16" t="s">
        <v>531</v>
      </c>
      <c r="F51" s="26" t="n">
        <v>2468000</v>
      </c>
      <c r="G51" s="25" t="n">
        <v>0</v>
      </c>
      <c r="H51" s="22" t="n">
        <v>45911</v>
      </c>
      <c r="I51" s="22" t="n">
        <v>46183</v>
      </c>
      <c r="J51" s="22" t="n">
        <v>46183</v>
      </c>
      <c r="K51" s="16" t="s">
        <v>640</v>
      </c>
      <c r="L51" s="16" t="s">
        <v>574</v>
      </c>
      <c r="M51" s="16"/>
      <c r="N51" s="16" t="s">
        <v>713</v>
      </c>
      <c r="O51" s="7" t="n">
        <f aca="false">IF(OR(E51="Closed Won",E51="Closed Lost"),0,1)</f>
        <v>0</v>
      </c>
      <c r="P51" s="17" t="str">
        <f aca="false">INDEX(Accounts!$K$5:$K$336,MATCH(B51,Accounts!$A$5:$A$336,0))</f>
        <v>Unassigned</v>
      </c>
      <c r="Q51" s="17" t="str">
        <f aca="false">INDEX(Accounts!$D$5:$D$336,MATCH(B51,Accounts!$A$5:$A$336,0))</f>
        <v>Priority</v>
      </c>
      <c r="R51" s="7" t="n">
        <f aca="false">INDEX(Inputs!$B$11:$B$16,MATCH(E51,Inputs!$A$11:$A$16,0))</f>
        <v>0</v>
      </c>
      <c r="S51" s="27" t="n">
        <f aca="false">IF(F51="",0,F51)*R51/100</f>
        <v>0</v>
      </c>
      <c r="T51" s="7" t="n">
        <f aca="false">Inputs!$B$4-J51</f>
        <v>131</v>
      </c>
      <c r="U51" s="7" t="n">
        <f aca="false">IF(OR(F51="",F51=0),1,0)</f>
        <v>0</v>
      </c>
      <c r="V51" s="7" t="n">
        <f aca="false">IF(K51="",1,0)</f>
        <v>0</v>
      </c>
      <c r="W51" s="7" t="n">
        <f aca="false">IF(AND(O51=1,K51&lt;&gt;"",COUNTIFS(Owners!$A$5:$A$32,K51,Owners!$E$5:$E$32,"No")&gt;0),1,0)</f>
        <v>0</v>
      </c>
      <c r="X51" s="7" t="n">
        <f aca="false">IF(AND(O51=1,I51&lt;Inputs!$B$4),1,0)</f>
        <v>0</v>
      </c>
      <c r="Y51" s="7" t="n">
        <f aca="false">IF(AND(O51=1,T51&gt;Inputs!$B$5),1,0)</f>
        <v>0</v>
      </c>
      <c r="Z51" s="7" t="n">
        <f aca="false">IF(AND(O51=1,G51&lt;&gt;R51),1,0)</f>
        <v>0</v>
      </c>
      <c r="AA51" s="7" t="n">
        <f aca="false">IF(AND(O51=1,M51=""),1,0)</f>
        <v>0</v>
      </c>
      <c r="AB51" s="7" t="n">
        <f aca="false">IF(AND(E51="Closed Lost",N51=""),1,0)</f>
        <v>0</v>
      </c>
      <c r="AC51" s="7" t="n">
        <f aca="false">SUM(U51:AB51)</f>
        <v>0</v>
      </c>
      <c r="AD51" s="7" t="n">
        <f aca="false">IF(AC51=0,1,0)</f>
        <v>1</v>
      </c>
      <c r="AE51" s="7" t="n">
        <f aca="false">IF(AND(O51=1,I51&gt;=Inputs!$B$6,I51&lt;=Inputs!$B$7),1,0)</f>
        <v>0</v>
      </c>
      <c r="AF51" s="7" t="n">
        <f aca="false">IF(AND(E51="Closed Won",I51&gt;=Inputs!$B$6,I51&lt;=Inputs!$B$4),1,0)</f>
        <v>0</v>
      </c>
      <c r="AG51" s="7" t="n">
        <f aca="false">IF(AND(O51=0,I51&gt;Inputs!$B$4-Inputs!$B$8,I51&lt;=Inputs!$B$4),1,0)</f>
        <v>1</v>
      </c>
      <c r="AH51" s="7" t="n">
        <f aca="false">I51-H51</f>
        <v>272</v>
      </c>
    </row>
    <row r="52" customFormat="false" ht="15" hidden="false" customHeight="false" outlineLevel="0" collapsed="false">
      <c r="A52" s="16" t="s">
        <v>714</v>
      </c>
      <c r="B52" s="16" t="s">
        <v>715</v>
      </c>
      <c r="C52" s="16" t="s">
        <v>716</v>
      </c>
      <c r="D52" s="16" t="s">
        <v>167</v>
      </c>
      <c r="E52" s="16" t="s">
        <v>528</v>
      </c>
      <c r="F52" s="26" t="n">
        <v>6729000</v>
      </c>
      <c r="G52" s="25" t="n">
        <v>50</v>
      </c>
      <c r="H52" s="22" t="n">
        <v>46078</v>
      </c>
      <c r="I52" s="22" t="n">
        <v>46299</v>
      </c>
      <c r="J52" s="22" t="n">
        <v>46283</v>
      </c>
      <c r="K52" s="16" t="s">
        <v>717</v>
      </c>
      <c r="L52" s="16" t="s">
        <v>574</v>
      </c>
      <c r="M52" s="16" t="s">
        <v>613</v>
      </c>
      <c r="N52" s="16"/>
      <c r="O52" s="7" t="n">
        <f aca="false">IF(OR(E52="Closed Won",E52="Closed Lost"),0,1)</f>
        <v>1</v>
      </c>
      <c r="P52" s="17" t="str">
        <f aca="false">INDEX(Accounts!$K$5:$K$336,MATCH(B52,Accounts!$A$5:$A$336,0))</f>
        <v>Unassigned</v>
      </c>
      <c r="Q52" s="17" t="str">
        <f aca="false">INDEX(Accounts!$D$5:$D$336,MATCH(B52,Accounts!$A$5:$A$336,0))</f>
        <v>Standard</v>
      </c>
      <c r="R52" s="7" t="n">
        <f aca="false">INDEX(Inputs!$B$11:$B$16,MATCH(E52,Inputs!$A$11:$A$16,0))</f>
        <v>50</v>
      </c>
      <c r="S52" s="27" t="n">
        <f aca="false">IF(F52="",0,F52)*R52/100</f>
        <v>3364500</v>
      </c>
      <c r="T52" s="7" t="n">
        <f aca="false">Inputs!$B$4-J52</f>
        <v>31</v>
      </c>
      <c r="U52" s="7" t="n">
        <f aca="false">IF(OR(F52="",F52=0),1,0)</f>
        <v>0</v>
      </c>
      <c r="V52" s="7" t="n">
        <f aca="false">IF(K52="",1,0)</f>
        <v>0</v>
      </c>
      <c r="W52" s="7" t="n">
        <f aca="false">IF(AND(O52=1,K52&lt;&gt;"",COUNTIFS(Owners!$A$5:$A$32,K52,Owners!$E$5:$E$32,"No")&gt;0),1,0)</f>
        <v>0</v>
      </c>
      <c r="X52" s="7" t="n">
        <f aca="false">IF(AND(O52=1,I52&lt;Inputs!$B$4),1,0)</f>
        <v>1</v>
      </c>
      <c r="Y52" s="7" t="n">
        <f aca="false">IF(AND(O52=1,T52&gt;Inputs!$B$5),1,0)</f>
        <v>0</v>
      </c>
      <c r="Z52" s="7" t="n">
        <f aca="false">IF(AND(O52=1,G52&lt;&gt;R52),1,0)</f>
        <v>0</v>
      </c>
      <c r="AA52" s="7" t="n">
        <f aca="false">IF(AND(O52=1,M52=""),1,0)</f>
        <v>0</v>
      </c>
      <c r="AB52" s="7" t="n">
        <f aca="false">IF(AND(E52="Closed Lost",N52=""),1,0)</f>
        <v>0</v>
      </c>
      <c r="AC52" s="7" t="n">
        <f aca="false">SUM(U52:AB52)</f>
        <v>1</v>
      </c>
      <c r="AD52" s="7" t="n">
        <f aca="false">IF(AC52=0,1,0)</f>
        <v>0</v>
      </c>
      <c r="AE52" s="7" t="n">
        <f aca="false">IF(AND(O52=1,I52&gt;=Inputs!$B$6,I52&lt;=Inputs!$B$7),1,0)</f>
        <v>1</v>
      </c>
      <c r="AF52" s="7" t="n">
        <f aca="false">IF(AND(E52="Closed Won",I52&gt;=Inputs!$B$6,I52&lt;=Inputs!$B$4),1,0)</f>
        <v>0</v>
      </c>
      <c r="AG52" s="7" t="n">
        <f aca="false">IF(AND(O52=0,I52&gt;Inputs!$B$4-Inputs!$B$8,I52&lt;=Inputs!$B$4),1,0)</f>
        <v>0</v>
      </c>
      <c r="AH52" s="7" t="n">
        <f aca="false">I52-H52</f>
        <v>221</v>
      </c>
    </row>
    <row r="53" customFormat="false" ht="15" hidden="false" customHeight="false" outlineLevel="0" collapsed="false">
      <c r="A53" s="16" t="s">
        <v>718</v>
      </c>
      <c r="B53" s="16" t="s">
        <v>199</v>
      </c>
      <c r="C53" s="16" t="s">
        <v>719</v>
      </c>
      <c r="D53" s="16" t="s">
        <v>162</v>
      </c>
      <c r="E53" s="16" t="s">
        <v>530</v>
      </c>
      <c r="F53" s="26" t="n">
        <v>8504000</v>
      </c>
      <c r="G53" s="25" t="n">
        <v>100</v>
      </c>
      <c r="H53" s="22" t="n">
        <v>45994</v>
      </c>
      <c r="I53" s="22" t="n">
        <v>46202</v>
      </c>
      <c r="J53" s="22" t="n">
        <v>46202</v>
      </c>
      <c r="K53" s="16" t="s">
        <v>600</v>
      </c>
      <c r="L53" s="16" t="s">
        <v>609</v>
      </c>
      <c r="M53" s="16"/>
      <c r="N53" s="16"/>
      <c r="O53" s="7" t="n">
        <f aca="false">IF(OR(E53="Closed Won",E53="Closed Lost"),0,1)</f>
        <v>0</v>
      </c>
      <c r="P53" s="17" t="str">
        <f aca="false">INDEX(Accounts!$K$5:$K$336,MATCH(B53,Accounts!$A$5:$A$336,0))</f>
        <v>Public Sector &amp; Development</v>
      </c>
      <c r="Q53" s="17" t="str">
        <f aca="false">INDEX(Accounts!$D$5:$D$336,MATCH(B53,Accounts!$A$5:$A$336,0))</f>
        <v>Standard</v>
      </c>
      <c r="R53" s="7" t="n">
        <f aca="false">INDEX(Inputs!$B$11:$B$16,MATCH(E53,Inputs!$A$11:$A$16,0))</f>
        <v>100</v>
      </c>
      <c r="S53" s="27" t="n">
        <f aca="false">IF(F53="",0,F53)*R53/100</f>
        <v>8504000</v>
      </c>
      <c r="T53" s="7" t="n">
        <f aca="false">Inputs!$B$4-J53</f>
        <v>112</v>
      </c>
      <c r="U53" s="7" t="n">
        <f aca="false">IF(OR(F53="",F53=0),1,0)</f>
        <v>0</v>
      </c>
      <c r="V53" s="7" t="n">
        <f aca="false">IF(K53="",1,0)</f>
        <v>0</v>
      </c>
      <c r="W53" s="7" t="n">
        <f aca="false">IF(AND(O53=1,K53&lt;&gt;"",COUNTIFS(Owners!$A$5:$A$32,K53,Owners!$E$5:$E$32,"No")&gt;0),1,0)</f>
        <v>0</v>
      </c>
      <c r="X53" s="7" t="n">
        <f aca="false">IF(AND(O53=1,I53&lt;Inputs!$B$4),1,0)</f>
        <v>0</v>
      </c>
      <c r="Y53" s="7" t="n">
        <f aca="false">IF(AND(O53=1,T53&gt;Inputs!$B$5),1,0)</f>
        <v>0</v>
      </c>
      <c r="Z53" s="7" t="n">
        <f aca="false">IF(AND(O53=1,G53&lt;&gt;R53),1,0)</f>
        <v>0</v>
      </c>
      <c r="AA53" s="7" t="n">
        <f aca="false">IF(AND(O53=1,M53=""),1,0)</f>
        <v>0</v>
      </c>
      <c r="AB53" s="7" t="n">
        <f aca="false">IF(AND(E53="Closed Lost",N53=""),1,0)</f>
        <v>0</v>
      </c>
      <c r="AC53" s="7" t="n">
        <f aca="false">SUM(U53:AB53)</f>
        <v>0</v>
      </c>
      <c r="AD53" s="7" t="n">
        <f aca="false">IF(AC53=0,1,0)</f>
        <v>1</v>
      </c>
      <c r="AE53" s="7" t="n">
        <f aca="false">IF(AND(O53=1,I53&gt;=Inputs!$B$6,I53&lt;=Inputs!$B$7),1,0)</f>
        <v>0</v>
      </c>
      <c r="AF53" s="7" t="n">
        <f aca="false">IF(AND(E53="Closed Won",I53&gt;=Inputs!$B$6,I53&lt;=Inputs!$B$4),1,0)</f>
        <v>0</v>
      </c>
      <c r="AG53" s="7" t="n">
        <f aca="false">IF(AND(O53=0,I53&gt;Inputs!$B$4-Inputs!$B$8,I53&lt;=Inputs!$B$4),1,0)</f>
        <v>1</v>
      </c>
      <c r="AH53" s="7" t="n">
        <f aca="false">I53-H53</f>
        <v>208</v>
      </c>
    </row>
    <row r="54" customFormat="false" ht="15" hidden="false" customHeight="false" outlineLevel="0" collapsed="false">
      <c r="A54" s="16" t="s">
        <v>720</v>
      </c>
      <c r="B54" s="16" t="s">
        <v>92</v>
      </c>
      <c r="C54" s="16" t="s">
        <v>721</v>
      </c>
      <c r="D54" s="16" t="s">
        <v>162</v>
      </c>
      <c r="E54" s="16" t="s">
        <v>531</v>
      </c>
      <c r="F54" s="26" t="n">
        <v>3229000</v>
      </c>
      <c r="G54" s="25" t="n">
        <v>0</v>
      </c>
      <c r="H54" s="22" t="n">
        <v>46052</v>
      </c>
      <c r="I54" s="22" t="n">
        <v>46278</v>
      </c>
      <c r="J54" s="22" t="n">
        <v>46278</v>
      </c>
      <c r="K54" s="16" t="s">
        <v>691</v>
      </c>
      <c r="L54" s="16" t="s">
        <v>568</v>
      </c>
      <c r="M54" s="16"/>
      <c r="N54" s="16" t="s">
        <v>722</v>
      </c>
      <c r="O54" s="7" t="n">
        <f aca="false">IF(OR(E54="Closed Won",E54="Closed Lost"),0,1)</f>
        <v>0</v>
      </c>
      <c r="P54" s="17" t="str">
        <f aca="false">INDEX(Accounts!$K$5:$K$336,MATCH(B54,Accounts!$A$5:$A$336,0))</f>
        <v>Public Sector &amp; Development</v>
      </c>
      <c r="Q54" s="17" t="str">
        <f aca="false">INDEX(Accounts!$D$5:$D$336,MATCH(B54,Accounts!$A$5:$A$336,0))</f>
        <v>Priority</v>
      </c>
      <c r="R54" s="7" t="n">
        <f aca="false">INDEX(Inputs!$B$11:$B$16,MATCH(E54,Inputs!$A$11:$A$16,0))</f>
        <v>0</v>
      </c>
      <c r="S54" s="27" t="n">
        <f aca="false">IF(F54="",0,F54)*R54/100</f>
        <v>0</v>
      </c>
      <c r="T54" s="7" t="n">
        <f aca="false">Inputs!$B$4-J54</f>
        <v>36</v>
      </c>
      <c r="U54" s="7" t="n">
        <f aca="false">IF(OR(F54="",F54=0),1,0)</f>
        <v>0</v>
      </c>
      <c r="V54" s="7" t="n">
        <f aca="false">IF(K54="",1,0)</f>
        <v>0</v>
      </c>
      <c r="W54" s="7" t="n">
        <f aca="false">IF(AND(O54=1,K54&lt;&gt;"",COUNTIFS(Owners!$A$5:$A$32,K54,Owners!$E$5:$E$32,"No")&gt;0),1,0)</f>
        <v>0</v>
      </c>
      <c r="X54" s="7" t="n">
        <f aca="false">IF(AND(O54=1,I54&lt;Inputs!$B$4),1,0)</f>
        <v>0</v>
      </c>
      <c r="Y54" s="7" t="n">
        <f aca="false">IF(AND(O54=1,T54&gt;Inputs!$B$5),1,0)</f>
        <v>0</v>
      </c>
      <c r="Z54" s="7" t="n">
        <f aca="false">IF(AND(O54=1,G54&lt;&gt;R54),1,0)</f>
        <v>0</v>
      </c>
      <c r="AA54" s="7" t="n">
        <f aca="false">IF(AND(O54=1,M54=""),1,0)</f>
        <v>0</v>
      </c>
      <c r="AB54" s="7" t="n">
        <f aca="false">IF(AND(E54="Closed Lost",N54=""),1,0)</f>
        <v>0</v>
      </c>
      <c r="AC54" s="7" t="n">
        <f aca="false">SUM(U54:AB54)</f>
        <v>0</v>
      </c>
      <c r="AD54" s="7" t="n">
        <f aca="false">IF(AC54=0,1,0)</f>
        <v>1</v>
      </c>
      <c r="AE54" s="7" t="n">
        <f aca="false">IF(AND(O54=1,I54&gt;=Inputs!$B$6,I54&lt;=Inputs!$B$7),1,0)</f>
        <v>0</v>
      </c>
      <c r="AF54" s="7" t="n">
        <f aca="false">IF(AND(E54="Closed Won",I54&gt;=Inputs!$B$6,I54&lt;=Inputs!$B$4),1,0)</f>
        <v>0</v>
      </c>
      <c r="AG54" s="7" t="n">
        <f aca="false">IF(AND(O54=0,I54&gt;Inputs!$B$4-Inputs!$B$8,I54&lt;=Inputs!$B$4),1,0)</f>
        <v>1</v>
      </c>
      <c r="AH54" s="7" t="n">
        <f aca="false">I54-H54</f>
        <v>226</v>
      </c>
    </row>
    <row r="55" customFormat="false" ht="15" hidden="false" customHeight="false" outlineLevel="0" collapsed="false">
      <c r="A55" s="16" t="s">
        <v>723</v>
      </c>
      <c r="B55" s="16" t="s">
        <v>86</v>
      </c>
      <c r="C55" s="16" t="s">
        <v>724</v>
      </c>
      <c r="D55" s="16" t="s">
        <v>167</v>
      </c>
      <c r="E55" s="16" t="s">
        <v>527</v>
      </c>
      <c r="F55" s="26" t="n">
        <v>1534000</v>
      </c>
      <c r="G55" s="25" t="n">
        <v>25</v>
      </c>
      <c r="H55" s="22" t="n">
        <v>46306</v>
      </c>
      <c r="I55" s="22" t="n">
        <v>46321</v>
      </c>
      <c r="J55" s="22" t="n">
        <v>46289</v>
      </c>
      <c r="K55" s="16" t="s">
        <v>654</v>
      </c>
      <c r="L55" s="16" t="s">
        <v>500</v>
      </c>
      <c r="M55" s="16" t="s">
        <v>569</v>
      </c>
      <c r="N55" s="16"/>
      <c r="O55" s="7" t="n">
        <f aca="false">IF(OR(E55="Closed Won",E55="Closed Lost"),0,1)</f>
        <v>1</v>
      </c>
      <c r="P55" s="17" t="str">
        <f aca="false">INDEX(Accounts!$K$5:$K$336,MATCH(B55,Accounts!$A$5:$A$336,0))</f>
        <v>Technology, Media &amp; Telecom</v>
      </c>
      <c r="Q55" s="17" t="str">
        <f aca="false">INDEX(Accounts!$D$5:$D$336,MATCH(B55,Accounts!$A$5:$A$336,0))</f>
        <v>Priority</v>
      </c>
      <c r="R55" s="7" t="n">
        <f aca="false">INDEX(Inputs!$B$11:$B$16,MATCH(E55,Inputs!$A$11:$A$16,0))</f>
        <v>25</v>
      </c>
      <c r="S55" s="27" t="n">
        <f aca="false">IF(F55="",0,F55)*R55/100</f>
        <v>383500</v>
      </c>
      <c r="T55" s="7" t="n">
        <f aca="false">Inputs!$B$4-J55</f>
        <v>25</v>
      </c>
      <c r="U55" s="7" t="n">
        <f aca="false">IF(OR(F55="",F55=0),1,0)</f>
        <v>0</v>
      </c>
      <c r="V55" s="7" t="n">
        <f aca="false">IF(K55="",1,0)</f>
        <v>0</v>
      </c>
      <c r="W55" s="7" t="n">
        <f aca="false">IF(AND(O55=1,K55&lt;&gt;"",COUNTIFS(Owners!$A$5:$A$32,K55,Owners!$E$5:$E$32,"No")&gt;0),1,0)</f>
        <v>0</v>
      </c>
      <c r="X55" s="7" t="n">
        <f aca="false">IF(AND(O55=1,I55&lt;Inputs!$B$4),1,0)</f>
        <v>0</v>
      </c>
      <c r="Y55" s="7" t="n">
        <f aca="false">IF(AND(O55=1,T55&gt;Inputs!$B$5),1,0)</f>
        <v>0</v>
      </c>
      <c r="Z55" s="7" t="n">
        <f aca="false">IF(AND(O55=1,G55&lt;&gt;R55),1,0)</f>
        <v>0</v>
      </c>
      <c r="AA55" s="7" t="n">
        <f aca="false">IF(AND(O55=1,M55=""),1,0)</f>
        <v>0</v>
      </c>
      <c r="AB55" s="7" t="n">
        <f aca="false">IF(AND(E55="Closed Lost",N55=""),1,0)</f>
        <v>0</v>
      </c>
      <c r="AC55" s="7" t="n">
        <f aca="false">SUM(U55:AB55)</f>
        <v>0</v>
      </c>
      <c r="AD55" s="7" t="n">
        <f aca="false">IF(AC55=0,1,0)</f>
        <v>1</v>
      </c>
      <c r="AE55" s="7" t="n">
        <f aca="false">IF(AND(O55=1,I55&gt;=Inputs!$B$6,I55&lt;=Inputs!$B$7),1,0)</f>
        <v>1</v>
      </c>
      <c r="AF55" s="7" t="n">
        <f aca="false">IF(AND(E55="Closed Won",I55&gt;=Inputs!$B$6,I55&lt;=Inputs!$B$4),1,0)</f>
        <v>0</v>
      </c>
      <c r="AG55" s="7" t="n">
        <f aca="false">IF(AND(O55=0,I55&gt;Inputs!$B$4-Inputs!$B$8,I55&lt;=Inputs!$B$4),1,0)</f>
        <v>0</v>
      </c>
      <c r="AH55" s="7" t="n">
        <f aca="false">I55-H55</f>
        <v>15</v>
      </c>
    </row>
    <row r="56" customFormat="false" ht="15" hidden="false" customHeight="false" outlineLevel="0" collapsed="false">
      <c r="A56" s="16" t="s">
        <v>725</v>
      </c>
      <c r="B56" s="16" t="s">
        <v>480</v>
      </c>
      <c r="C56" s="16" t="s">
        <v>726</v>
      </c>
      <c r="D56" s="16" t="s">
        <v>162</v>
      </c>
      <c r="E56" s="16" t="s">
        <v>531</v>
      </c>
      <c r="F56" s="26" t="n">
        <v>17284000</v>
      </c>
      <c r="G56" s="25" t="n">
        <v>0</v>
      </c>
      <c r="H56" s="22" t="n">
        <v>45965</v>
      </c>
      <c r="I56" s="22" t="n">
        <v>46124</v>
      </c>
      <c r="J56" s="22" t="n">
        <v>46124</v>
      </c>
      <c r="K56" s="16" t="s">
        <v>637</v>
      </c>
      <c r="L56" s="16" t="s">
        <v>609</v>
      </c>
      <c r="M56" s="16"/>
      <c r="N56" s="16" t="s">
        <v>722</v>
      </c>
      <c r="O56" s="7" t="n">
        <f aca="false">IF(OR(E56="Closed Won",E56="Closed Lost"),0,1)</f>
        <v>0</v>
      </c>
      <c r="P56" s="17" t="str">
        <f aca="false">INDEX(Accounts!$K$5:$K$336,MATCH(B56,Accounts!$A$5:$A$336,0))</f>
        <v>Public Sector &amp; Development</v>
      </c>
      <c r="Q56" s="17" t="str">
        <f aca="false">INDEX(Accounts!$D$5:$D$336,MATCH(B56,Accounts!$A$5:$A$336,0))</f>
        <v>Standard</v>
      </c>
      <c r="R56" s="7" t="n">
        <f aca="false">INDEX(Inputs!$B$11:$B$16,MATCH(E56,Inputs!$A$11:$A$16,0))</f>
        <v>0</v>
      </c>
      <c r="S56" s="27" t="n">
        <f aca="false">IF(F56="",0,F56)*R56/100</f>
        <v>0</v>
      </c>
      <c r="T56" s="7" t="n">
        <f aca="false">Inputs!$B$4-J56</f>
        <v>190</v>
      </c>
      <c r="U56" s="7" t="n">
        <f aca="false">IF(OR(F56="",F56=0),1,0)</f>
        <v>0</v>
      </c>
      <c r="V56" s="7" t="n">
        <f aca="false">IF(K56="",1,0)</f>
        <v>0</v>
      </c>
      <c r="W56" s="7" t="n">
        <f aca="false">IF(AND(O56=1,K56&lt;&gt;"",COUNTIFS(Owners!$A$5:$A$32,K56,Owners!$E$5:$E$32,"No")&gt;0),1,0)</f>
        <v>0</v>
      </c>
      <c r="X56" s="7" t="n">
        <f aca="false">IF(AND(O56=1,I56&lt;Inputs!$B$4),1,0)</f>
        <v>0</v>
      </c>
      <c r="Y56" s="7" t="n">
        <f aca="false">IF(AND(O56=1,T56&gt;Inputs!$B$5),1,0)</f>
        <v>0</v>
      </c>
      <c r="Z56" s="7" t="n">
        <f aca="false">IF(AND(O56=1,G56&lt;&gt;R56),1,0)</f>
        <v>0</v>
      </c>
      <c r="AA56" s="7" t="n">
        <f aca="false">IF(AND(O56=1,M56=""),1,0)</f>
        <v>0</v>
      </c>
      <c r="AB56" s="7" t="n">
        <f aca="false">IF(AND(E56="Closed Lost",N56=""),1,0)</f>
        <v>0</v>
      </c>
      <c r="AC56" s="7" t="n">
        <f aca="false">SUM(U56:AB56)</f>
        <v>0</v>
      </c>
      <c r="AD56" s="7" t="n">
        <f aca="false">IF(AC56=0,1,0)</f>
        <v>1</v>
      </c>
      <c r="AE56" s="7" t="n">
        <f aca="false">IF(AND(O56=1,I56&gt;=Inputs!$B$6,I56&lt;=Inputs!$B$7),1,0)</f>
        <v>0</v>
      </c>
      <c r="AF56" s="7" t="n">
        <f aca="false">IF(AND(E56="Closed Won",I56&gt;=Inputs!$B$6,I56&lt;=Inputs!$B$4),1,0)</f>
        <v>0</v>
      </c>
      <c r="AG56" s="7" t="n">
        <f aca="false">IF(AND(O56=0,I56&gt;Inputs!$B$4-Inputs!$B$8,I56&lt;=Inputs!$B$4),1,0)</f>
        <v>1</v>
      </c>
      <c r="AH56" s="7" t="n">
        <f aca="false">I56-H56</f>
        <v>159</v>
      </c>
    </row>
    <row r="57" customFormat="false" ht="15" hidden="false" customHeight="false" outlineLevel="0" collapsed="false">
      <c r="A57" s="16" t="s">
        <v>727</v>
      </c>
      <c r="B57" s="16" t="s">
        <v>699</v>
      </c>
      <c r="C57" s="16" t="s">
        <v>728</v>
      </c>
      <c r="D57" s="16" t="s">
        <v>158</v>
      </c>
      <c r="E57" s="16" t="s">
        <v>530</v>
      </c>
      <c r="F57" s="26"/>
      <c r="G57" s="25" t="n">
        <v>100</v>
      </c>
      <c r="H57" s="22" t="n">
        <v>46015</v>
      </c>
      <c r="I57" s="22" t="n">
        <v>46086</v>
      </c>
      <c r="J57" s="22" t="n">
        <v>46086</v>
      </c>
      <c r="K57" s="16" t="s">
        <v>729</v>
      </c>
      <c r="L57" s="16" t="s">
        <v>568</v>
      </c>
      <c r="M57" s="16"/>
      <c r="N57" s="16"/>
      <c r="O57" s="7" t="n">
        <f aca="false">IF(OR(E57="Closed Won",E57="Closed Lost"),0,1)</f>
        <v>0</v>
      </c>
      <c r="P57" s="17" t="str">
        <f aca="false">INDEX(Accounts!$K$5:$K$336,MATCH(B57,Accounts!$A$5:$A$336,0))</f>
        <v>Financial Services</v>
      </c>
      <c r="Q57" s="17" t="str">
        <f aca="false">INDEX(Accounts!$D$5:$D$336,MATCH(B57,Accounts!$A$5:$A$336,0))</f>
        <v>Standard</v>
      </c>
      <c r="R57" s="7" t="n">
        <f aca="false">INDEX(Inputs!$B$11:$B$16,MATCH(E57,Inputs!$A$11:$A$16,0))</f>
        <v>100</v>
      </c>
      <c r="S57" s="27" t="n">
        <f aca="false">IF(F57="",0,F57)*R57/100</f>
        <v>0</v>
      </c>
      <c r="T57" s="7" t="n">
        <f aca="false">Inputs!$B$4-J57</f>
        <v>228</v>
      </c>
      <c r="U57" s="7" t="n">
        <f aca="false">IF(OR(F57="",F57=0),1,0)</f>
        <v>1</v>
      </c>
      <c r="V57" s="7" t="n">
        <f aca="false">IF(K57="",1,0)</f>
        <v>0</v>
      </c>
      <c r="W57" s="7" t="n">
        <f aca="false">IF(AND(O57=1,K57&lt;&gt;"",COUNTIFS(Owners!$A$5:$A$32,K57,Owners!$E$5:$E$32,"No")&gt;0),1,0)</f>
        <v>0</v>
      </c>
      <c r="X57" s="7" t="n">
        <f aca="false">IF(AND(O57=1,I57&lt;Inputs!$B$4),1,0)</f>
        <v>0</v>
      </c>
      <c r="Y57" s="7" t="n">
        <f aca="false">IF(AND(O57=1,T57&gt;Inputs!$B$5),1,0)</f>
        <v>0</v>
      </c>
      <c r="Z57" s="7" t="n">
        <f aca="false">IF(AND(O57=1,G57&lt;&gt;R57),1,0)</f>
        <v>0</v>
      </c>
      <c r="AA57" s="7" t="n">
        <f aca="false">IF(AND(O57=1,M57=""),1,0)</f>
        <v>0</v>
      </c>
      <c r="AB57" s="7" t="n">
        <f aca="false">IF(AND(E57="Closed Lost",N57=""),1,0)</f>
        <v>0</v>
      </c>
      <c r="AC57" s="7" t="n">
        <f aca="false">SUM(U57:AB57)</f>
        <v>1</v>
      </c>
      <c r="AD57" s="7" t="n">
        <f aca="false">IF(AC57=0,1,0)</f>
        <v>0</v>
      </c>
      <c r="AE57" s="7" t="n">
        <f aca="false">IF(AND(O57=1,I57&gt;=Inputs!$B$6,I57&lt;=Inputs!$B$7),1,0)</f>
        <v>0</v>
      </c>
      <c r="AF57" s="7" t="n">
        <f aca="false">IF(AND(E57="Closed Won",I57&gt;=Inputs!$B$6,I57&lt;=Inputs!$B$4),1,0)</f>
        <v>0</v>
      </c>
      <c r="AG57" s="7" t="n">
        <f aca="false">IF(AND(O57=0,I57&gt;Inputs!$B$4-Inputs!$B$8,I57&lt;=Inputs!$B$4),1,0)</f>
        <v>1</v>
      </c>
      <c r="AH57" s="7" t="n">
        <f aca="false">I57-H57</f>
        <v>71</v>
      </c>
    </row>
    <row r="58" customFormat="false" ht="15" hidden="false" customHeight="false" outlineLevel="0" collapsed="false">
      <c r="A58" s="16" t="s">
        <v>730</v>
      </c>
      <c r="B58" s="16" t="s">
        <v>258</v>
      </c>
      <c r="C58" s="16" t="s">
        <v>731</v>
      </c>
      <c r="D58" s="16" t="s">
        <v>158</v>
      </c>
      <c r="E58" s="16" t="s">
        <v>528</v>
      </c>
      <c r="F58" s="26" t="n">
        <v>13035000</v>
      </c>
      <c r="G58" s="25" t="n">
        <v>90</v>
      </c>
      <c r="H58" s="22" t="n">
        <v>46271</v>
      </c>
      <c r="I58" s="22" t="n">
        <v>46284</v>
      </c>
      <c r="J58" s="22" t="n">
        <v>46299</v>
      </c>
      <c r="K58" s="16" t="s">
        <v>646</v>
      </c>
      <c r="L58" s="16" t="s">
        <v>568</v>
      </c>
      <c r="M58" s="16" t="s">
        <v>619</v>
      </c>
      <c r="N58" s="16"/>
      <c r="O58" s="7" t="n">
        <f aca="false">IF(OR(E58="Closed Won",E58="Closed Lost"),0,1)</f>
        <v>1</v>
      </c>
      <c r="P58" s="17" t="str">
        <f aca="false">INDEX(Accounts!$K$5:$K$336,MATCH(B58,Accounts!$A$5:$A$336,0))</f>
        <v>Energy &amp; Resources</v>
      </c>
      <c r="Q58" s="17" t="str">
        <f aca="false">INDEX(Accounts!$D$5:$D$336,MATCH(B58,Accounts!$A$5:$A$336,0))</f>
        <v>Standard</v>
      </c>
      <c r="R58" s="7" t="n">
        <f aca="false">INDEX(Inputs!$B$11:$B$16,MATCH(E58,Inputs!$A$11:$A$16,0))</f>
        <v>50</v>
      </c>
      <c r="S58" s="27" t="n">
        <f aca="false">IF(F58="",0,F58)*R58/100</f>
        <v>6517500</v>
      </c>
      <c r="T58" s="7" t="n">
        <f aca="false">Inputs!$B$4-J58</f>
        <v>15</v>
      </c>
      <c r="U58" s="7" t="n">
        <f aca="false">IF(OR(F58="",F58=0),1,0)</f>
        <v>0</v>
      </c>
      <c r="V58" s="7" t="n">
        <f aca="false">IF(K58="",1,0)</f>
        <v>0</v>
      </c>
      <c r="W58" s="7" t="n">
        <f aca="false">IF(AND(O58=1,K58&lt;&gt;"",COUNTIFS(Owners!$A$5:$A$32,K58,Owners!$E$5:$E$32,"No")&gt;0),1,0)</f>
        <v>0</v>
      </c>
      <c r="X58" s="7" t="n">
        <f aca="false">IF(AND(O58=1,I58&lt;Inputs!$B$4),1,0)</f>
        <v>1</v>
      </c>
      <c r="Y58" s="7" t="n">
        <f aca="false">IF(AND(O58=1,T58&gt;Inputs!$B$5),1,0)</f>
        <v>0</v>
      </c>
      <c r="Z58" s="7" t="n">
        <f aca="false">IF(AND(O58=1,G58&lt;&gt;R58),1,0)</f>
        <v>1</v>
      </c>
      <c r="AA58" s="7" t="n">
        <f aca="false">IF(AND(O58=1,M58=""),1,0)</f>
        <v>0</v>
      </c>
      <c r="AB58" s="7" t="n">
        <f aca="false">IF(AND(E58="Closed Lost",N58=""),1,0)</f>
        <v>0</v>
      </c>
      <c r="AC58" s="7" t="n">
        <f aca="false">SUM(U58:AB58)</f>
        <v>2</v>
      </c>
      <c r="AD58" s="7" t="n">
        <f aca="false">IF(AC58=0,1,0)</f>
        <v>0</v>
      </c>
      <c r="AE58" s="7" t="n">
        <f aca="false">IF(AND(O58=1,I58&gt;=Inputs!$B$6,I58&lt;=Inputs!$B$7),1,0)</f>
        <v>1</v>
      </c>
      <c r="AF58" s="7" t="n">
        <f aca="false">IF(AND(E58="Closed Won",I58&gt;=Inputs!$B$6,I58&lt;=Inputs!$B$4),1,0)</f>
        <v>0</v>
      </c>
      <c r="AG58" s="7" t="n">
        <f aca="false">IF(AND(O58=0,I58&gt;Inputs!$B$4-Inputs!$B$8,I58&lt;=Inputs!$B$4),1,0)</f>
        <v>0</v>
      </c>
      <c r="AH58" s="7" t="n">
        <f aca="false">I58-H58</f>
        <v>13</v>
      </c>
    </row>
    <row r="59" customFormat="false" ht="15" hidden="false" customHeight="false" outlineLevel="0" collapsed="false">
      <c r="A59" s="16" t="s">
        <v>732</v>
      </c>
      <c r="B59" s="16" t="s">
        <v>433</v>
      </c>
      <c r="C59" s="16" t="s">
        <v>733</v>
      </c>
      <c r="D59" s="16" t="s">
        <v>167</v>
      </c>
      <c r="E59" s="16" t="s">
        <v>529</v>
      </c>
      <c r="F59" s="26" t="n">
        <v>1880000</v>
      </c>
      <c r="G59" s="25" t="n">
        <v>75</v>
      </c>
      <c r="H59" s="22" t="n">
        <v>46262</v>
      </c>
      <c r="I59" s="22" t="n">
        <v>46471</v>
      </c>
      <c r="J59" s="22" t="n">
        <v>46263</v>
      </c>
      <c r="K59" s="16" t="s">
        <v>651</v>
      </c>
      <c r="L59" s="16" t="s">
        <v>500</v>
      </c>
      <c r="M59" s="16"/>
      <c r="N59" s="16"/>
      <c r="O59" s="7" t="n">
        <f aca="false">IF(OR(E59="Closed Won",E59="Closed Lost"),0,1)</f>
        <v>1</v>
      </c>
      <c r="P59" s="17" t="str">
        <f aca="false">INDEX(Accounts!$K$5:$K$336,MATCH(B59,Accounts!$A$5:$A$336,0))</f>
        <v>Agribusiness</v>
      </c>
      <c r="Q59" s="17" t="str">
        <f aca="false">INDEX(Accounts!$D$5:$D$336,MATCH(B59,Accounts!$A$5:$A$336,0))</f>
        <v>Key</v>
      </c>
      <c r="R59" s="7" t="n">
        <f aca="false">INDEX(Inputs!$B$11:$B$16,MATCH(E59,Inputs!$A$11:$A$16,0))</f>
        <v>75</v>
      </c>
      <c r="S59" s="27" t="n">
        <f aca="false">IF(F59="",0,F59)*R59/100</f>
        <v>1410000</v>
      </c>
      <c r="T59" s="7" t="n">
        <f aca="false">Inputs!$B$4-J59</f>
        <v>51</v>
      </c>
      <c r="U59" s="7" t="n">
        <f aca="false">IF(OR(F59="",F59=0),1,0)</f>
        <v>0</v>
      </c>
      <c r="V59" s="7" t="n">
        <f aca="false">IF(K59="",1,0)</f>
        <v>0</v>
      </c>
      <c r="W59" s="7" t="n">
        <f aca="false">IF(AND(O59=1,K59&lt;&gt;"",COUNTIFS(Owners!$A$5:$A$32,K59,Owners!$E$5:$E$32,"No")&gt;0),1,0)</f>
        <v>0</v>
      </c>
      <c r="X59" s="7" t="n">
        <f aca="false">IF(AND(O59=1,I59&lt;Inputs!$B$4),1,0)</f>
        <v>0</v>
      </c>
      <c r="Y59" s="7" t="n">
        <f aca="false">IF(AND(O59=1,T59&gt;Inputs!$B$5),1,0)</f>
        <v>0</v>
      </c>
      <c r="Z59" s="7" t="n">
        <f aca="false">IF(AND(O59=1,G59&lt;&gt;R59),1,0)</f>
        <v>0</v>
      </c>
      <c r="AA59" s="7" t="n">
        <f aca="false">IF(AND(O59=1,M59=""),1,0)</f>
        <v>1</v>
      </c>
      <c r="AB59" s="7" t="n">
        <f aca="false">IF(AND(E59="Closed Lost",N59=""),1,0)</f>
        <v>0</v>
      </c>
      <c r="AC59" s="7" t="n">
        <f aca="false">SUM(U59:AB59)</f>
        <v>1</v>
      </c>
      <c r="AD59" s="7" t="n">
        <f aca="false">IF(AC59=0,1,0)</f>
        <v>0</v>
      </c>
      <c r="AE59" s="7" t="n">
        <f aca="false">IF(AND(O59=1,I59&gt;=Inputs!$B$6,I59&lt;=Inputs!$B$7),1,0)</f>
        <v>1</v>
      </c>
      <c r="AF59" s="7" t="n">
        <f aca="false">IF(AND(E59="Closed Won",I59&gt;=Inputs!$B$6,I59&lt;=Inputs!$B$4),1,0)</f>
        <v>0</v>
      </c>
      <c r="AG59" s="7" t="n">
        <f aca="false">IF(AND(O59=0,I59&gt;Inputs!$B$4-Inputs!$B$8,I59&lt;=Inputs!$B$4),1,0)</f>
        <v>0</v>
      </c>
      <c r="AH59" s="7" t="n">
        <f aca="false">I59-H59</f>
        <v>209</v>
      </c>
    </row>
    <row r="60" customFormat="false" ht="15" hidden="false" customHeight="false" outlineLevel="0" collapsed="false">
      <c r="A60" s="16" t="s">
        <v>734</v>
      </c>
      <c r="B60" s="16" t="s">
        <v>82</v>
      </c>
      <c r="C60" s="16" t="s">
        <v>735</v>
      </c>
      <c r="D60" s="16" t="s">
        <v>162</v>
      </c>
      <c r="E60" s="16" t="s">
        <v>527</v>
      </c>
      <c r="F60" s="26" t="n">
        <v>5656000</v>
      </c>
      <c r="G60" s="25" t="n">
        <v>25</v>
      </c>
      <c r="H60" s="22" t="n">
        <v>46302</v>
      </c>
      <c r="I60" s="22" t="n">
        <v>46382</v>
      </c>
      <c r="J60" s="22" t="n">
        <v>46173</v>
      </c>
      <c r="K60" s="16"/>
      <c r="L60" s="16" t="s">
        <v>609</v>
      </c>
      <c r="M60" s="16"/>
      <c r="N60" s="16"/>
      <c r="O60" s="7" t="n">
        <f aca="false">IF(OR(E60="Closed Won",E60="Closed Lost"),0,1)</f>
        <v>1</v>
      </c>
      <c r="P60" s="17" t="str">
        <f aca="false">INDEX(Accounts!$K$5:$K$336,MATCH(B60,Accounts!$A$5:$A$336,0))</f>
        <v>Public Sector &amp; Development</v>
      </c>
      <c r="Q60" s="17" t="str">
        <f aca="false">INDEX(Accounts!$D$5:$D$336,MATCH(B60,Accounts!$A$5:$A$336,0))</f>
        <v>Priority</v>
      </c>
      <c r="R60" s="7" t="n">
        <f aca="false">INDEX(Inputs!$B$11:$B$16,MATCH(E60,Inputs!$A$11:$A$16,0))</f>
        <v>25</v>
      </c>
      <c r="S60" s="27" t="n">
        <f aca="false">IF(F60="",0,F60)*R60/100</f>
        <v>1414000</v>
      </c>
      <c r="T60" s="7" t="n">
        <f aca="false">Inputs!$B$4-J60</f>
        <v>141</v>
      </c>
      <c r="U60" s="7" t="n">
        <f aca="false">IF(OR(F60="",F60=0),1,0)</f>
        <v>0</v>
      </c>
      <c r="V60" s="7" t="n">
        <f aca="false">IF(K60="",1,0)</f>
        <v>1</v>
      </c>
      <c r="W60" s="7" t="n">
        <f aca="false">IF(AND(O60=1,K60&lt;&gt;"",COUNTIFS(Owners!$A$5:$A$32,K60,Owners!$E$5:$E$32,"No")&gt;0),1,0)</f>
        <v>0</v>
      </c>
      <c r="X60" s="7" t="n">
        <f aca="false">IF(AND(O60=1,I60&lt;Inputs!$B$4),1,0)</f>
        <v>0</v>
      </c>
      <c r="Y60" s="7" t="n">
        <f aca="false">IF(AND(O60=1,T60&gt;Inputs!$B$5),1,0)</f>
        <v>1</v>
      </c>
      <c r="Z60" s="7" t="n">
        <f aca="false">IF(AND(O60=1,G60&lt;&gt;R60),1,0)</f>
        <v>0</v>
      </c>
      <c r="AA60" s="7" t="n">
        <f aca="false">IF(AND(O60=1,M60=""),1,0)</f>
        <v>1</v>
      </c>
      <c r="AB60" s="7" t="n">
        <f aca="false">IF(AND(E60="Closed Lost",N60=""),1,0)</f>
        <v>0</v>
      </c>
      <c r="AC60" s="7" t="n">
        <f aca="false">SUM(U60:AB60)</f>
        <v>3</v>
      </c>
      <c r="AD60" s="7" t="n">
        <f aca="false">IF(AC60=0,1,0)</f>
        <v>0</v>
      </c>
      <c r="AE60" s="7" t="n">
        <f aca="false">IF(AND(O60=1,I60&gt;=Inputs!$B$6,I60&lt;=Inputs!$B$7),1,0)</f>
        <v>1</v>
      </c>
      <c r="AF60" s="7" t="n">
        <f aca="false">IF(AND(E60="Closed Won",I60&gt;=Inputs!$B$6,I60&lt;=Inputs!$B$4),1,0)</f>
        <v>0</v>
      </c>
      <c r="AG60" s="7" t="n">
        <f aca="false">IF(AND(O60=0,I60&gt;Inputs!$B$4-Inputs!$B$8,I60&lt;=Inputs!$B$4),1,0)</f>
        <v>0</v>
      </c>
      <c r="AH60" s="7" t="n">
        <f aca="false">I60-H60</f>
        <v>80</v>
      </c>
    </row>
    <row r="61" customFormat="false" ht="15" hidden="false" customHeight="false" outlineLevel="0" collapsed="false">
      <c r="A61" s="16" t="s">
        <v>736</v>
      </c>
      <c r="B61" s="16" t="s">
        <v>71</v>
      </c>
      <c r="C61" s="16" t="s">
        <v>737</v>
      </c>
      <c r="D61" s="16" t="s">
        <v>167</v>
      </c>
      <c r="E61" s="16" t="s">
        <v>527</v>
      </c>
      <c r="F61" s="26" t="n">
        <v>2932000</v>
      </c>
      <c r="G61" s="25" t="n">
        <v>25</v>
      </c>
      <c r="H61" s="22" t="n">
        <v>46236</v>
      </c>
      <c r="I61" s="22" t="n">
        <v>46277</v>
      </c>
      <c r="J61" s="22" t="n">
        <v>46270</v>
      </c>
      <c r="K61" s="16" t="s">
        <v>691</v>
      </c>
      <c r="L61" s="16" t="s">
        <v>568</v>
      </c>
      <c r="M61" s="16" t="s">
        <v>613</v>
      </c>
      <c r="N61" s="16"/>
      <c r="O61" s="7" t="n">
        <f aca="false">IF(OR(E61="Closed Won",E61="Closed Lost"),0,1)</f>
        <v>1</v>
      </c>
      <c r="P61" s="17" t="str">
        <f aca="false">INDEX(Accounts!$K$5:$K$336,MATCH(B61,Accounts!$A$5:$A$336,0))</f>
        <v>Energy &amp; Resources</v>
      </c>
      <c r="Q61" s="17" t="str">
        <f aca="false">INDEX(Accounts!$D$5:$D$336,MATCH(B61,Accounts!$A$5:$A$336,0))</f>
        <v>Priority</v>
      </c>
      <c r="R61" s="7" t="n">
        <f aca="false">INDEX(Inputs!$B$11:$B$16,MATCH(E61,Inputs!$A$11:$A$16,0))</f>
        <v>25</v>
      </c>
      <c r="S61" s="27" t="n">
        <f aca="false">IF(F61="",0,F61)*R61/100</f>
        <v>733000</v>
      </c>
      <c r="T61" s="7" t="n">
        <f aca="false">Inputs!$B$4-J61</f>
        <v>44</v>
      </c>
      <c r="U61" s="7" t="n">
        <f aca="false">IF(OR(F61="",F61=0),1,0)</f>
        <v>0</v>
      </c>
      <c r="V61" s="7" t="n">
        <f aca="false">IF(K61="",1,0)</f>
        <v>0</v>
      </c>
      <c r="W61" s="7" t="n">
        <f aca="false">IF(AND(O61=1,K61&lt;&gt;"",COUNTIFS(Owners!$A$5:$A$32,K61,Owners!$E$5:$E$32,"No")&gt;0),1,0)</f>
        <v>0</v>
      </c>
      <c r="X61" s="7" t="n">
        <f aca="false">IF(AND(O61=1,I61&lt;Inputs!$B$4),1,0)</f>
        <v>1</v>
      </c>
      <c r="Y61" s="7" t="n">
        <f aca="false">IF(AND(O61=1,T61&gt;Inputs!$B$5),1,0)</f>
        <v>0</v>
      </c>
      <c r="Z61" s="7" t="n">
        <f aca="false">IF(AND(O61=1,G61&lt;&gt;R61),1,0)</f>
        <v>0</v>
      </c>
      <c r="AA61" s="7" t="n">
        <f aca="false">IF(AND(O61=1,M61=""),1,0)</f>
        <v>0</v>
      </c>
      <c r="AB61" s="7" t="n">
        <f aca="false">IF(AND(E61="Closed Lost",N61=""),1,0)</f>
        <v>0</v>
      </c>
      <c r="AC61" s="7" t="n">
        <f aca="false">SUM(U61:AB61)</f>
        <v>1</v>
      </c>
      <c r="AD61" s="7" t="n">
        <f aca="false">IF(AC61=0,1,0)</f>
        <v>0</v>
      </c>
      <c r="AE61" s="7" t="n">
        <f aca="false">IF(AND(O61=1,I61&gt;=Inputs!$B$6,I61&lt;=Inputs!$B$7),1,0)</f>
        <v>1</v>
      </c>
      <c r="AF61" s="7" t="n">
        <f aca="false">IF(AND(E61="Closed Won",I61&gt;=Inputs!$B$6,I61&lt;=Inputs!$B$4),1,0)</f>
        <v>0</v>
      </c>
      <c r="AG61" s="7" t="n">
        <f aca="false">IF(AND(O61=0,I61&gt;Inputs!$B$4-Inputs!$B$8,I61&lt;=Inputs!$B$4),1,0)</f>
        <v>0</v>
      </c>
      <c r="AH61" s="7" t="n">
        <f aca="false">I61-H61</f>
        <v>41</v>
      </c>
    </row>
    <row r="62" customFormat="false" ht="15" hidden="false" customHeight="false" outlineLevel="0" collapsed="false">
      <c r="A62" s="16" t="s">
        <v>738</v>
      </c>
      <c r="B62" s="16" t="s">
        <v>96</v>
      </c>
      <c r="C62" s="16" t="s">
        <v>739</v>
      </c>
      <c r="D62" s="16" t="s">
        <v>167</v>
      </c>
      <c r="E62" s="16" t="s">
        <v>527</v>
      </c>
      <c r="F62" s="26" t="n">
        <v>18156000</v>
      </c>
      <c r="G62" s="25" t="n">
        <v>25</v>
      </c>
      <c r="H62" s="22" t="n">
        <v>46269</v>
      </c>
      <c r="I62" s="22" t="n">
        <v>46413</v>
      </c>
      <c r="J62" s="22" t="n">
        <v>46282</v>
      </c>
      <c r="K62" s="16" t="s">
        <v>704</v>
      </c>
      <c r="L62" s="16" t="s">
        <v>584</v>
      </c>
      <c r="M62" s="16" t="s">
        <v>569</v>
      </c>
      <c r="N62" s="16"/>
      <c r="O62" s="7" t="n">
        <f aca="false">IF(OR(E62="Closed Won",E62="Closed Lost"),0,1)</f>
        <v>1</v>
      </c>
      <c r="P62" s="17" t="str">
        <f aca="false">INDEX(Accounts!$K$5:$K$336,MATCH(B62,Accounts!$A$5:$A$336,0))</f>
        <v>Financial Services</v>
      </c>
      <c r="Q62" s="17" t="str">
        <f aca="false">INDEX(Accounts!$D$5:$D$336,MATCH(B62,Accounts!$A$5:$A$336,0))</f>
        <v>Priority</v>
      </c>
      <c r="R62" s="7" t="n">
        <f aca="false">INDEX(Inputs!$B$11:$B$16,MATCH(E62,Inputs!$A$11:$A$16,0))</f>
        <v>25</v>
      </c>
      <c r="S62" s="27" t="n">
        <f aca="false">IF(F62="",0,F62)*R62/100</f>
        <v>4539000</v>
      </c>
      <c r="T62" s="7" t="n">
        <f aca="false">Inputs!$B$4-J62</f>
        <v>32</v>
      </c>
      <c r="U62" s="7" t="n">
        <f aca="false">IF(OR(F62="",F62=0),1,0)</f>
        <v>0</v>
      </c>
      <c r="V62" s="7" t="n">
        <f aca="false">IF(K62="",1,0)</f>
        <v>0</v>
      </c>
      <c r="W62" s="7" t="n">
        <f aca="false">IF(AND(O62=1,K62&lt;&gt;"",COUNTIFS(Owners!$A$5:$A$32,K62,Owners!$E$5:$E$32,"No")&gt;0),1,0)</f>
        <v>0</v>
      </c>
      <c r="X62" s="7" t="n">
        <f aca="false">IF(AND(O62=1,I62&lt;Inputs!$B$4),1,0)</f>
        <v>0</v>
      </c>
      <c r="Y62" s="7" t="n">
        <f aca="false">IF(AND(O62=1,T62&gt;Inputs!$B$5),1,0)</f>
        <v>0</v>
      </c>
      <c r="Z62" s="7" t="n">
        <f aca="false">IF(AND(O62=1,G62&lt;&gt;R62),1,0)</f>
        <v>0</v>
      </c>
      <c r="AA62" s="7" t="n">
        <f aca="false">IF(AND(O62=1,M62=""),1,0)</f>
        <v>0</v>
      </c>
      <c r="AB62" s="7" t="n">
        <f aca="false">IF(AND(E62="Closed Lost",N62=""),1,0)</f>
        <v>0</v>
      </c>
      <c r="AC62" s="7" t="n">
        <f aca="false">SUM(U62:AB62)</f>
        <v>0</v>
      </c>
      <c r="AD62" s="7" t="n">
        <f aca="false">IF(AC62=0,1,0)</f>
        <v>1</v>
      </c>
      <c r="AE62" s="7" t="n">
        <f aca="false">IF(AND(O62=1,I62&gt;=Inputs!$B$6,I62&lt;=Inputs!$B$7),1,0)</f>
        <v>1</v>
      </c>
      <c r="AF62" s="7" t="n">
        <f aca="false">IF(AND(E62="Closed Won",I62&gt;=Inputs!$B$6,I62&lt;=Inputs!$B$4),1,0)</f>
        <v>0</v>
      </c>
      <c r="AG62" s="7" t="n">
        <f aca="false">IF(AND(O62=0,I62&gt;Inputs!$B$4-Inputs!$B$8,I62&lt;=Inputs!$B$4),1,0)</f>
        <v>0</v>
      </c>
      <c r="AH62" s="7" t="n">
        <f aca="false">I62-H62</f>
        <v>144</v>
      </c>
    </row>
    <row r="63" customFormat="false" ht="15" hidden="false" customHeight="false" outlineLevel="0" collapsed="false">
      <c r="A63" s="16" t="s">
        <v>740</v>
      </c>
      <c r="B63" s="16" t="s">
        <v>70</v>
      </c>
      <c r="C63" s="16" t="s">
        <v>741</v>
      </c>
      <c r="D63" s="16" t="s">
        <v>165</v>
      </c>
      <c r="E63" s="16" t="s">
        <v>526</v>
      </c>
      <c r="F63" s="26" t="n">
        <v>6075000</v>
      </c>
      <c r="G63" s="25" t="n">
        <v>10</v>
      </c>
      <c r="H63" s="22" t="n">
        <v>46151</v>
      </c>
      <c r="I63" s="22" t="n">
        <v>46439</v>
      </c>
      <c r="J63" s="22" t="n">
        <v>46280</v>
      </c>
      <c r="K63" s="16" t="s">
        <v>633</v>
      </c>
      <c r="L63" s="16" t="s">
        <v>609</v>
      </c>
      <c r="M63" s="16" t="s">
        <v>593</v>
      </c>
      <c r="N63" s="16"/>
      <c r="O63" s="7" t="n">
        <f aca="false">IF(OR(E63="Closed Won",E63="Closed Lost"),0,1)</f>
        <v>1</v>
      </c>
      <c r="P63" s="17" t="str">
        <f aca="false">INDEX(Accounts!$K$5:$K$336,MATCH(B63,Accounts!$A$5:$A$336,0))</f>
        <v>Consumer &amp; Retail</v>
      </c>
      <c r="Q63" s="17" t="str">
        <f aca="false">INDEX(Accounts!$D$5:$D$336,MATCH(B63,Accounts!$A$5:$A$336,0))</f>
        <v>Priority</v>
      </c>
      <c r="R63" s="7" t="n">
        <f aca="false">INDEX(Inputs!$B$11:$B$16,MATCH(E63,Inputs!$A$11:$A$16,0))</f>
        <v>10</v>
      </c>
      <c r="S63" s="27" t="n">
        <f aca="false">IF(F63="",0,F63)*R63/100</f>
        <v>607500</v>
      </c>
      <c r="T63" s="7" t="n">
        <f aca="false">Inputs!$B$4-J63</f>
        <v>34</v>
      </c>
      <c r="U63" s="7" t="n">
        <f aca="false">IF(OR(F63="",F63=0),1,0)</f>
        <v>0</v>
      </c>
      <c r="V63" s="7" t="n">
        <f aca="false">IF(K63="",1,0)</f>
        <v>0</v>
      </c>
      <c r="W63" s="7" t="n">
        <f aca="false">IF(AND(O63=1,K63&lt;&gt;"",COUNTIFS(Owners!$A$5:$A$32,K63,Owners!$E$5:$E$32,"No")&gt;0),1,0)</f>
        <v>0</v>
      </c>
      <c r="X63" s="7" t="n">
        <f aca="false">IF(AND(O63=1,I63&lt;Inputs!$B$4),1,0)</f>
        <v>0</v>
      </c>
      <c r="Y63" s="7" t="n">
        <f aca="false">IF(AND(O63=1,T63&gt;Inputs!$B$5),1,0)</f>
        <v>0</v>
      </c>
      <c r="Z63" s="7" t="n">
        <f aca="false">IF(AND(O63=1,G63&lt;&gt;R63),1,0)</f>
        <v>0</v>
      </c>
      <c r="AA63" s="7" t="n">
        <f aca="false">IF(AND(O63=1,M63=""),1,0)</f>
        <v>0</v>
      </c>
      <c r="AB63" s="7" t="n">
        <f aca="false">IF(AND(E63="Closed Lost",N63=""),1,0)</f>
        <v>0</v>
      </c>
      <c r="AC63" s="7" t="n">
        <f aca="false">SUM(U63:AB63)</f>
        <v>0</v>
      </c>
      <c r="AD63" s="7" t="n">
        <f aca="false">IF(AC63=0,1,0)</f>
        <v>1</v>
      </c>
      <c r="AE63" s="7" t="n">
        <f aca="false">IF(AND(O63=1,I63&gt;=Inputs!$B$6,I63&lt;=Inputs!$B$7),1,0)</f>
        <v>1</v>
      </c>
      <c r="AF63" s="7" t="n">
        <f aca="false">IF(AND(E63="Closed Won",I63&gt;=Inputs!$B$6,I63&lt;=Inputs!$B$4),1,0)</f>
        <v>0</v>
      </c>
      <c r="AG63" s="7" t="n">
        <f aca="false">IF(AND(O63=0,I63&gt;Inputs!$B$4-Inputs!$B$8,I63&lt;=Inputs!$B$4),1,0)</f>
        <v>0</v>
      </c>
      <c r="AH63" s="7" t="n">
        <f aca="false">I63-H63</f>
        <v>288</v>
      </c>
    </row>
    <row r="64" customFormat="false" ht="15" hidden="false" customHeight="false" outlineLevel="0" collapsed="false">
      <c r="A64" s="16" t="s">
        <v>742</v>
      </c>
      <c r="B64" s="16" t="s">
        <v>743</v>
      </c>
      <c r="C64" s="16" t="s">
        <v>744</v>
      </c>
      <c r="D64" s="16" t="s">
        <v>162</v>
      </c>
      <c r="E64" s="16" t="s">
        <v>531</v>
      </c>
      <c r="F64" s="26" t="n">
        <v>39589000</v>
      </c>
      <c r="G64" s="25" t="n">
        <v>0</v>
      </c>
      <c r="H64" s="22" t="n">
        <v>45933</v>
      </c>
      <c r="I64" s="22" t="n">
        <v>46126</v>
      </c>
      <c r="J64" s="22" t="n">
        <v>46126</v>
      </c>
      <c r="K64" s="16" t="s">
        <v>622</v>
      </c>
      <c r="L64" s="16" t="s">
        <v>584</v>
      </c>
      <c r="M64" s="16"/>
      <c r="N64" s="16" t="s">
        <v>697</v>
      </c>
      <c r="O64" s="7" t="n">
        <f aca="false">IF(OR(E64="Closed Won",E64="Closed Lost"),0,1)</f>
        <v>0</v>
      </c>
      <c r="P64" s="17" t="str">
        <f aca="false">INDEX(Accounts!$K$5:$K$336,MATCH(B64,Accounts!$A$5:$A$336,0))</f>
        <v>Consumer &amp; Retail</v>
      </c>
      <c r="Q64" s="17" t="str">
        <f aca="false">INDEX(Accounts!$D$5:$D$336,MATCH(B64,Accounts!$A$5:$A$336,0))</f>
        <v>Key</v>
      </c>
      <c r="R64" s="7" t="n">
        <f aca="false">INDEX(Inputs!$B$11:$B$16,MATCH(E64,Inputs!$A$11:$A$16,0))</f>
        <v>0</v>
      </c>
      <c r="S64" s="27" t="n">
        <f aca="false">IF(F64="",0,F64)*R64/100</f>
        <v>0</v>
      </c>
      <c r="T64" s="7" t="n">
        <f aca="false">Inputs!$B$4-J64</f>
        <v>188</v>
      </c>
      <c r="U64" s="7" t="n">
        <f aca="false">IF(OR(F64="",F64=0),1,0)</f>
        <v>0</v>
      </c>
      <c r="V64" s="7" t="n">
        <f aca="false">IF(K64="",1,0)</f>
        <v>0</v>
      </c>
      <c r="W64" s="7" t="n">
        <f aca="false">IF(AND(O64=1,K64&lt;&gt;"",COUNTIFS(Owners!$A$5:$A$32,K64,Owners!$E$5:$E$32,"No")&gt;0),1,0)</f>
        <v>0</v>
      </c>
      <c r="X64" s="7" t="n">
        <f aca="false">IF(AND(O64=1,I64&lt;Inputs!$B$4),1,0)</f>
        <v>0</v>
      </c>
      <c r="Y64" s="7" t="n">
        <f aca="false">IF(AND(O64=1,T64&gt;Inputs!$B$5),1,0)</f>
        <v>0</v>
      </c>
      <c r="Z64" s="7" t="n">
        <f aca="false">IF(AND(O64=1,G64&lt;&gt;R64),1,0)</f>
        <v>0</v>
      </c>
      <c r="AA64" s="7" t="n">
        <f aca="false">IF(AND(O64=1,M64=""),1,0)</f>
        <v>0</v>
      </c>
      <c r="AB64" s="7" t="n">
        <f aca="false">IF(AND(E64="Closed Lost",N64=""),1,0)</f>
        <v>0</v>
      </c>
      <c r="AC64" s="7" t="n">
        <f aca="false">SUM(U64:AB64)</f>
        <v>0</v>
      </c>
      <c r="AD64" s="7" t="n">
        <f aca="false">IF(AC64=0,1,0)</f>
        <v>1</v>
      </c>
      <c r="AE64" s="7" t="n">
        <f aca="false">IF(AND(O64=1,I64&gt;=Inputs!$B$6,I64&lt;=Inputs!$B$7),1,0)</f>
        <v>0</v>
      </c>
      <c r="AF64" s="7" t="n">
        <f aca="false">IF(AND(E64="Closed Won",I64&gt;=Inputs!$B$6,I64&lt;=Inputs!$B$4),1,0)</f>
        <v>0</v>
      </c>
      <c r="AG64" s="7" t="n">
        <f aca="false">IF(AND(O64=0,I64&gt;Inputs!$B$4-Inputs!$B$8,I64&lt;=Inputs!$B$4),1,0)</f>
        <v>1</v>
      </c>
      <c r="AH64" s="7" t="n">
        <f aca="false">I64-H64</f>
        <v>193</v>
      </c>
    </row>
    <row r="65" customFormat="false" ht="15" hidden="false" customHeight="false" outlineLevel="0" collapsed="false">
      <c r="A65" s="16" t="s">
        <v>745</v>
      </c>
      <c r="B65" s="16" t="s">
        <v>743</v>
      </c>
      <c r="C65" s="16" t="s">
        <v>746</v>
      </c>
      <c r="D65" s="16" t="s">
        <v>177</v>
      </c>
      <c r="E65" s="16" t="s">
        <v>528</v>
      </c>
      <c r="F65" s="26" t="n">
        <v>6477000</v>
      </c>
      <c r="G65" s="25" t="n">
        <v>50</v>
      </c>
      <c r="H65" s="22" t="n">
        <v>46184</v>
      </c>
      <c r="I65" s="22" t="n">
        <v>46468</v>
      </c>
      <c r="J65" s="22" t="n">
        <v>46279</v>
      </c>
      <c r="K65" s="16" t="s">
        <v>622</v>
      </c>
      <c r="L65" s="16" t="s">
        <v>568</v>
      </c>
      <c r="M65" s="16" t="s">
        <v>619</v>
      </c>
      <c r="N65" s="16"/>
      <c r="O65" s="7" t="n">
        <f aca="false">IF(OR(E65="Closed Won",E65="Closed Lost"),0,1)</f>
        <v>1</v>
      </c>
      <c r="P65" s="17" t="str">
        <f aca="false">INDEX(Accounts!$K$5:$K$336,MATCH(B65,Accounts!$A$5:$A$336,0))</f>
        <v>Consumer &amp; Retail</v>
      </c>
      <c r="Q65" s="17" t="str">
        <f aca="false">INDEX(Accounts!$D$5:$D$336,MATCH(B65,Accounts!$A$5:$A$336,0))</f>
        <v>Key</v>
      </c>
      <c r="R65" s="7" t="n">
        <f aca="false">INDEX(Inputs!$B$11:$B$16,MATCH(E65,Inputs!$A$11:$A$16,0))</f>
        <v>50</v>
      </c>
      <c r="S65" s="27" t="n">
        <f aca="false">IF(F65="",0,F65)*R65/100</f>
        <v>3238500</v>
      </c>
      <c r="T65" s="7" t="n">
        <f aca="false">Inputs!$B$4-J65</f>
        <v>35</v>
      </c>
      <c r="U65" s="7" t="n">
        <f aca="false">IF(OR(F65="",F65=0),1,0)</f>
        <v>0</v>
      </c>
      <c r="V65" s="7" t="n">
        <f aca="false">IF(K65="",1,0)</f>
        <v>0</v>
      </c>
      <c r="W65" s="7" t="n">
        <f aca="false">IF(AND(O65=1,K65&lt;&gt;"",COUNTIFS(Owners!$A$5:$A$32,K65,Owners!$E$5:$E$32,"No")&gt;0),1,0)</f>
        <v>0</v>
      </c>
      <c r="X65" s="7" t="n">
        <f aca="false">IF(AND(O65=1,I65&lt;Inputs!$B$4),1,0)</f>
        <v>0</v>
      </c>
      <c r="Y65" s="7" t="n">
        <f aca="false">IF(AND(O65=1,T65&gt;Inputs!$B$5),1,0)</f>
        <v>0</v>
      </c>
      <c r="Z65" s="7" t="n">
        <f aca="false">IF(AND(O65=1,G65&lt;&gt;R65),1,0)</f>
        <v>0</v>
      </c>
      <c r="AA65" s="7" t="n">
        <f aca="false">IF(AND(O65=1,M65=""),1,0)</f>
        <v>0</v>
      </c>
      <c r="AB65" s="7" t="n">
        <f aca="false">IF(AND(E65="Closed Lost",N65=""),1,0)</f>
        <v>0</v>
      </c>
      <c r="AC65" s="7" t="n">
        <f aca="false">SUM(U65:AB65)</f>
        <v>0</v>
      </c>
      <c r="AD65" s="7" t="n">
        <f aca="false">IF(AC65=0,1,0)</f>
        <v>1</v>
      </c>
      <c r="AE65" s="7" t="n">
        <f aca="false">IF(AND(O65=1,I65&gt;=Inputs!$B$6,I65&lt;=Inputs!$B$7),1,0)</f>
        <v>1</v>
      </c>
      <c r="AF65" s="7" t="n">
        <f aca="false">IF(AND(E65="Closed Won",I65&gt;=Inputs!$B$6,I65&lt;=Inputs!$B$4),1,0)</f>
        <v>0</v>
      </c>
      <c r="AG65" s="7" t="n">
        <f aca="false">IF(AND(O65=0,I65&gt;Inputs!$B$4-Inputs!$B$8,I65&lt;=Inputs!$B$4),1,0)</f>
        <v>0</v>
      </c>
      <c r="AH65" s="7" t="n">
        <f aca="false">I65-H65</f>
        <v>284</v>
      </c>
    </row>
    <row r="66" customFormat="false" ht="15" hidden="false" customHeight="false" outlineLevel="0" collapsed="false">
      <c r="A66" s="16" t="s">
        <v>747</v>
      </c>
      <c r="B66" s="16" t="s">
        <v>748</v>
      </c>
      <c r="C66" s="16" t="s">
        <v>749</v>
      </c>
      <c r="D66" s="16" t="s">
        <v>162</v>
      </c>
      <c r="E66" s="16" t="s">
        <v>531</v>
      </c>
      <c r="F66" s="26" t="n">
        <v>4294000</v>
      </c>
      <c r="G66" s="25" t="n">
        <v>0</v>
      </c>
      <c r="H66" s="22" t="n">
        <v>45954</v>
      </c>
      <c r="I66" s="22" t="n">
        <v>46211</v>
      </c>
      <c r="J66" s="22" t="n">
        <v>46211</v>
      </c>
      <c r="K66" s="16" t="s">
        <v>637</v>
      </c>
      <c r="L66" s="16" t="s">
        <v>584</v>
      </c>
      <c r="M66" s="16"/>
      <c r="N66" s="16" t="s">
        <v>697</v>
      </c>
      <c r="O66" s="7" t="n">
        <f aca="false">IF(OR(E66="Closed Won",E66="Closed Lost"),0,1)</f>
        <v>0</v>
      </c>
      <c r="P66" s="17" t="str">
        <f aca="false">INDEX(Accounts!$K$5:$K$336,MATCH(B66,Accounts!$A$5:$A$336,0))</f>
        <v>Technology, Media &amp; Telecom</v>
      </c>
      <c r="Q66" s="17" t="str">
        <f aca="false">INDEX(Accounts!$D$5:$D$336,MATCH(B66,Accounts!$A$5:$A$336,0))</f>
        <v>Key</v>
      </c>
      <c r="R66" s="7" t="n">
        <f aca="false">INDEX(Inputs!$B$11:$B$16,MATCH(E66,Inputs!$A$11:$A$16,0))</f>
        <v>0</v>
      </c>
      <c r="S66" s="27" t="n">
        <f aca="false">IF(F66="",0,F66)*R66/100</f>
        <v>0</v>
      </c>
      <c r="T66" s="7" t="n">
        <f aca="false">Inputs!$B$4-J66</f>
        <v>103</v>
      </c>
      <c r="U66" s="7" t="n">
        <f aca="false">IF(OR(F66="",F66=0),1,0)</f>
        <v>0</v>
      </c>
      <c r="V66" s="7" t="n">
        <f aca="false">IF(K66="",1,0)</f>
        <v>0</v>
      </c>
      <c r="W66" s="7" t="n">
        <f aca="false">IF(AND(O66=1,K66&lt;&gt;"",COUNTIFS(Owners!$A$5:$A$32,K66,Owners!$E$5:$E$32,"No")&gt;0),1,0)</f>
        <v>0</v>
      </c>
      <c r="X66" s="7" t="n">
        <f aca="false">IF(AND(O66=1,I66&lt;Inputs!$B$4),1,0)</f>
        <v>0</v>
      </c>
      <c r="Y66" s="7" t="n">
        <f aca="false">IF(AND(O66=1,T66&gt;Inputs!$B$5),1,0)</f>
        <v>0</v>
      </c>
      <c r="Z66" s="7" t="n">
        <f aca="false">IF(AND(O66=1,G66&lt;&gt;R66),1,0)</f>
        <v>0</v>
      </c>
      <c r="AA66" s="7" t="n">
        <f aca="false">IF(AND(O66=1,M66=""),1,0)</f>
        <v>0</v>
      </c>
      <c r="AB66" s="7" t="n">
        <f aca="false">IF(AND(E66="Closed Lost",N66=""),1,0)</f>
        <v>0</v>
      </c>
      <c r="AC66" s="7" t="n">
        <f aca="false">SUM(U66:AB66)</f>
        <v>0</v>
      </c>
      <c r="AD66" s="7" t="n">
        <f aca="false">IF(AC66=0,1,0)</f>
        <v>1</v>
      </c>
      <c r="AE66" s="7" t="n">
        <f aca="false">IF(AND(O66=1,I66&gt;=Inputs!$B$6,I66&lt;=Inputs!$B$7),1,0)</f>
        <v>0</v>
      </c>
      <c r="AF66" s="7" t="n">
        <f aca="false">IF(AND(E66="Closed Won",I66&gt;=Inputs!$B$6,I66&lt;=Inputs!$B$4),1,0)</f>
        <v>0</v>
      </c>
      <c r="AG66" s="7" t="n">
        <f aca="false">IF(AND(O66=0,I66&gt;Inputs!$B$4-Inputs!$B$8,I66&lt;=Inputs!$B$4),1,0)</f>
        <v>1</v>
      </c>
      <c r="AH66" s="7" t="n">
        <f aca="false">I66-H66</f>
        <v>257</v>
      </c>
    </row>
    <row r="67" customFormat="false" ht="15" hidden="false" customHeight="false" outlineLevel="0" collapsed="false">
      <c r="A67" s="16" t="s">
        <v>750</v>
      </c>
      <c r="B67" s="16" t="s">
        <v>88</v>
      </c>
      <c r="C67" s="16" t="s">
        <v>751</v>
      </c>
      <c r="D67" s="16" t="s">
        <v>165</v>
      </c>
      <c r="E67" s="16" t="s">
        <v>529</v>
      </c>
      <c r="F67" s="26" t="n">
        <v>137156000</v>
      </c>
      <c r="G67" s="25" t="n">
        <v>75</v>
      </c>
      <c r="H67" s="22" t="n">
        <v>46176</v>
      </c>
      <c r="I67" s="22" t="n">
        <v>46547</v>
      </c>
      <c r="J67" s="22" t="n">
        <v>46169</v>
      </c>
      <c r="K67" s="16" t="s">
        <v>596</v>
      </c>
      <c r="L67" s="16" t="s">
        <v>584</v>
      </c>
      <c r="M67" s="16" t="s">
        <v>613</v>
      </c>
      <c r="N67" s="16"/>
      <c r="O67" s="7" t="n">
        <f aca="false">IF(OR(E67="Closed Won",E67="Closed Lost"),0,1)</f>
        <v>1</v>
      </c>
      <c r="P67" s="17" t="str">
        <f aca="false">INDEX(Accounts!$K$5:$K$336,MATCH(B67,Accounts!$A$5:$A$336,0))</f>
        <v>Agribusiness</v>
      </c>
      <c r="Q67" s="17" t="str">
        <f aca="false">INDEX(Accounts!$D$5:$D$336,MATCH(B67,Accounts!$A$5:$A$336,0))</f>
        <v>Priority</v>
      </c>
      <c r="R67" s="7" t="n">
        <f aca="false">INDEX(Inputs!$B$11:$B$16,MATCH(E67,Inputs!$A$11:$A$16,0))</f>
        <v>75</v>
      </c>
      <c r="S67" s="27" t="n">
        <f aca="false">IF(F67="",0,F67)*R67/100</f>
        <v>102867000</v>
      </c>
      <c r="T67" s="7" t="n">
        <f aca="false">Inputs!$B$4-J67</f>
        <v>145</v>
      </c>
      <c r="U67" s="7" t="n">
        <f aca="false">IF(OR(F67="",F67=0),1,0)</f>
        <v>0</v>
      </c>
      <c r="V67" s="7" t="n">
        <f aca="false">IF(K67="",1,0)</f>
        <v>0</v>
      </c>
      <c r="W67" s="7" t="n">
        <f aca="false">IF(AND(O67=1,K67&lt;&gt;"",COUNTIFS(Owners!$A$5:$A$32,K67,Owners!$E$5:$E$32,"No")&gt;0),1,0)</f>
        <v>0</v>
      </c>
      <c r="X67" s="7" t="n">
        <f aca="false">IF(AND(O67=1,I67&lt;Inputs!$B$4),1,0)</f>
        <v>0</v>
      </c>
      <c r="Y67" s="7" t="n">
        <f aca="false">IF(AND(O67=1,T67&gt;Inputs!$B$5),1,0)</f>
        <v>1</v>
      </c>
      <c r="Z67" s="7" t="n">
        <f aca="false">IF(AND(O67=1,G67&lt;&gt;R67),1,0)</f>
        <v>0</v>
      </c>
      <c r="AA67" s="7" t="n">
        <f aca="false">IF(AND(O67=1,M67=""),1,0)</f>
        <v>0</v>
      </c>
      <c r="AB67" s="7" t="n">
        <f aca="false">IF(AND(E67="Closed Lost",N67=""),1,0)</f>
        <v>0</v>
      </c>
      <c r="AC67" s="7" t="n">
        <f aca="false">SUM(U67:AB67)</f>
        <v>1</v>
      </c>
      <c r="AD67" s="7" t="n">
        <f aca="false">IF(AC67=0,1,0)</f>
        <v>0</v>
      </c>
      <c r="AE67" s="7" t="n">
        <f aca="false">IF(AND(O67=1,I67&gt;=Inputs!$B$6,I67&lt;=Inputs!$B$7),1,0)</f>
        <v>1</v>
      </c>
      <c r="AF67" s="7" t="n">
        <f aca="false">IF(AND(E67="Closed Won",I67&gt;=Inputs!$B$6,I67&lt;=Inputs!$B$4),1,0)</f>
        <v>0</v>
      </c>
      <c r="AG67" s="7" t="n">
        <f aca="false">IF(AND(O67=0,I67&gt;Inputs!$B$4-Inputs!$B$8,I67&lt;=Inputs!$B$4),1,0)</f>
        <v>0</v>
      </c>
      <c r="AH67" s="7" t="n">
        <f aca="false">I67-H67</f>
        <v>371</v>
      </c>
    </row>
    <row r="68" customFormat="false" ht="15" hidden="false" customHeight="false" outlineLevel="0" collapsed="false">
      <c r="A68" s="16" t="s">
        <v>752</v>
      </c>
      <c r="B68" s="16" t="s">
        <v>753</v>
      </c>
      <c r="C68" s="16" t="s">
        <v>754</v>
      </c>
      <c r="D68" s="16" t="s">
        <v>165</v>
      </c>
      <c r="E68" s="16" t="s">
        <v>530</v>
      </c>
      <c r="F68" s="26" t="n">
        <v>7278000</v>
      </c>
      <c r="G68" s="25" t="n">
        <v>100</v>
      </c>
      <c r="H68" s="22" t="n">
        <v>45957</v>
      </c>
      <c r="I68" s="22" t="n">
        <v>46033</v>
      </c>
      <c r="J68" s="22" t="n">
        <v>46033</v>
      </c>
      <c r="K68" s="16" t="s">
        <v>654</v>
      </c>
      <c r="L68" s="16" t="s">
        <v>592</v>
      </c>
      <c r="M68" s="16"/>
      <c r="N68" s="16"/>
      <c r="O68" s="7" t="n">
        <f aca="false">IF(OR(E68="Closed Won",E68="Closed Lost"),0,1)</f>
        <v>0</v>
      </c>
      <c r="P68" s="17" t="str">
        <f aca="false">INDEX(Accounts!$K$5:$K$336,MATCH(B68,Accounts!$A$5:$A$336,0))</f>
        <v>Public Sector &amp; Development</v>
      </c>
      <c r="Q68" s="17" t="str">
        <f aca="false">INDEX(Accounts!$D$5:$D$336,MATCH(B68,Accounts!$A$5:$A$336,0))</f>
        <v>Standard</v>
      </c>
      <c r="R68" s="7" t="n">
        <f aca="false">INDEX(Inputs!$B$11:$B$16,MATCH(E68,Inputs!$A$11:$A$16,0))</f>
        <v>100</v>
      </c>
      <c r="S68" s="27" t="n">
        <f aca="false">IF(F68="",0,F68)*R68/100</f>
        <v>7278000</v>
      </c>
      <c r="T68" s="7" t="n">
        <f aca="false">Inputs!$B$4-J68</f>
        <v>281</v>
      </c>
      <c r="U68" s="7" t="n">
        <f aca="false">IF(OR(F68="",F68=0),1,0)</f>
        <v>0</v>
      </c>
      <c r="V68" s="7" t="n">
        <f aca="false">IF(K68="",1,0)</f>
        <v>0</v>
      </c>
      <c r="W68" s="7" t="n">
        <f aca="false">IF(AND(O68=1,K68&lt;&gt;"",COUNTIFS(Owners!$A$5:$A$32,K68,Owners!$E$5:$E$32,"No")&gt;0),1,0)</f>
        <v>0</v>
      </c>
      <c r="X68" s="7" t="n">
        <f aca="false">IF(AND(O68=1,I68&lt;Inputs!$B$4),1,0)</f>
        <v>0</v>
      </c>
      <c r="Y68" s="7" t="n">
        <f aca="false">IF(AND(O68=1,T68&gt;Inputs!$B$5),1,0)</f>
        <v>0</v>
      </c>
      <c r="Z68" s="7" t="n">
        <f aca="false">IF(AND(O68=1,G68&lt;&gt;R68),1,0)</f>
        <v>0</v>
      </c>
      <c r="AA68" s="7" t="n">
        <f aca="false">IF(AND(O68=1,M68=""),1,0)</f>
        <v>0</v>
      </c>
      <c r="AB68" s="7" t="n">
        <f aca="false">IF(AND(E68="Closed Lost",N68=""),1,0)</f>
        <v>0</v>
      </c>
      <c r="AC68" s="7" t="n">
        <f aca="false">SUM(U68:AB68)</f>
        <v>0</v>
      </c>
      <c r="AD68" s="7" t="n">
        <f aca="false">IF(AC68=0,1,0)</f>
        <v>1</v>
      </c>
      <c r="AE68" s="7" t="n">
        <f aca="false">IF(AND(O68=1,I68&gt;=Inputs!$B$6,I68&lt;=Inputs!$B$7),1,0)</f>
        <v>0</v>
      </c>
      <c r="AF68" s="7" t="n">
        <f aca="false">IF(AND(E68="Closed Won",I68&gt;=Inputs!$B$6,I68&lt;=Inputs!$B$4),1,0)</f>
        <v>0</v>
      </c>
      <c r="AG68" s="7" t="n">
        <f aca="false">IF(AND(O68=0,I68&gt;Inputs!$B$4-Inputs!$B$8,I68&lt;=Inputs!$B$4),1,0)</f>
        <v>1</v>
      </c>
      <c r="AH68" s="7" t="n">
        <f aca="false">I68-H68</f>
        <v>76</v>
      </c>
    </row>
    <row r="69" customFormat="false" ht="15" hidden="false" customHeight="false" outlineLevel="0" collapsed="false">
      <c r="A69" s="16" t="s">
        <v>755</v>
      </c>
      <c r="B69" s="16" t="s">
        <v>756</v>
      </c>
      <c r="C69" s="16" t="s">
        <v>757</v>
      </c>
      <c r="D69" s="16" t="s">
        <v>158</v>
      </c>
      <c r="E69" s="16" t="s">
        <v>530</v>
      </c>
      <c r="F69" s="26" t="n">
        <v>26295000</v>
      </c>
      <c r="G69" s="25" t="n">
        <v>100</v>
      </c>
      <c r="H69" s="22" t="n">
        <v>46104</v>
      </c>
      <c r="I69" s="22" t="n">
        <v>46260</v>
      </c>
      <c r="J69" s="22" t="n">
        <v>46260</v>
      </c>
      <c r="K69" s="16" t="s">
        <v>637</v>
      </c>
      <c r="L69" s="16" t="s">
        <v>574</v>
      </c>
      <c r="M69" s="16"/>
      <c r="N69" s="16"/>
      <c r="O69" s="7" t="n">
        <f aca="false">IF(OR(E69="Closed Won",E69="Closed Lost"),0,1)</f>
        <v>0</v>
      </c>
      <c r="P69" s="17" t="str">
        <f aca="false">INDEX(Accounts!$K$5:$K$336,MATCH(B69,Accounts!$A$5:$A$336,0))</f>
        <v>Public Sector &amp; Development</v>
      </c>
      <c r="Q69" s="17" t="str">
        <f aca="false">INDEX(Accounts!$D$5:$D$336,MATCH(B69,Accounts!$A$5:$A$336,0))</f>
        <v>Key</v>
      </c>
      <c r="R69" s="7" t="n">
        <f aca="false">INDEX(Inputs!$B$11:$B$16,MATCH(E69,Inputs!$A$11:$A$16,0))</f>
        <v>100</v>
      </c>
      <c r="S69" s="27" t="n">
        <f aca="false">IF(F69="",0,F69)*R69/100</f>
        <v>26295000</v>
      </c>
      <c r="T69" s="7" t="n">
        <f aca="false">Inputs!$B$4-J69</f>
        <v>54</v>
      </c>
      <c r="U69" s="7" t="n">
        <f aca="false">IF(OR(F69="",F69=0),1,0)</f>
        <v>0</v>
      </c>
      <c r="V69" s="7" t="n">
        <f aca="false">IF(K69="",1,0)</f>
        <v>0</v>
      </c>
      <c r="W69" s="7" t="n">
        <f aca="false">IF(AND(O69=1,K69&lt;&gt;"",COUNTIFS(Owners!$A$5:$A$32,K69,Owners!$E$5:$E$32,"No")&gt;0),1,0)</f>
        <v>0</v>
      </c>
      <c r="X69" s="7" t="n">
        <f aca="false">IF(AND(O69=1,I69&lt;Inputs!$B$4),1,0)</f>
        <v>0</v>
      </c>
      <c r="Y69" s="7" t="n">
        <f aca="false">IF(AND(O69=1,T69&gt;Inputs!$B$5),1,0)</f>
        <v>0</v>
      </c>
      <c r="Z69" s="7" t="n">
        <f aca="false">IF(AND(O69=1,G69&lt;&gt;R69),1,0)</f>
        <v>0</v>
      </c>
      <c r="AA69" s="7" t="n">
        <f aca="false">IF(AND(O69=1,M69=""),1,0)</f>
        <v>0</v>
      </c>
      <c r="AB69" s="7" t="n">
        <f aca="false">IF(AND(E69="Closed Lost",N69=""),1,0)</f>
        <v>0</v>
      </c>
      <c r="AC69" s="7" t="n">
        <f aca="false">SUM(U69:AB69)</f>
        <v>0</v>
      </c>
      <c r="AD69" s="7" t="n">
        <f aca="false">IF(AC69=0,1,0)</f>
        <v>1</v>
      </c>
      <c r="AE69" s="7" t="n">
        <f aca="false">IF(AND(O69=1,I69&gt;=Inputs!$B$6,I69&lt;=Inputs!$B$7),1,0)</f>
        <v>0</v>
      </c>
      <c r="AF69" s="7" t="n">
        <f aca="false">IF(AND(E69="Closed Won",I69&gt;=Inputs!$B$6,I69&lt;=Inputs!$B$4),1,0)</f>
        <v>1</v>
      </c>
      <c r="AG69" s="7" t="n">
        <f aca="false">IF(AND(O69=0,I69&gt;Inputs!$B$4-Inputs!$B$8,I69&lt;=Inputs!$B$4),1,0)</f>
        <v>1</v>
      </c>
      <c r="AH69" s="7" t="n">
        <f aca="false">I69-H69</f>
        <v>156</v>
      </c>
    </row>
    <row r="70" customFormat="false" ht="15" hidden="false" customHeight="false" outlineLevel="0" collapsed="false">
      <c r="A70" s="16" t="s">
        <v>758</v>
      </c>
      <c r="B70" s="16" t="s">
        <v>84</v>
      </c>
      <c r="C70" s="16" t="s">
        <v>759</v>
      </c>
      <c r="D70" s="16" t="s">
        <v>165</v>
      </c>
      <c r="E70" s="16" t="s">
        <v>526</v>
      </c>
      <c r="F70" s="26" t="n">
        <v>46850000</v>
      </c>
      <c r="G70" s="25" t="n">
        <v>10</v>
      </c>
      <c r="H70" s="22" t="n">
        <v>46224</v>
      </c>
      <c r="I70" s="22" t="n">
        <v>46427</v>
      </c>
      <c r="J70" s="22" t="n">
        <v>46284</v>
      </c>
      <c r="K70" s="16" t="s">
        <v>633</v>
      </c>
      <c r="L70" s="16" t="s">
        <v>584</v>
      </c>
      <c r="M70" s="16" t="s">
        <v>593</v>
      </c>
      <c r="N70" s="16"/>
      <c r="O70" s="7" t="n">
        <f aca="false">IF(OR(E70="Closed Won",E70="Closed Lost"),0,1)</f>
        <v>1</v>
      </c>
      <c r="P70" s="17" t="str">
        <f aca="false">INDEX(Accounts!$K$5:$K$336,MATCH(B70,Accounts!$A$5:$A$336,0))</f>
        <v>Consumer &amp; Retail</v>
      </c>
      <c r="Q70" s="17" t="str">
        <f aca="false">INDEX(Accounts!$D$5:$D$336,MATCH(B70,Accounts!$A$5:$A$336,0))</f>
        <v>Priority</v>
      </c>
      <c r="R70" s="7" t="n">
        <f aca="false">INDEX(Inputs!$B$11:$B$16,MATCH(E70,Inputs!$A$11:$A$16,0))</f>
        <v>10</v>
      </c>
      <c r="S70" s="27" t="n">
        <f aca="false">IF(F70="",0,F70)*R70/100</f>
        <v>4685000</v>
      </c>
      <c r="T70" s="7" t="n">
        <f aca="false">Inputs!$B$4-J70</f>
        <v>30</v>
      </c>
      <c r="U70" s="7" t="n">
        <f aca="false">IF(OR(F70="",F70=0),1,0)</f>
        <v>0</v>
      </c>
      <c r="V70" s="7" t="n">
        <f aca="false">IF(K70="",1,0)</f>
        <v>0</v>
      </c>
      <c r="W70" s="7" t="n">
        <f aca="false">IF(AND(O70=1,K70&lt;&gt;"",COUNTIFS(Owners!$A$5:$A$32,K70,Owners!$E$5:$E$32,"No")&gt;0),1,0)</f>
        <v>0</v>
      </c>
      <c r="X70" s="7" t="n">
        <f aca="false">IF(AND(O70=1,I70&lt;Inputs!$B$4),1,0)</f>
        <v>0</v>
      </c>
      <c r="Y70" s="7" t="n">
        <f aca="false">IF(AND(O70=1,T70&gt;Inputs!$B$5),1,0)</f>
        <v>0</v>
      </c>
      <c r="Z70" s="7" t="n">
        <f aca="false">IF(AND(O70=1,G70&lt;&gt;R70),1,0)</f>
        <v>0</v>
      </c>
      <c r="AA70" s="7" t="n">
        <f aca="false">IF(AND(O70=1,M70=""),1,0)</f>
        <v>0</v>
      </c>
      <c r="AB70" s="7" t="n">
        <f aca="false">IF(AND(E70="Closed Lost",N70=""),1,0)</f>
        <v>0</v>
      </c>
      <c r="AC70" s="7" t="n">
        <f aca="false">SUM(U70:AB70)</f>
        <v>0</v>
      </c>
      <c r="AD70" s="7" t="n">
        <f aca="false">IF(AC70=0,1,0)</f>
        <v>1</v>
      </c>
      <c r="AE70" s="7" t="n">
        <f aca="false">IF(AND(O70=1,I70&gt;=Inputs!$B$6,I70&lt;=Inputs!$B$7),1,0)</f>
        <v>1</v>
      </c>
      <c r="AF70" s="7" t="n">
        <f aca="false">IF(AND(E70="Closed Won",I70&gt;=Inputs!$B$6,I70&lt;=Inputs!$B$4),1,0)</f>
        <v>0</v>
      </c>
      <c r="AG70" s="7" t="n">
        <f aca="false">IF(AND(O70=0,I70&gt;Inputs!$B$4-Inputs!$B$8,I70&lt;=Inputs!$B$4),1,0)</f>
        <v>0</v>
      </c>
      <c r="AH70" s="7" t="n">
        <f aca="false">I70-H70</f>
        <v>203</v>
      </c>
    </row>
    <row r="71" customFormat="false" ht="15" hidden="false" customHeight="false" outlineLevel="0" collapsed="false">
      <c r="A71" s="16" t="s">
        <v>760</v>
      </c>
      <c r="B71" s="16" t="s">
        <v>60</v>
      </c>
      <c r="C71" s="16" t="s">
        <v>761</v>
      </c>
      <c r="D71" s="16" t="s">
        <v>167</v>
      </c>
      <c r="E71" s="16" t="s">
        <v>530</v>
      </c>
      <c r="F71" s="26" t="n">
        <v>4095000</v>
      </c>
      <c r="G71" s="25" t="n">
        <v>100</v>
      </c>
      <c r="H71" s="22" t="n">
        <v>45895</v>
      </c>
      <c r="I71" s="22" t="n">
        <v>46153</v>
      </c>
      <c r="J71" s="22" t="n">
        <v>46153</v>
      </c>
      <c r="K71" s="16" t="s">
        <v>596</v>
      </c>
      <c r="L71" s="16" t="s">
        <v>568</v>
      </c>
      <c r="M71" s="16"/>
      <c r="N71" s="16"/>
      <c r="O71" s="7" t="n">
        <f aca="false">IF(OR(E71="Closed Won",E71="Closed Lost"),0,1)</f>
        <v>0</v>
      </c>
      <c r="P71" s="17" t="str">
        <f aca="false">INDEX(Accounts!$K$5:$K$336,MATCH(B71,Accounts!$A$5:$A$336,0))</f>
        <v>Financial Services</v>
      </c>
      <c r="Q71" s="17" t="str">
        <f aca="false">INDEX(Accounts!$D$5:$D$336,MATCH(B71,Accounts!$A$5:$A$336,0))</f>
        <v>Priority</v>
      </c>
      <c r="R71" s="7" t="n">
        <f aca="false">INDEX(Inputs!$B$11:$B$16,MATCH(E71,Inputs!$A$11:$A$16,0))</f>
        <v>100</v>
      </c>
      <c r="S71" s="27" t="n">
        <f aca="false">IF(F71="",0,F71)*R71/100</f>
        <v>4095000</v>
      </c>
      <c r="T71" s="7" t="n">
        <f aca="false">Inputs!$B$4-J71</f>
        <v>161</v>
      </c>
      <c r="U71" s="7" t="n">
        <f aca="false">IF(OR(F71="",F71=0),1,0)</f>
        <v>0</v>
      </c>
      <c r="V71" s="7" t="n">
        <f aca="false">IF(K71="",1,0)</f>
        <v>0</v>
      </c>
      <c r="W71" s="7" t="n">
        <f aca="false">IF(AND(O71=1,K71&lt;&gt;"",COUNTIFS(Owners!$A$5:$A$32,K71,Owners!$E$5:$E$32,"No")&gt;0),1,0)</f>
        <v>0</v>
      </c>
      <c r="X71" s="7" t="n">
        <f aca="false">IF(AND(O71=1,I71&lt;Inputs!$B$4),1,0)</f>
        <v>0</v>
      </c>
      <c r="Y71" s="7" t="n">
        <f aca="false">IF(AND(O71=1,T71&gt;Inputs!$B$5),1,0)</f>
        <v>0</v>
      </c>
      <c r="Z71" s="7" t="n">
        <f aca="false">IF(AND(O71=1,G71&lt;&gt;R71),1,0)</f>
        <v>0</v>
      </c>
      <c r="AA71" s="7" t="n">
        <f aca="false">IF(AND(O71=1,M71=""),1,0)</f>
        <v>0</v>
      </c>
      <c r="AB71" s="7" t="n">
        <f aca="false">IF(AND(E71="Closed Lost",N71=""),1,0)</f>
        <v>0</v>
      </c>
      <c r="AC71" s="7" t="n">
        <f aca="false">SUM(U71:AB71)</f>
        <v>0</v>
      </c>
      <c r="AD71" s="7" t="n">
        <f aca="false">IF(AC71=0,1,0)</f>
        <v>1</v>
      </c>
      <c r="AE71" s="7" t="n">
        <f aca="false">IF(AND(O71=1,I71&gt;=Inputs!$B$6,I71&lt;=Inputs!$B$7),1,0)</f>
        <v>0</v>
      </c>
      <c r="AF71" s="7" t="n">
        <f aca="false">IF(AND(E71="Closed Won",I71&gt;=Inputs!$B$6,I71&lt;=Inputs!$B$4),1,0)</f>
        <v>0</v>
      </c>
      <c r="AG71" s="7" t="n">
        <f aca="false">IF(AND(O71=0,I71&gt;Inputs!$B$4-Inputs!$B$8,I71&lt;=Inputs!$B$4),1,0)</f>
        <v>1</v>
      </c>
      <c r="AH71" s="7" t="n">
        <f aca="false">I71-H71</f>
        <v>258</v>
      </c>
    </row>
    <row r="72" customFormat="false" ht="15" hidden="false" customHeight="false" outlineLevel="0" collapsed="false">
      <c r="A72" s="16" t="s">
        <v>762</v>
      </c>
      <c r="B72" s="16" t="s">
        <v>763</v>
      </c>
      <c r="C72" s="16" t="s">
        <v>764</v>
      </c>
      <c r="D72" s="16" t="s">
        <v>177</v>
      </c>
      <c r="E72" s="16" t="s">
        <v>531</v>
      </c>
      <c r="F72" s="26" t="n">
        <v>3323000</v>
      </c>
      <c r="G72" s="25" t="n">
        <v>0</v>
      </c>
      <c r="H72" s="22" t="n">
        <v>45935</v>
      </c>
      <c r="I72" s="22" t="n">
        <v>46074</v>
      </c>
      <c r="J72" s="22" t="n">
        <v>46074</v>
      </c>
      <c r="K72" s="16" t="s">
        <v>765</v>
      </c>
      <c r="L72" s="16" t="s">
        <v>592</v>
      </c>
      <c r="M72" s="16"/>
      <c r="N72" s="16" t="s">
        <v>713</v>
      </c>
      <c r="O72" s="7" t="n">
        <f aca="false">IF(OR(E72="Closed Won",E72="Closed Lost"),0,1)</f>
        <v>0</v>
      </c>
      <c r="P72" s="17" t="str">
        <f aca="false">INDEX(Accounts!$K$5:$K$336,MATCH(B72,Accounts!$A$5:$A$336,0))</f>
        <v>Health</v>
      </c>
      <c r="Q72" s="17" t="str">
        <f aca="false">INDEX(Accounts!$D$5:$D$336,MATCH(B72,Accounts!$A$5:$A$336,0))</f>
        <v>Standard</v>
      </c>
      <c r="R72" s="7" t="n">
        <f aca="false">INDEX(Inputs!$B$11:$B$16,MATCH(E72,Inputs!$A$11:$A$16,0))</f>
        <v>0</v>
      </c>
      <c r="S72" s="27" t="n">
        <f aca="false">IF(F72="",0,F72)*R72/100</f>
        <v>0</v>
      </c>
      <c r="T72" s="7" t="n">
        <f aca="false">Inputs!$B$4-J72</f>
        <v>240</v>
      </c>
      <c r="U72" s="7" t="n">
        <f aca="false">IF(OR(F72="",F72=0),1,0)</f>
        <v>0</v>
      </c>
      <c r="V72" s="7" t="n">
        <f aca="false">IF(K72="",1,0)</f>
        <v>0</v>
      </c>
      <c r="W72" s="7" t="n">
        <f aca="false">IF(AND(O72=1,K72&lt;&gt;"",COUNTIFS(Owners!$A$5:$A$32,K72,Owners!$E$5:$E$32,"No")&gt;0),1,0)</f>
        <v>0</v>
      </c>
      <c r="X72" s="7" t="n">
        <f aca="false">IF(AND(O72=1,I72&lt;Inputs!$B$4),1,0)</f>
        <v>0</v>
      </c>
      <c r="Y72" s="7" t="n">
        <f aca="false">IF(AND(O72=1,T72&gt;Inputs!$B$5),1,0)</f>
        <v>0</v>
      </c>
      <c r="Z72" s="7" t="n">
        <f aca="false">IF(AND(O72=1,G72&lt;&gt;R72),1,0)</f>
        <v>0</v>
      </c>
      <c r="AA72" s="7" t="n">
        <f aca="false">IF(AND(O72=1,M72=""),1,0)</f>
        <v>0</v>
      </c>
      <c r="AB72" s="7" t="n">
        <f aca="false">IF(AND(E72="Closed Lost",N72=""),1,0)</f>
        <v>0</v>
      </c>
      <c r="AC72" s="7" t="n">
        <f aca="false">SUM(U72:AB72)</f>
        <v>0</v>
      </c>
      <c r="AD72" s="7" t="n">
        <f aca="false">IF(AC72=0,1,0)</f>
        <v>1</v>
      </c>
      <c r="AE72" s="7" t="n">
        <f aca="false">IF(AND(O72=1,I72&gt;=Inputs!$B$6,I72&lt;=Inputs!$B$7),1,0)</f>
        <v>0</v>
      </c>
      <c r="AF72" s="7" t="n">
        <f aca="false">IF(AND(E72="Closed Won",I72&gt;=Inputs!$B$6,I72&lt;=Inputs!$B$4),1,0)</f>
        <v>0</v>
      </c>
      <c r="AG72" s="7" t="n">
        <f aca="false">IF(AND(O72=0,I72&gt;Inputs!$B$4-Inputs!$B$8,I72&lt;=Inputs!$B$4),1,0)</f>
        <v>1</v>
      </c>
      <c r="AH72" s="7" t="n">
        <f aca="false">I72-H72</f>
        <v>139</v>
      </c>
    </row>
    <row r="73" customFormat="false" ht="15" hidden="false" customHeight="false" outlineLevel="0" collapsed="false">
      <c r="A73" s="16" t="s">
        <v>766</v>
      </c>
      <c r="B73" s="16" t="s">
        <v>86</v>
      </c>
      <c r="C73" s="16" t="s">
        <v>767</v>
      </c>
      <c r="D73" s="16" t="s">
        <v>165</v>
      </c>
      <c r="E73" s="16" t="s">
        <v>531</v>
      </c>
      <c r="F73" s="26" t="n">
        <v>15906000</v>
      </c>
      <c r="G73" s="25" t="n">
        <v>0</v>
      </c>
      <c r="H73" s="22" t="n">
        <v>46141</v>
      </c>
      <c r="I73" s="22" t="n">
        <v>46232</v>
      </c>
      <c r="J73" s="22" t="n">
        <v>46232</v>
      </c>
      <c r="K73" s="16" t="s">
        <v>654</v>
      </c>
      <c r="L73" s="16" t="s">
        <v>500</v>
      </c>
      <c r="M73" s="16"/>
      <c r="N73" s="16"/>
      <c r="O73" s="7" t="n">
        <f aca="false">IF(OR(E73="Closed Won",E73="Closed Lost"),0,1)</f>
        <v>0</v>
      </c>
      <c r="P73" s="17" t="str">
        <f aca="false">INDEX(Accounts!$K$5:$K$336,MATCH(B73,Accounts!$A$5:$A$336,0))</f>
        <v>Technology, Media &amp; Telecom</v>
      </c>
      <c r="Q73" s="17" t="str">
        <f aca="false">INDEX(Accounts!$D$5:$D$336,MATCH(B73,Accounts!$A$5:$A$336,0))</f>
        <v>Priority</v>
      </c>
      <c r="R73" s="7" t="n">
        <f aca="false">INDEX(Inputs!$B$11:$B$16,MATCH(E73,Inputs!$A$11:$A$16,0))</f>
        <v>0</v>
      </c>
      <c r="S73" s="27" t="n">
        <f aca="false">IF(F73="",0,F73)*R73/100</f>
        <v>0</v>
      </c>
      <c r="T73" s="7" t="n">
        <f aca="false">Inputs!$B$4-J73</f>
        <v>82</v>
      </c>
      <c r="U73" s="7" t="n">
        <f aca="false">IF(OR(F73="",F73=0),1,0)</f>
        <v>0</v>
      </c>
      <c r="V73" s="7" t="n">
        <f aca="false">IF(K73="",1,0)</f>
        <v>0</v>
      </c>
      <c r="W73" s="7" t="n">
        <f aca="false">IF(AND(O73=1,K73&lt;&gt;"",COUNTIFS(Owners!$A$5:$A$32,K73,Owners!$E$5:$E$32,"No")&gt;0),1,0)</f>
        <v>0</v>
      </c>
      <c r="X73" s="7" t="n">
        <f aca="false">IF(AND(O73=1,I73&lt;Inputs!$B$4),1,0)</f>
        <v>0</v>
      </c>
      <c r="Y73" s="7" t="n">
        <f aca="false">IF(AND(O73=1,T73&gt;Inputs!$B$5),1,0)</f>
        <v>0</v>
      </c>
      <c r="Z73" s="7" t="n">
        <f aca="false">IF(AND(O73=1,G73&lt;&gt;R73),1,0)</f>
        <v>0</v>
      </c>
      <c r="AA73" s="7" t="n">
        <f aca="false">IF(AND(O73=1,M73=""),1,0)</f>
        <v>0</v>
      </c>
      <c r="AB73" s="7" t="n">
        <f aca="false">IF(AND(E73="Closed Lost",N73=""),1,0)</f>
        <v>1</v>
      </c>
      <c r="AC73" s="7" t="n">
        <f aca="false">SUM(U73:AB73)</f>
        <v>1</v>
      </c>
      <c r="AD73" s="7" t="n">
        <f aca="false">IF(AC73=0,1,0)</f>
        <v>0</v>
      </c>
      <c r="AE73" s="7" t="n">
        <f aca="false">IF(AND(O73=1,I73&gt;=Inputs!$B$6,I73&lt;=Inputs!$B$7),1,0)</f>
        <v>0</v>
      </c>
      <c r="AF73" s="7" t="n">
        <f aca="false">IF(AND(E73="Closed Won",I73&gt;=Inputs!$B$6,I73&lt;=Inputs!$B$4),1,0)</f>
        <v>0</v>
      </c>
      <c r="AG73" s="7" t="n">
        <f aca="false">IF(AND(O73=0,I73&gt;Inputs!$B$4-Inputs!$B$8,I73&lt;=Inputs!$B$4),1,0)</f>
        <v>1</v>
      </c>
      <c r="AH73" s="7" t="n">
        <f aca="false">I73-H73</f>
        <v>91</v>
      </c>
    </row>
    <row r="74" customFormat="false" ht="15" hidden="false" customHeight="false" outlineLevel="0" collapsed="false">
      <c r="A74" s="16" t="s">
        <v>768</v>
      </c>
      <c r="B74" s="16" t="s">
        <v>58</v>
      </c>
      <c r="C74" s="16" t="s">
        <v>769</v>
      </c>
      <c r="D74" s="16" t="s">
        <v>167</v>
      </c>
      <c r="E74" s="16" t="s">
        <v>531</v>
      </c>
      <c r="F74" s="26"/>
      <c r="G74" s="25" t="n">
        <v>0</v>
      </c>
      <c r="H74" s="22" t="n">
        <v>45909</v>
      </c>
      <c r="I74" s="22" t="n">
        <v>46171</v>
      </c>
      <c r="J74" s="22" t="n">
        <v>46171</v>
      </c>
      <c r="K74" s="16" t="s">
        <v>654</v>
      </c>
      <c r="L74" s="16" t="s">
        <v>609</v>
      </c>
      <c r="M74" s="16"/>
      <c r="N74" s="16"/>
      <c r="O74" s="7" t="n">
        <f aca="false">IF(OR(E74="Closed Won",E74="Closed Lost"),0,1)</f>
        <v>0</v>
      </c>
      <c r="P74" s="17" t="str">
        <f aca="false">INDEX(Accounts!$K$5:$K$336,MATCH(B74,Accounts!$A$5:$A$336,0))</f>
        <v>Financial Services</v>
      </c>
      <c r="Q74" s="17" t="str">
        <f aca="false">INDEX(Accounts!$D$5:$D$336,MATCH(B74,Accounts!$A$5:$A$336,0))</f>
        <v>Priority</v>
      </c>
      <c r="R74" s="7" t="n">
        <f aca="false">INDEX(Inputs!$B$11:$B$16,MATCH(E74,Inputs!$A$11:$A$16,0))</f>
        <v>0</v>
      </c>
      <c r="S74" s="27" t="n">
        <f aca="false">IF(F74="",0,F74)*R74/100</f>
        <v>0</v>
      </c>
      <c r="T74" s="7" t="n">
        <f aca="false">Inputs!$B$4-J74</f>
        <v>143</v>
      </c>
      <c r="U74" s="7" t="n">
        <f aca="false">IF(OR(F74="",F74=0),1,0)</f>
        <v>1</v>
      </c>
      <c r="V74" s="7" t="n">
        <f aca="false">IF(K74="",1,0)</f>
        <v>0</v>
      </c>
      <c r="W74" s="7" t="n">
        <f aca="false">IF(AND(O74=1,K74&lt;&gt;"",COUNTIFS(Owners!$A$5:$A$32,K74,Owners!$E$5:$E$32,"No")&gt;0),1,0)</f>
        <v>0</v>
      </c>
      <c r="X74" s="7" t="n">
        <f aca="false">IF(AND(O74=1,I74&lt;Inputs!$B$4),1,0)</f>
        <v>0</v>
      </c>
      <c r="Y74" s="7" t="n">
        <f aca="false">IF(AND(O74=1,T74&gt;Inputs!$B$5),1,0)</f>
        <v>0</v>
      </c>
      <c r="Z74" s="7" t="n">
        <f aca="false">IF(AND(O74=1,G74&lt;&gt;R74),1,0)</f>
        <v>0</v>
      </c>
      <c r="AA74" s="7" t="n">
        <f aca="false">IF(AND(O74=1,M74=""),1,0)</f>
        <v>0</v>
      </c>
      <c r="AB74" s="7" t="n">
        <f aca="false">IF(AND(E74="Closed Lost",N74=""),1,0)</f>
        <v>1</v>
      </c>
      <c r="AC74" s="7" t="n">
        <f aca="false">SUM(U74:AB74)</f>
        <v>2</v>
      </c>
      <c r="AD74" s="7" t="n">
        <f aca="false">IF(AC74=0,1,0)</f>
        <v>0</v>
      </c>
      <c r="AE74" s="7" t="n">
        <f aca="false">IF(AND(O74=1,I74&gt;=Inputs!$B$6,I74&lt;=Inputs!$B$7),1,0)</f>
        <v>0</v>
      </c>
      <c r="AF74" s="7" t="n">
        <f aca="false">IF(AND(E74="Closed Won",I74&gt;=Inputs!$B$6,I74&lt;=Inputs!$B$4),1,0)</f>
        <v>0</v>
      </c>
      <c r="AG74" s="7" t="n">
        <f aca="false">IF(AND(O74=0,I74&gt;Inputs!$B$4-Inputs!$B$8,I74&lt;=Inputs!$B$4),1,0)</f>
        <v>1</v>
      </c>
      <c r="AH74" s="7" t="n">
        <f aca="false">I74-H74</f>
        <v>262</v>
      </c>
    </row>
    <row r="75" customFormat="false" ht="15" hidden="false" customHeight="false" outlineLevel="0" collapsed="false">
      <c r="A75" s="16" t="s">
        <v>770</v>
      </c>
      <c r="B75" s="16" t="s">
        <v>61</v>
      </c>
      <c r="C75" s="16" t="s">
        <v>771</v>
      </c>
      <c r="D75" s="16" t="s">
        <v>165</v>
      </c>
      <c r="E75" s="16" t="s">
        <v>526</v>
      </c>
      <c r="F75" s="26" t="n">
        <v>16730000</v>
      </c>
      <c r="G75" s="25" t="n">
        <v>10</v>
      </c>
      <c r="H75" s="22" t="n">
        <v>46202</v>
      </c>
      <c r="I75" s="22" t="n">
        <v>46415</v>
      </c>
      <c r="J75" s="22" t="n">
        <v>46304</v>
      </c>
      <c r="K75" s="16" t="s">
        <v>654</v>
      </c>
      <c r="L75" s="16" t="s">
        <v>609</v>
      </c>
      <c r="M75" s="16" t="s">
        <v>601</v>
      </c>
      <c r="N75" s="16"/>
      <c r="O75" s="7" t="n">
        <f aca="false">IF(OR(E75="Closed Won",E75="Closed Lost"),0,1)</f>
        <v>1</v>
      </c>
      <c r="P75" s="17" t="str">
        <f aca="false">INDEX(Accounts!$K$5:$K$336,MATCH(B75,Accounts!$A$5:$A$336,0))</f>
        <v>Agribusiness</v>
      </c>
      <c r="Q75" s="17" t="str">
        <f aca="false">INDEX(Accounts!$D$5:$D$336,MATCH(B75,Accounts!$A$5:$A$336,0))</f>
        <v>Priority</v>
      </c>
      <c r="R75" s="7" t="n">
        <f aca="false">INDEX(Inputs!$B$11:$B$16,MATCH(E75,Inputs!$A$11:$A$16,0))</f>
        <v>10</v>
      </c>
      <c r="S75" s="27" t="n">
        <f aca="false">IF(F75="",0,F75)*R75/100</f>
        <v>1673000</v>
      </c>
      <c r="T75" s="7" t="n">
        <f aca="false">Inputs!$B$4-J75</f>
        <v>10</v>
      </c>
      <c r="U75" s="7" t="n">
        <f aca="false">IF(OR(F75="",F75=0),1,0)</f>
        <v>0</v>
      </c>
      <c r="V75" s="7" t="n">
        <f aca="false">IF(K75="",1,0)</f>
        <v>0</v>
      </c>
      <c r="W75" s="7" t="n">
        <f aca="false">IF(AND(O75=1,K75&lt;&gt;"",COUNTIFS(Owners!$A$5:$A$32,K75,Owners!$E$5:$E$32,"No")&gt;0),1,0)</f>
        <v>0</v>
      </c>
      <c r="X75" s="7" t="n">
        <f aca="false">IF(AND(O75=1,I75&lt;Inputs!$B$4),1,0)</f>
        <v>0</v>
      </c>
      <c r="Y75" s="7" t="n">
        <f aca="false">IF(AND(O75=1,T75&gt;Inputs!$B$5),1,0)</f>
        <v>0</v>
      </c>
      <c r="Z75" s="7" t="n">
        <f aca="false">IF(AND(O75=1,G75&lt;&gt;R75),1,0)</f>
        <v>0</v>
      </c>
      <c r="AA75" s="7" t="n">
        <f aca="false">IF(AND(O75=1,M75=""),1,0)</f>
        <v>0</v>
      </c>
      <c r="AB75" s="7" t="n">
        <f aca="false">IF(AND(E75="Closed Lost",N75=""),1,0)</f>
        <v>0</v>
      </c>
      <c r="AC75" s="7" t="n">
        <f aca="false">SUM(U75:AB75)</f>
        <v>0</v>
      </c>
      <c r="AD75" s="7" t="n">
        <f aca="false">IF(AC75=0,1,0)</f>
        <v>1</v>
      </c>
      <c r="AE75" s="7" t="n">
        <f aca="false">IF(AND(O75=1,I75&gt;=Inputs!$B$6,I75&lt;=Inputs!$B$7),1,0)</f>
        <v>1</v>
      </c>
      <c r="AF75" s="7" t="n">
        <f aca="false">IF(AND(E75="Closed Won",I75&gt;=Inputs!$B$6,I75&lt;=Inputs!$B$4),1,0)</f>
        <v>0</v>
      </c>
      <c r="AG75" s="7" t="n">
        <f aca="false">IF(AND(O75=0,I75&gt;Inputs!$B$4-Inputs!$B$8,I75&lt;=Inputs!$B$4),1,0)</f>
        <v>0</v>
      </c>
      <c r="AH75" s="7" t="n">
        <f aca="false">I75-H75</f>
        <v>213</v>
      </c>
    </row>
    <row r="76" customFormat="false" ht="15" hidden="false" customHeight="false" outlineLevel="0" collapsed="false">
      <c r="A76" s="16" t="s">
        <v>772</v>
      </c>
      <c r="B76" s="16" t="s">
        <v>773</v>
      </c>
      <c r="C76" s="16" t="s">
        <v>774</v>
      </c>
      <c r="D76" s="16" t="s">
        <v>177</v>
      </c>
      <c r="E76" s="16" t="s">
        <v>531</v>
      </c>
      <c r="F76" s="26" t="n">
        <v>25443000</v>
      </c>
      <c r="G76" s="25" t="n">
        <v>0</v>
      </c>
      <c r="H76" s="22" t="n">
        <v>45996</v>
      </c>
      <c r="I76" s="22" t="n">
        <v>46273</v>
      </c>
      <c r="J76" s="22" t="n">
        <v>46273</v>
      </c>
      <c r="K76" s="16" t="s">
        <v>600</v>
      </c>
      <c r="L76" s="16" t="s">
        <v>592</v>
      </c>
      <c r="M76" s="16"/>
      <c r="N76" s="16" t="s">
        <v>597</v>
      </c>
      <c r="O76" s="7" t="n">
        <f aca="false">IF(OR(E76="Closed Won",E76="Closed Lost"),0,1)</f>
        <v>0</v>
      </c>
      <c r="P76" s="17" t="str">
        <f aca="false">INDEX(Accounts!$K$5:$K$336,MATCH(B76,Accounts!$A$5:$A$336,0))</f>
        <v>Financial Services</v>
      </c>
      <c r="Q76" s="17" t="str">
        <f aca="false">INDEX(Accounts!$D$5:$D$336,MATCH(B76,Accounts!$A$5:$A$336,0))</f>
        <v>Key</v>
      </c>
      <c r="R76" s="7" t="n">
        <f aca="false">INDEX(Inputs!$B$11:$B$16,MATCH(E76,Inputs!$A$11:$A$16,0))</f>
        <v>0</v>
      </c>
      <c r="S76" s="27" t="n">
        <f aca="false">IF(F76="",0,F76)*R76/100</f>
        <v>0</v>
      </c>
      <c r="T76" s="7" t="n">
        <f aca="false">Inputs!$B$4-J76</f>
        <v>41</v>
      </c>
      <c r="U76" s="7" t="n">
        <f aca="false">IF(OR(F76="",F76=0),1,0)</f>
        <v>0</v>
      </c>
      <c r="V76" s="7" t="n">
        <f aca="false">IF(K76="",1,0)</f>
        <v>0</v>
      </c>
      <c r="W76" s="7" t="n">
        <f aca="false">IF(AND(O76=1,K76&lt;&gt;"",COUNTIFS(Owners!$A$5:$A$32,K76,Owners!$E$5:$E$32,"No")&gt;0),1,0)</f>
        <v>0</v>
      </c>
      <c r="X76" s="7" t="n">
        <f aca="false">IF(AND(O76=1,I76&lt;Inputs!$B$4),1,0)</f>
        <v>0</v>
      </c>
      <c r="Y76" s="7" t="n">
        <f aca="false">IF(AND(O76=1,T76&gt;Inputs!$B$5),1,0)</f>
        <v>0</v>
      </c>
      <c r="Z76" s="7" t="n">
        <f aca="false">IF(AND(O76=1,G76&lt;&gt;R76),1,0)</f>
        <v>0</v>
      </c>
      <c r="AA76" s="7" t="n">
        <f aca="false">IF(AND(O76=1,M76=""),1,0)</f>
        <v>0</v>
      </c>
      <c r="AB76" s="7" t="n">
        <f aca="false">IF(AND(E76="Closed Lost",N76=""),1,0)</f>
        <v>0</v>
      </c>
      <c r="AC76" s="7" t="n">
        <f aca="false">SUM(U76:AB76)</f>
        <v>0</v>
      </c>
      <c r="AD76" s="7" t="n">
        <f aca="false">IF(AC76=0,1,0)</f>
        <v>1</v>
      </c>
      <c r="AE76" s="7" t="n">
        <f aca="false">IF(AND(O76=1,I76&gt;=Inputs!$B$6,I76&lt;=Inputs!$B$7),1,0)</f>
        <v>0</v>
      </c>
      <c r="AF76" s="7" t="n">
        <f aca="false">IF(AND(E76="Closed Won",I76&gt;=Inputs!$B$6,I76&lt;=Inputs!$B$4),1,0)</f>
        <v>0</v>
      </c>
      <c r="AG76" s="7" t="n">
        <f aca="false">IF(AND(O76=0,I76&gt;Inputs!$B$4-Inputs!$B$8,I76&lt;=Inputs!$B$4),1,0)</f>
        <v>1</v>
      </c>
      <c r="AH76" s="7" t="n">
        <f aca="false">I76-H76</f>
        <v>277</v>
      </c>
    </row>
    <row r="77" customFormat="false" ht="15" hidden="false" customHeight="false" outlineLevel="0" collapsed="false">
      <c r="A77" s="16" t="s">
        <v>775</v>
      </c>
      <c r="B77" s="16" t="s">
        <v>69</v>
      </c>
      <c r="C77" s="16" t="s">
        <v>776</v>
      </c>
      <c r="D77" s="16" t="s">
        <v>158</v>
      </c>
      <c r="E77" s="16" t="s">
        <v>527</v>
      </c>
      <c r="F77" s="26" t="n">
        <v>14618000</v>
      </c>
      <c r="G77" s="25" t="n">
        <v>25</v>
      </c>
      <c r="H77" s="22" t="n">
        <v>46272</v>
      </c>
      <c r="I77" s="22" t="n">
        <v>46514</v>
      </c>
      <c r="J77" s="22" t="n">
        <v>46297</v>
      </c>
      <c r="K77" s="16" t="s">
        <v>765</v>
      </c>
      <c r="L77" s="16" t="s">
        <v>500</v>
      </c>
      <c r="M77" s="16" t="s">
        <v>569</v>
      </c>
      <c r="N77" s="16"/>
      <c r="O77" s="7" t="n">
        <f aca="false">IF(OR(E77="Closed Won",E77="Closed Lost"),0,1)</f>
        <v>1</v>
      </c>
      <c r="P77" s="17" t="str">
        <f aca="false">INDEX(Accounts!$K$5:$K$336,MATCH(B77,Accounts!$A$5:$A$336,0))</f>
        <v>Financial Services</v>
      </c>
      <c r="Q77" s="17" t="str">
        <f aca="false">INDEX(Accounts!$D$5:$D$336,MATCH(B77,Accounts!$A$5:$A$336,0))</f>
        <v>Priority</v>
      </c>
      <c r="R77" s="7" t="n">
        <f aca="false">INDEX(Inputs!$B$11:$B$16,MATCH(E77,Inputs!$A$11:$A$16,0))</f>
        <v>25</v>
      </c>
      <c r="S77" s="27" t="n">
        <f aca="false">IF(F77="",0,F77)*R77/100</f>
        <v>3654500</v>
      </c>
      <c r="T77" s="7" t="n">
        <f aca="false">Inputs!$B$4-J77</f>
        <v>17</v>
      </c>
      <c r="U77" s="7" t="n">
        <f aca="false">IF(OR(F77="",F77=0),1,0)</f>
        <v>0</v>
      </c>
      <c r="V77" s="7" t="n">
        <f aca="false">IF(K77="",1,0)</f>
        <v>0</v>
      </c>
      <c r="W77" s="7" t="n">
        <f aca="false">IF(AND(O77=1,K77&lt;&gt;"",COUNTIFS(Owners!$A$5:$A$32,K77,Owners!$E$5:$E$32,"No")&gt;0),1,0)</f>
        <v>0</v>
      </c>
      <c r="X77" s="7" t="n">
        <f aca="false">IF(AND(O77=1,I77&lt;Inputs!$B$4),1,0)</f>
        <v>0</v>
      </c>
      <c r="Y77" s="7" t="n">
        <f aca="false">IF(AND(O77=1,T77&gt;Inputs!$B$5),1,0)</f>
        <v>0</v>
      </c>
      <c r="Z77" s="7" t="n">
        <f aca="false">IF(AND(O77=1,G77&lt;&gt;R77),1,0)</f>
        <v>0</v>
      </c>
      <c r="AA77" s="7" t="n">
        <f aca="false">IF(AND(O77=1,M77=""),1,0)</f>
        <v>0</v>
      </c>
      <c r="AB77" s="7" t="n">
        <f aca="false">IF(AND(E77="Closed Lost",N77=""),1,0)</f>
        <v>0</v>
      </c>
      <c r="AC77" s="7" t="n">
        <f aca="false">SUM(U77:AB77)</f>
        <v>0</v>
      </c>
      <c r="AD77" s="7" t="n">
        <f aca="false">IF(AC77=0,1,0)</f>
        <v>1</v>
      </c>
      <c r="AE77" s="7" t="n">
        <f aca="false">IF(AND(O77=1,I77&gt;=Inputs!$B$6,I77&lt;=Inputs!$B$7),1,0)</f>
        <v>1</v>
      </c>
      <c r="AF77" s="7" t="n">
        <f aca="false">IF(AND(E77="Closed Won",I77&gt;=Inputs!$B$6,I77&lt;=Inputs!$B$4),1,0)</f>
        <v>0</v>
      </c>
      <c r="AG77" s="7" t="n">
        <f aca="false">IF(AND(O77=0,I77&gt;Inputs!$B$4-Inputs!$B$8,I77&lt;=Inputs!$B$4),1,0)</f>
        <v>0</v>
      </c>
      <c r="AH77" s="7" t="n">
        <f aca="false">I77-H77</f>
        <v>242</v>
      </c>
    </row>
    <row r="78" customFormat="false" ht="15" hidden="false" customHeight="false" outlineLevel="0" collapsed="false">
      <c r="A78" s="16" t="s">
        <v>777</v>
      </c>
      <c r="B78" s="16" t="s">
        <v>93</v>
      </c>
      <c r="C78" s="16" t="s">
        <v>778</v>
      </c>
      <c r="D78" s="16" t="s">
        <v>165</v>
      </c>
      <c r="E78" s="16" t="s">
        <v>531</v>
      </c>
      <c r="F78" s="26" t="n">
        <v>15071000</v>
      </c>
      <c r="G78" s="25" t="n">
        <v>0</v>
      </c>
      <c r="H78" s="22" t="n">
        <v>46188</v>
      </c>
      <c r="I78" s="22" t="n">
        <v>46274</v>
      </c>
      <c r="J78" s="22" t="n">
        <v>46274</v>
      </c>
      <c r="K78" s="16" t="s">
        <v>654</v>
      </c>
      <c r="L78" s="16" t="s">
        <v>568</v>
      </c>
      <c r="M78" s="16"/>
      <c r="N78" s="16" t="s">
        <v>722</v>
      </c>
      <c r="O78" s="7" t="n">
        <f aca="false">IF(OR(E78="Closed Won",E78="Closed Lost"),0,1)</f>
        <v>0</v>
      </c>
      <c r="P78" s="17" t="str">
        <f aca="false">INDEX(Accounts!$K$5:$K$336,MATCH(B78,Accounts!$A$5:$A$336,0))</f>
        <v>Unassigned</v>
      </c>
      <c r="Q78" s="17" t="str">
        <f aca="false">INDEX(Accounts!$D$5:$D$336,MATCH(B78,Accounts!$A$5:$A$336,0))</f>
        <v>Priority</v>
      </c>
      <c r="R78" s="7" t="n">
        <f aca="false">INDEX(Inputs!$B$11:$B$16,MATCH(E78,Inputs!$A$11:$A$16,0))</f>
        <v>0</v>
      </c>
      <c r="S78" s="27" t="n">
        <f aca="false">IF(F78="",0,F78)*R78/100</f>
        <v>0</v>
      </c>
      <c r="T78" s="7" t="n">
        <f aca="false">Inputs!$B$4-J78</f>
        <v>40</v>
      </c>
      <c r="U78" s="7" t="n">
        <f aca="false">IF(OR(F78="",F78=0),1,0)</f>
        <v>0</v>
      </c>
      <c r="V78" s="7" t="n">
        <f aca="false">IF(K78="",1,0)</f>
        <v>0</v>
      </c>
      <c r="W78" s="7" t="n">
        <f aca="false">IF(AND(O78=1,K78&lt;&gt;"",COUNTIFS(Owners!$A$5:$A$32,K78,Owners!$E$5:$E$32,"No")&gt;0),1,0)</f>
        <v>0</v>
      </c>
      <c r="X78" s="7" t="n">
        <f aca="false">IF(AND(O78=1,I78&lt;Inputs!$B$4),1,0)</f>
        <v>0</v>
      </c>
      <c r="Y78" s="7" t="n">
        <f aca="false">IF(AND(O78=1,T78&gt;Inputs!$B$5),1,0)</f>
        <v>0</v>
      </c>
      <c r="Z78" s="7" t="n">
        <f aca="false">IF(AND(O78=1,G78&lt;&gt;R78),1,0)</f>
        <v>0</v>
      </c>
      <c r="AA78" s="7" t="n">
        <f aca="false">IF(AND(O78=1,M78=""),1,0)</f>
        <v>0</v>
      </c>
      <c r="AB78" s="7" t="n">
        <f aca="false">IF(AND(E78="Closed Lost",N78=""),1,0)</f>
        <v>0</v>
      </c>
      <c r="AC78" s="7" t="n">
        <f aca="false">SUM(U78:AB78)</f>
        <v>0</v>
      </c>
      <c r="AD78" s="7" t="n">
        <f aca="false">IF(AC78=0,1,0)</f>
        <v>1</v>
      </c>
      <c r="AE78" s="7" t="n">
        <f aca="false">IF(AND(O78=1,I78&gt;=Inputs!$B$6,I78&lt;=Inputs!$B$7),1,0)</f>
        <v>0</v>
      </c>
      <c r="AF78" s="7" t="n">
        <f aca="false">IF(AND(E78="Closed Won",I78&gt;=Inputs!$B$6,I78&lt;=Inputs!$B$4),1,0)</f>
        <v>0</v>
      </c>
      <c r="AG78" s="7" t="n">
        <f aca="false">IF(AND(O78=0,I78&gt;Inputs!$B$4-Inputs!$B$8,I78&lt;=Inputs!$B$4),1,0)</f>
        <v>1</v>
      </c>
      <c r="AH78" s="7" t="n">
        <f aca="false">I78-H78</f>
        <v>86</v>
      </c>
    </row>
    <row r="79" customFormat="false" ht="15" hidden="false" customHeight="false" outlineLevel="0" collapsed="false">
      <c r="A79" s="16" t="s">
        <v>779</v>
      </c>
      <c r="B79" s="16" t="s">
        <v>780</v>
      </c>
      <c r="C79" s="16" t="s">
        <v>781</v>
      </c>
      <c r="D79" s="16" t="s">
        <v>165</v>
      </c>
      <c r="E79" s="16" t="s">
        <v>529</v>
      </c>
      <c r="F79" s="26" t="n">
        <v>34086000</v>
      </c>
      <c r="G79" s="25" t="n">
        <v>75</v>
      </c>
      <c r="H79" s="22" t="n">
        <v>46219</v>
      </c>
      <c r="I79" s="22" t="n">
        <v>46347</v>
      </c>
      <c r="J79" s="22" t="n">
        <v>46268</v>
      </c>
      <c r="K79" s="16" t="s">
        <v>677</v>
      </c>
      <c r="L79" s="16" t="s">
        <v>584</v>
      </c>
      <c r="M79" s="16" t="s">
        <v>613</v>
      </c>
      <c r="N79" s="16"/>
      <c r="O79" s="7" t="n">
        <f aca="false">IF(OR(E79="Closed Won",E79="Closed Lost"),0,1)</f>
        <v>1</v>
      </c>
      <c r="P79" s="17" t="str">
        <f aca="false">INDEX(Accounts!$K$5:$K$336,MATCH(B79,Accounts!$A$5:$A$336,0))</f>
        <v>Technology, Media &amp; Telecom</v>
      </c>
      <c r="Q79" s="17" t="str">
        <f aca="false">INDEX(Accounts!$D$5:$D$336,MATCH(B79,Accounts!$A$5:$A$336,0))</f>
        <v>Key</v>
      </c>
      <c r="R79" s="7" t="n">
        <f aca="false">INDEX(Inputs!$B$11:$B$16,MATCH(E79,Inputs!$A$11:$A$16,0))</f>
        <v>75</v>
      </c>
      <c r="S79" s="27" t="n">
        <f aca="false">IF(F79="",0,F79)*R79/100</f>
        <v>25564500</v>
      </c>
      <c r="T79" s="7" t="n">
        <f aca="false">Inputs!$B$4-J79</f>
        <v>46</v>
      </c>
      <c r="U79" s="7" t="n">
        <f aca="false">IF(OR(F79="",F79=0),1,0)</f>
        <v>0</v>
      </c>
      <c r="V79" s="7" t="n">
        <f aca="false">IF(K79="",1,0)</f>
        <v>0</v>
      </c>
      <c r="W79" s="7" t="n">
        <f aca="false">IF(AND(O79=1,K79&lt;&gt;"",COUNTIFS(Owners!$A$5:$A$32,K79,Owners!$E$5:$E$32,"No")&gt;0),1,0)</f>
        <v>0</v>
      </c>
      <c r="X79" s="7" t="n">
        <f aca="false">IF(AND(O79=1,I79&lt;Inputs!$B$4),1,0)</f>
        <v>0</v>
      </c>
      <c r="Y79" s="7" t="n">
        <f aca="false">IF(AND(O79=1,T79&gt;Inputs!$B$5),1,0)</f>
        <v>0</v>
      </c>
      <c r="Z79" s="7" t="n">
        <f aca="false">IF(AND(O79=1,G79&lt;&gt;R79),1,0)</f>
        <v>0</v>
      </c>
      <c r="AA79" s="7" t="n">
        <f aca="false">IF(AND(O79=1,M79=""),1,0)</f>
        <v>0</v>
      </c>
      <c r="AB79" s="7" t="n">
        <f aca="false">IF(AND(E79="Closed Lost",N79=""),1,0)</f>
        <v>0</v>
      </c>
      <c r="AC79" s="7" t="n">
        <f aca="false">SUM(U79:AB79)</f>
        <v>0</v>
      </c>
      <c r="AD79" s="7" t="n">
        <f aca="false">IF(AC79=0,1,0)</f>
        <v>1</v>
      </c>
      <c r="AE79" s="7" t="n">
        <f aca="false">IF(AND(O79=1,I79&gt;=Inputs!$B$6,I79&lt;=Inputs!$B$7),1,0)</f>
        <v>1</v>
      </c>
      <c r="AF79" s="7" t="n">
        <f aca="false">IF(AND(E79="Closed Won",I79&gt;=Inputs!$B$6,I79&lt;=Inputs!$B$4),1,0)</f>
        <v>0</v>
      </c>
      <c r="AG79" s="7" t="n">
        <f aca="false">IF(AND(O79=0,I79&gt;Inputs!$B$4-Inputs!$B$8,I79&lt;=Inputs!$B$4),1,0)</f>
        <v>0</v>
      </c>
      <c r="AH79" s="7" t="n">
        <f aca="false">I79-H79</f>
        <v>128</v>
      </c>
    </row>
    <row r="80" customFormat="false" ht="15" hidden="false" customHeight="false" outlineLevel="0" collapsed="false">
      <c r="A80" s="16" t="s">
        <v>782</v>
      </c>
      <c r="B80" s="16" t="s">
        <v>246</v>
      </c>
      <c r="C80" s="16" t="s">
        <v>783</v>
      </c>
      <c r="D80" s="16" t="s">
        <v>162</v>
      </c>
      <c r="E80" s="16" t="s">
        <v>529</v>
      </c>
      <c r="F80" s="26" t="n">
        <v>3734000</v>
      </c>
      <c r="G80" s="25" t="n">
        <v>75</v>
      </c>
      <c r="H80" s="22" t="n">
        <v>46244</v>
      </c>
      <c r="I80" s="22" t="n">
        <v>46309</v>
      </c>
      <c r="J80" s="22" t="n">
        <v>46288</v>
      </c>
      <c r="K80" s="16" t="s">
        <v>583</v>
      </c>
      <c r="L80" s="16" t="s">
        <v>500</v>
      </c>
      <c r="M80" s="16" t="s">
        <v>613</v>
      </c>
      <c r="N80" s="16"/>
      <c r="O80" s="7" t="n">
        <f aca="false">IF(OR(E80="Closed Won",E80="Closed Lost"),0,1)</f>
        <v>1</v>
      </c>
      <c r="P80" s="17" t="str">
        <f aca="false">INDEX(Accounts!$K$5:$K$336,MATCH(B80,Accounts!$A$5:$A$336,0))</f>
        <v>Technology, Media &amp; Telecom</v>
      </c>
      <c r="Q80" s="17" t="str">
        <f aca="false">INDEX(Accounts!$D$5:$D$336,MATCH(B80,Accounts!$A$5:$A$336,0))</f>
        <v>Standard</v>
      </c>
      <c r="R80" s="7" t="n">
        <f aca="false">INDEX(Inputs!$B$11:$B$16,MATCH(E80,Inputs!$A$11:$A$16,0))</f>
        <v>75</v>
      </c>
      <c r="S80" s="27" t="n">
        <f aca="false">IF(F80="",0,F80)*R80/100</f>
        <v>2800500</v>
      </c>
      <c r="T80" s="7" t="n">
        <f aca="false">Inputs!$B$4-J80</f>
        <v>26</v>
      </c>
      <c r="U80" s="7" t="n">
        <f aca="false">IF(OR(F80="",F80=0),1,0)</f>
        <v>0</v>
      </c>
      <c r="V80" s="7" t="n">
        <f aca="false">IF(K80="",1,0)</f>
        <v>0</v>
      </c>
      <c r="W80" s="7" t="n">
        <f aca="false">IF(AND(O80=1,K80&lt;&gt;"",COUNTIFS(Owners!$A$5:$A$32,K80,Owners!$E$5:$E$32,"No")&gt;0),1,0)</f>
        <v>1</v>
      </c>
      <c r="X80" s="7" t="n">
        <f aca="false">IF(AND(O80=1,I80&lt;Inputs!$B$4),1,0)</f>
        <v>1</v>
      </c>
      <c r="Y80" s="7" t="n">
        <f aca="false">IF(AND(O80=1,T80&gt;Inputs!$B$5),1,0)</f>
        <v>0</v>
      </c>
      <c r="Z80" s="7" t="n">
        <f aca="false">IF(AND(O80=1,G80&lt;&gt;R80),1,0)</f>
        <v>0</v>
      </c>
      <c r="AA80" s="7" t="n">
        <f aca="false">IF(AND(O80=1,M80=""),1,0)</f>
        <v>0</v>
      </c>
      <c r="AB80" s="7" t="n">
        <f aca="false">IF(AND(E80="Closed Lost",N80=""),1,0)</f>
        <v>0</v>
      </c>
      <c r="AC80" s="7" t="n">
        <f aca="false">SUM(U80:AB80)</f>
        <v>2</v>
      </c>
      <c r="AD80" s="7" t="n">
        <f aca="false">IF(AC80=0,1,0)</f>
        <v>0</v>
      </c>
      <c r="AE80" s="7" t="n">
        <f aca="false">IF(AND(O80=1,I80&gt;=Inputs!$B$6,I80&lt;=Inputs!$B$7),1,0)</f>
        <v>1</v>
      </c>
      <c r="AF80" s="7" t="n">
        <f aca="false">IF(AND(E80="Closed Won",I80&gt;=Inputs!$B$6,I80&lt;=Inputs!$B$4),1,0)</f>
        <v>0</v>
      </c>
      <c r="AG80" s="7" t="n">
        <f aca="false">IF(AND(O80=0,I80&gt;Inputs!$B$4-Inputs!$B$8,I80&lt;=Inputs!$B$4),1,0)</f>
        <v>0</v>
      </c>
      <c r="AH80" s="7" t="n">
        <f aca="false">I80-H80</f>
        <v>65</v>
      </c>
    </row>
    <row r="81" customFormat="false" ht="15" hidden="false" customHeight="false" outlineLevel="0" collapsed="false">
      <c r="A81" s="16" t="s">
        <v>784</v>
      </c>
      <c r="B81" s="16" t="s">
        <v>63</v>
      </c>
      <c r="C81" s="16" t="s">
        <v>785</v>
      </c>
      <c r="D81" s="16" t="s">
        <v>158</v>
      </c>
      <c r="E81" s="16" t="s">
        <v>527</v>
      </c>
      <c r="F81" s="26" t="n">
        <v>7619000</v>
      </c>
      <c r="G81" s="25" t="n">
        <v>25</v>
      </c>
      <c r="H81" s="22" t="n">
        <v>46244</v>
      </c>
      <c r="I81" s="22" t="n">
        <v>46333</v>
      </c>
      <c r="J81" s="22" t="n">
        <v>46222</v>
      </c>
      <c r="K81" s="16" t="s">
        <v>633</v>
      </c>
      <c r="L81" s="16" t="s">
        <v>609</v>
      </c>
      <c r="M81" s="16" t="s">
        <v>601</v>
      </c>
      <c r="N81" s="16"/>
      <c r="O81" s="7" t="n">
        <f aca="false">IF(OR(E81="Closed Won",E81="Closed Lost"),0,1)</f>
        <v>1</v>
      </c>
      <c r="P81" s="17" t="str">
        <f aca="false">INDEX(Accounts!$K$5:$K$336,MATCH(B81,Accounts!$A$5:$A$336,0))</f>
        <v>Public Sector &amp; Development</v>
      </c>
      <c r="Q81" s="17" t="str">
        <f aca="false">INDEX(Accounts!$D$5:$D$336,MATCH(B81,Accounts!$A$5:$A$336,0))</f>
        <v>Priority</v>
      </c>
      <c r="R81" s="7" t="n">
        <f aca="false">INDEX(Inputs!$B$11:$B$16,MATCH(E81,Inputs!$A$11:$A$16,0))</f>
        <v>25</v>
      </c>
      <c r="S81" s="27" t="n">
        <f aca="false">IF(F81="",0,F81)*R81/100</f>
        <v>1904750</v>
      </c>
      <c r="T81" s="7" t="n">
        <f aca="false">Inputs!$B$4-J81</f>
        <v>92</v>
      </c>
      <c r="U81" s="7" t="n">
        <f aca="false">IF(OR(F81="",F81=0),1,0)</f>
        <v>0</v>
      </c>
      <c r="V81" s="7" t="n">
        <f aca="false">IF(K81="",1,0)</f>
        <v>0</v>
      </c>
      <c r="W81" s="7" t="n">
        <f aca="false">IF(AND(O81=1,K81&lt;&gt;"",COUNTIFS(Owners!$A$5:$A$32,K81,Owners!$E$5:$E$32,"No")&gt;0),1,0)</f>
        <v>0</v>
      </c>
      <c r="X81" s="7" t="n">
        <f aca="false">IF(AND(O81=1,I81&lt;Inputs!$B$4),1,0)</f>
        <v>0</v>
      </c>
      <c r="Y81" s="7" t="n">
        <f aca="false">IF(AND(O81=1,T81&gt;Inputs!$B$5),1,0)</f>
        <v>1</v>
      </c>
      <c r="Z81" s="7" t="n">
        <f aca="false">IF(AND(O81=1,G81&lt;&gt;R81),1,0)</f>
        <v>0</v>
      </c>
      <c r="AA81" s="7" t="n">
        <f aca="false">IF(AND(O81=1,M81=""),1,0)</f>
        <v>0</v>
      </c>
      <c r="AB81" s="7" t="n">
        <f aca="false">IF(AND(E81="Closed Lost",N81=""),1,0)</f>
        <v>0</v>
      </c>
      <c r="AC81" s="7" t="n">
        <f aca="false">SUM(U81:AB81)</f>
        <v>1</v>
      </c>
      <c r="AD81" s="7" t="n">
        <f aca="false">IF(AC81=0,1,0)</f>
        <v>0</v>
      </c>
      <c r="AE81" s="7" t="n">
        <f aca="false">IF(AND(O81=1,I81&gt;=Inputs!$B$6,I81&lt;=Inputs!$B$7),1,0)</f>
        <v>1</v>
      </c>
      <c r="AF81" s="7" t="n">
        <f aca="false">IF(AND(E81="Closed Won",I81&gt;=Inputs!$B$6,I81&lt;=Inputs!$B$4),1,0)</f>
        <v>0</v>
      </c>
      <c r="AG81" s="7" t="n">
        <f aca="false">IF(AND(O81=0,I81&gt;Inputs!$B$4-Inputs!$B$8,I81&lt;=Inputs!$B$4),1,0)</f>
        <v>0</v>
      </c>
      <c r="AH81" s="7" t="n">
        <f aca="false">I81-H81</f>
        <v>89</v>
      </c>
    </row>
    <row r="82" customFormat="false" ht="15" hidden="false" customHeight="false" outlineLevel="0" collapsed="false">
      <c r="A82" s="16" t="s">
        <v>786</v>
      </c>
      <c r="B82" s="16" t="s">
        <v>64</v>
      </c>
      <c r="C82" s="16" t="s">
        <v>787</v>
      </c>
      <c r="D82" s="16" t="s">
        <v>167</v>
      </c>
      <c r="E82" s="16" t="s">
        <v>526</v>
      </c>
      <c r="F82" s="26" t="n">
        <v>13173000</v>
      </c>
      <c r="G82" s="25" t="n">
        <v>10</v>
      </c>
      <c r="H82" s="22" t="n">
        <v>46118</v>
      </c>
      <c r="I82" s="22" t="n">
        <v>46375</v>
      </c>
      <c r="J82" s="22" t="n">
        <v>46293</v>
      </c>
      <c r="K82" s="16" t="s">
        <v>691</v>
      </c>
      <c r="L82" s="16" t="s">
        <v>500</v>
      </c>
      <c r="M82" s="16" t="s">
        <v>593</v>
      </c>
      <c r="N82" s="16"/>
      <c r="O82" s="7" t="n">
        <f aca="false">IF(OR(E82="Closed Won",E82="Closed Lost"),0,1)</f>
        <v>1</v>
      </c>
      <c r="P82" s="17" t="str">
        <f aca="false">INDEX(Accounts!$K$5:$K$336,MATCH(B82,Accounts!$A$5:$A$336,0))</f>
        <v>Financial Services</v>
      </c>
      <c r="Q82" s="17" t="str">
        <f aca="false">INDEX(Accounts!$D$5:$D$336,MATCH(B82,Accounts!$A$5:$A$336,0))</f>
        <v>Priority</v>
      </c>
      <c r="R82" s="7" t="n">
        <f aca="false">INDEX(Inputs!$B$11:$B$16,MATCH(E82,Inputs!$A$11:$A$16,0))</f>
        <v>10</v>
      </c>
      <c r="S82" s="27" t="n">
        <f aca="false">IF(F82="",0,F82)*R82/100</f>
        <v>1317300</v>
      </c>
      <c r="T82" s="7" t="n">
        <f aca="false">Inputs!$B$4-J82</f>
        <v>21</v>
      </c>
      <c r="U82" s="7" t="n">
        <f aca="false">IF(OR(F82="",F82=0),1,0)</f>
        <v>0</v>
      </c>
      <c r="V82" s="7" t="n">
        <f aca="false">IF(K82="",1,0)</f>
        <v>0</v>
      </c>
      <c r="W82" s="7" t="n">
        <f aca="false">IF(AND(O82=1,K82&lt;&gt;"",COUNTIFS(Owners!$A$5:$A$32,K82,Owners!$E$5:$E$32,"No")&gt;0),1,0)</f>
        <v>0</v>
      </c>
      <c r="X82" s="7" t="n">
        <f aca="false">IF(AND(O82=1,I82&lt;Inputs!$B$4),1,0)</f>
        <v>0</v>
      </c>
      <c r="Y82" s="7" t="n">
        <f aca="false">IF(AND(O82=1,T82&gt;Inputs!$B$5),1,0)</f>
        <v>0</v>
      </c>
      <c r="Z82" s="7" t="n">
        <f aca="false">IF(AND(O82=1,G82&lt;&gt;R82),1,0)</f>
        <v>0</v>
      </c>
      <c r="AA82" s="7" t="n">
        <f aca="false">IF(AND(O82=1,M82=""),1,0)</f>
        <v>0</v>
      </c>
      <c r="AB82" s="7" t="n">
        <f aca="false">IF(AND(E82="Closed Lost",N82=""),1,0)</f>
        <v>0</v>
      </c>
      <c r="AC82" s="7" t="n">
        <f aca="false">SUM(U82:AB82)</f>
        <v>0</v>
      </c>
      <c r="AD82" s="7" t="n">
        <f aca="false">IF(AC82=0,1,0)</f>
        <v>1</v>
      </c>
      <c r="AE82" s="7" t="n">
        <f aca="false">IF(AND(O82=1,I82&gt;=Inputs!$B$6,I82&lt;=Inputs!$B$7),1,0)</f>
        <v>1</v>
      </c>
      <c r="AF82" s="7" t="n">
        <f aca="false">IF(AND(E82="Closed Won",I82&gt;=Inputs!$B$6,I82&lt;=Inputs!$B$4),1,0)</f>
        <v>0</v>
      </c>
      <c r="AG82" s="7" t="n">
        <f aca="false">IF(AND(O82=0,I82&gt;Inputs!$B$4-Inputs!$B$8,I82&lt;=Inputs!$B$4),1,0)</f>
        <v>0</v>
      </c>
      <c r="AH82" s="7" t="n">
        <f aca="false">I82-H82</f>
        <v>257</v>
      </c>
    </row>
    <row r="83" customFormat="false" ht="15" hidden="false" customHeight="false" outlineLevel="0" collapsed="false">
      <c r="A83" s="16" t="s">
        <v>788</v>
      </c>
      <c r="B83" s="16" t="s">
        <v>96</v>
      </c>
      <c r="C83" s="16" t="s">
        <v>789</v>
      </c>
      <c r="D83" s="16" t="s">
        <v>158</v>
      </c>
      <c r="E83" s="16" t="s">
        <v>530</v>
      </c>
      <c r="F83" s="26" t="n">
        <v>46177000</v>
      </c>
      <c r="G83" s="25" t="n">
        <v>100</v>
      </c>
      <c r="H83" s="22" t="n">
        <v>45967</v>
      </c>
      <c r="I83" s="22" t="n">
        <v>46199</v>
      </c>
      <c r="J83" s="22" t="n">
        <v>46199</v>
      </c>
      <c r="K83" s="16" t="s">
        <v>704</v>
      </c>
      <c r="L83" s="16" t="s">
        <v>584</v>
      </c>
      <c r="M83" s="16"/>
      <c r="N83" s="16"/>
      <c r="O83" s="7" t="n">
        <f aca="false">IF(OR(E83="Closed Won",E83="Closed Lost"),0,1)</f>
        <v>0</v>
      </c>
      <c r="P83" s="17" t="str">
        <f aca="false">INDEX(Accounts!$K$5:$K$336,MATCH(B83,Accounts!$A$5:$A$336,0))</f>
        <v>Financial Services</v>
      </c>
      <c r="Q83" s="17" t="str">
        <f aca="false">INDEX(Accounts!$D$5:$D$336,MATCH(B83,Accounts!$A$5:$A$336,0))</f>
        <v>Priority</v>
      </c>
      <c r="R83" s="7" t="n">
        <f aca="false">INDEX(Inputs!$B$11:$B$16,MATCH(E83,Inputs!$A$11:$A$16,0))</f>
        <v>100</v>
      </c>
      <c r="S83" s="27" t="n">
        <f aca="false">IF(F83="",0,F83)*R83/100</f>
        <v>46177000</v>
      </c>
      <c r="T83" s="7" t="n">
        <f aca="false">Inputs!$B$4-J83</f>
        <v>115</v>
      </c>
      <c r="U83" s="7" t="n">
        <f aca="false">IF(OR(F83="",F83=0),1,0)</f>
        <v>0</v>
      </c>
      <c r="V83" s="7" t="n">
        <f aca="false">IF(K83="",1,0)</f>
        <v>0</v>
      </c>
      <c r="W83" s="7" t="n">
        <f aca="false">IF(AND(O83=1,K83&lt;&gt;"",COUNTIFS(Owners!$A$5:$A$32,K83,Owners!$E$5:$E$32,"No")&gt;0),1,0)</f>
        <v>0</v>
      </c>
      <c r="X83" s="7" t="n">
        <f aca="false">IF(AND(O83=1,I83&lt;Inputs!$B$4),1,0)</f>
        <v>0</v>
      </c>
      <c r="Y83" s="7" t="n">
        <f aca="false">IF(AND(O83=1,T83&gt;Inputs!$B$5),1,0)</f>
        <v>0</v>
      </c>
      <c r="Z83" s="7" t="n">
        <f aca="false">IF(AND(O83=1,G83&lt;&gt;R83),1,0)</f>
        <v>0</v>
      </c>
      <c r="AA83" s="7" t="n">
        <f aca="false">IF(AND(O83=1,M83=""),1,0)</f>
        <v>0</v>
      </c>
      <c r="AB83" s="7" t="n">
        <f aca="false">IF(AND(E83="Closed Lost",N83=""),1,0)</f>
        <v>0</v>
      </c>
      <c r="AC83" s="7" t="n">
        <f aca="false">SUM(U83:AB83)</f>
        <v>0</v>
      </c>
      <c r="AD83" s="7" t="n">
        <f aca="false">IF(AC83=0,1,0)</f>
        <v>1</v>
      </c>
      <c r="AE83" s="7" t="n">
        <f aca="false">IF(AND(O83=1,I83&gt;=Inputs!$B$6,I83&lt;=Inputs!$B$7),1,0)</f>
        <v>0</v>
      </c>
      <c r="AF83" s="7" t="n">
        <f aca="false">IF(AND(E83="Closed Won",I83&gt;=Inputs!$B$6,I83&lt;=Inputs!$B$4),1,0)</f>
        <v>0</v>
      </c>
      <c r="AG83" s="7" t="n">
        <f aca="false">IF(AND(O83=0,I83&gt;Inputs!$B$4-Inputs!$B$8,I83&lt;=Inputs!$B$4),1,0)</f>
        <v>1</v>
      </c>
      <c r="AH83" s="7" t="n">
        <f aca="false">I83-H83</f>
        <v>232</v>
      </c>
    </row>
    <row r="84" customFormat="false" ht="15" hidden="false" customHeight="false" outlineLevel="0" collapsed="false">
      <c r="A84" s="16" t="s">
        <v>790</v>
      </c>
      <c r="B84" s="16" t="s">
        <v>791</v>
      </c>
      <c r="C84" s="16" t="s">
        <v>792</v>
      </c>
      <c r="D84" s="16" t="s">
        <v>177</v>
      </c>
      <c r="E84" s="16" t="s">
        <v>531</v>
      </c>
      <c r="F84" s="26" t="n">
        <v>6856000</v>
      </c>
      <c r="G84" s="25" t="n">
        <v>0</v>
      </c>
      <c r="H84" s="22" t="n">
        <v>45999</v>
      </c>
      <c r="I84" s="22" t="n">
        <v>46195</v>
      </c>
      <c r="J84" s="22" t="n">
        <v>46195</v>
      </c>
      <c r="K84" s="16" t="s">
        <v>729</v>
      </c>
      <c r="L84" s="16" t="s">
        <v>609</v>
      </c>
      <c r="M84" s="16"/>
      <c r="N84" s="16" t="s">
        <v>579</v>
      </c>
      <c r="O84" s="7" t="n">
        <f aca="false">IF(OR(E84="Closed Won",E84="Closed Lost"),0,1)</f>
        <v>0</v>
      </c>
      <c r="P84" s="17" t="str">
        <f aca="false">INDEX(Accounts!$K$5:$K$336,MATCH(B84,Accounts!$A$5:$A$336,0))</f>
        <v>Consumer &amp; Retail</v>
      </c>
      <c r="Q84" s="17" t="str">
        <f aca="false">INDEX(Accounts!$D$5:$D$336,MATCH(B84,Accounts!$A$5:$A$336,0))</f>
        <v>Standard</v>
      </c>
      <c r="R84" s="7" t="n">
        <f aca="false">INDEX(Inputs!$B$11:$B$16,MATCH(E84,Inputs!$A$11:$A$16,0))</f>
        <v>0</v>
      </c>
      <c r="S84" s="27" t="n">
        <f aca="false">IF(F84="",0,F84)*R84/100</f>
        <v>0</v>
      </c>
      <c r="T84" s="7" t="n">
        <f aca="false">Inputs!$B$4-J84</f>
        <v>119</v>
      </c>
      <c r="U84" s="7" t="n">
        <f aca="false">IF(OR(F84="",F84=0),1,0)</f>
        <v>0</v>
      </c>
      <c r="V84" s="7" t="n">
        <f aca="false">IF(K84="",1,0)</f>
        <v>0</v>
      </c>
      <c r="W84" s="7" t="n">
        <f aca="false">IF(AND(O84=1,K84&lt;&gt;"",COUNTIFS(Owners!$A$5:$A$32,K84,Owners!$E$5:$E$32,"No")&gt;0),1,0)</f>
        <v>0</v>
      </c>
      <c r="X84" s="7" t="n">
        <f aca="false">IF(AND(O84=1,I84&lt;Inputs!$B$4),1,0)</f>
        <v>0</v>
      </c>
      <c r="Y84" s="7" t="n">
        <f aca="false">IF(AND(O84=1,T84&gt;Inputs!$B$5),1,0)</f>
        <v>0</v>
      </c>
      <c r="Z84" s="7" t="n">
        <f aca="false">IF(AND(O84=1,G84&lt;&gt;R84),1,0)</f>
        <v>0</v>
      </c>
      <c r="AA84" s="7" t="n">
        <f aca="false">IF(AND(O84=1,M84=""),1,0)</f>
        <v>0</v>
      </c>
      <c r="AB84" s="7" t="n">
        <f aca="false">IF(AND(E84="Closed Lost",N84=""),1,0)</f>
        <v>0</v>
      </c>
      <c r="AC84" s="7" t="n">
        <f aca="false">SUM(U84:AB84)</f>
        <v>0</v>
      </c>
      <c r="AD84" s="7" t="n">
        <f aca="false">IF(AC84=0,1,0)</f>
        <v>1</v>
      </c>
      <c r="AE84" s="7" t="n">
        <f aca="false">IF(AND(O84=1,I84&gt;=Inputs!$B$6,I84&lt;=Inputs!$B$7),1,0)</f>
        <v>0</v>
      </c>
      <c r="AF84" s="7" t="n">
        <f aca="false">IF(AND(E84="Closed Won",I84&gt;=Inputs!$B$6,I84&lt;=Inputs!$B$4),1,0)</f>
        <v>0</v>
      </c>
      <c r="AG84" s="7" t="n">
        <f aca="false">IF(AND(O84=0,I84&gt;Inputs!$B$4-Inputs!$B$8,I84&lt;=Inputs!$B$4),1,0)</f>
        <v>1</v>
      </c>
      <c r="AH84" s="7" t="n">
        <f aca="false">I84-H84</f>
        <v>196</v>
      </c>
    </row>
    <row r="85" customFormat="false" ht="15" hidden="false" customHeight="false" outlineLevel="0" collapsed="false">
      <c r="A85" s="16" t="s">
        <v>793</v>
      </c>
      <c r="B85" s="16" t="s">
        <v>69</v>
      </c>
      <c r="C85" s="16" t="s">
        <v>794</v>
      </c>
      <c r="D85" s="16" t="s">
        <v>162</v>
      </c>
      <c r="E85" s="16" t="s">
        <v>531</v>
      </c>
      <c r="F85" s="26" t="n">
        <v>6863000</v>
      </c>
      <c r="G85" s="25" t="n">
        <v>0</v>
      </c>
      <c r="H85" s="22" t="n">
        <v>46070</v>
      </c>
      <c r="I85" s="22" t="n">
        <v>46274</v>
      </c>
      <c r="J85" s="22" t="n">
        <v>46274</v>
      </c>
      <c r="K85" s="16" t="s">
        <v>604</v>
      </c>
      <c r="L85" s="16" t="s">
        <v>592</v>
      </c>
      <c r="M85" s="16"/>
      <c r="N85" s="16" t="s">
        <v>597</v>
      </c>
      <c r="O85" s="7" t="n">
        <f aca="false">IF(OR(E85="Closed Won",E85="Closed Lost"),0,1)</f>
        <v>0</v>
      </c>
      <c r="P85" s="17" t="str">
        <f aca="false">INDEX(Accounts!$K$5:$K$336,MATCH(B85,Accounts!$A$5:$A$336,0))</f>
        <v>Financial Services</v>
      </c>
      <c r="Q85" s="17" t="str">
        <f aca="false">INDEX(Accounts!$D$5:$D$336,MATCH(B85,Accounts!$A$5:$A$336,0))</f>
        <v>Priority</v>
      </c>
      <c r="R85" s="7" t="n">
        <f aca="false">INDEX(Inputs!$B$11:$B$16,MATCH(E85,Inputs!$A$11:$A$16,0))</f>
        <v>0</v>
      </c>
      <c r="S85" s="27" t="n">
        <f aca="false">IF(F85="",0,F85)*R85/100</f>
        <v>0</v>
      </c>
      <c r="T85" s="7" t="n">
        <f aca="false">Inputs!$B$4-J85</f>
        <v>40</v>
      </c>
      <c r="U85" s="7" t="n">
        <f aca="false">IF(OR(F85="",F85=0),1,0)</f>
        <v>0</v>
      </c>
      <c r="V85" s="7" t="n">
        <f aca="false">IF(K85="",1,0)</f>
        <v>0</v>
      </c>
      <c r="W85" s="7" t="n">
        <f aca="false">IF(AND(O85=1,K85&lt;&gt;"",COUNTIFS(Owners!$A$5:$A$32,K85,Owners!$E$5:$E$32,"No")&gt;0),1,0)</f>
        <v>0</v>
      </c>
      <c r="X85" s="7" t="n">
        <f aca="false">IF(AND(O85=1,I85&lt;Inputs!$B$4),1,0)</f>
        <v>0</v>
      </c>
      <c r="Y85" s="7" t="n">
        <f aca="false">IF(AND(O85=1,T85&gt;Inputs!$B$5),1,0)</f>
        <v>0</v>
      </c>
      <c r="Z85" s="7" t="n">
        <f aca="false">IF(AND(O85=1,G85&lt;&gt;R85),1,0)</f>
        <v>0</v>
      </c>
      <c r="AA85" s="7" t="n">
        <f aca="false">IF(AND(O85=1,M85=""),1,0)</f>
        <v>0</v>
      </c>
      <c r="AB85" s="7" t="n">
        <f aca="false">IF(AND(E85="Closed Lost",N85=""),1,0)</f>
        <v>0</v>
      </c>
      <c r="AC85" s="7" t="n">
        <f aca="false">SUM(U85:AB85)</f>
        <v>0</v>
      </c>
      <c r="AD85" s="7" t="n">
        <f aca="false">IF(AC85=0,1,0)</f>
        <v>1</v>
      </c>
      <c r="AE85" s="7" t="n">
        <f aca="false">IF(AND(O85=1,I85&gt;=Inputs!$B$6,I85&lt;=Inputs!$B$7),1,0)</f>
        <v>0</v>
      </c>
      <c r="AF85" s="7" t="n">
        <f aca="false">IF(AND(E85="Closed Won",I85&gt;=Inputs!$B$6,I85&lt;=Inputs!$B$4),1,0)</f>
        <v>0</v>
      </c>
      <c r="AG85" s="7" t="n">
        <f aca="false">IF(AND(O85=0,I85&gt;Inputs!$B$4-Inputs!$B$8,I85&lt;=Inputs!$B$4),1,0)</f>
        <v>1</v>
      </c>
      <c r="AH85" s="7" t="n">
        <f aca="false">I85-H85</f>
        <v>204</v>
      </c>
    </row>
    <row r="86" customFormat="false" ht="15" hidden="false" customHeight="false" outlineLevel="0" collapsed="false">
      <c r="A86" s="16" t="s">
        <v>795</v>
      </c>
      <c r="B86" s="16" t="s">
        <v>796</v>
      </c>
      <c r="C86" s="16" t="s">
        <v>797</v>
      </c>
      <c r="D86" s="16" t="s">
        <v>167</v>
      </c>
      <c r="E86" s="16" t="s">
        <v>528</v>
      </c>
      <c r="F86" s="26" t="n">
        <v>19063000</v>
      </c>
      <c r="G86" s="25" t="n">
        <v>50</v>
      </c>
      <c r="H86" s="22" t="n">
        <v>46205</v>
      </c>
      <c r="I86" s="22" t="n">
        <v>46381</v>
      </c>
      <c r="J86" s="22" t="n">
        <v>46281</v>
      </c>
      <c r="K86" s="16" t="s">
        <v>573</v>
      </c>
      <c r="L86" s="16" t="s">
        <v>584</v>
      </c>
      <c r="M86" s="16" t="s">
        <v>575</v>
      </c>
      <c r="N86" s="16"/>
      <c r="O86" s="7" t="n">
        <f aca="false">IF(OR(E86="Closed Won",E86="Closed Lost"),0,1)</f>
        <v>1</v>
      </c>
      <c r="P86" s="17" t="str">
        <f aca="false">INDEX(Accounts!$K$5:$K$336,MATCH(B86,Accounts!$A$5:$A$336,0))</f>
        <v>Technology, Media &amp; Telecom</v>
      </c>
      <c r="Q86" s="17" t="str">
        <f aca="false">INDEX(Accounts!$D$5:$D$336,MATCH(B86,Accounts!$A$5:$A$336,0))</f>
        <v>Key</v>
      </c>
      <c r="R86" s="7" t="n">
        <f aca="false">INDEX(Inputs!$B$11:$B$16,MATCH(E86,Inputs!$A$11:$A$16,0))</f>
        <v>50</v>
      </c>
      <c r="S86" s="27" t="n">
        <f aca="false">IF(F86="",0,F86)*R86/100</f>
        <v>9531500</v>
      </c>
      <c r="T86" s="7" t="n">
        <f aca="false">Inputs!$B$4-J86</f>
        <v>33</v>
      </c>
      <c r="U86" s="7" t="n">
        <f aca="false">IF(OR(F86="",F86=0),1,0)</f>
        <v>0</v>
      </c>
      <c r="V86" s="7" t="n">
        <f aca="false">IF(K86="",1,0)</f>
        <v>0</v>
      </c>
      <c r="W86" s="7" t="n">
        <f aca="false">IF(AND(O86=1,K86&lt;&gt;"",COUNTIFS(Owners!$A$5:$A$32,K86,Owners!$E$5:$E$32,"No")&gt;0),1,0)</f>
        <v>0</v>
      </c>
      <c r="X86" s="7" t="n">
        <f aca="false">IF(AND(O86=1,I86&lt;Inputs!$B$4),1,0)</f>
        <v>0</v>
      </c>
      <c r="Y86" s="7" t="n">
        <f aca="false">IF(AND(O86=1,T86&gt;Inputs!$B$5),1,0)</f>
        <v>0</v>
      </c>
      <c r="Z86" s="7" t="n">
        <f aca="false">IF(AND(O86=1,G86&lt;&gt;R86),1,0)</f>
        <v>0</v>
      </c>
      <c r="AA86" s="7" t="n">
        <f aca="false">IF(AND(O86=1,M86=""),1,0)</f>
        <v>0</v>
      </c>
      <c r="AB86" s="7" t="n">
        <f aca="false">IF(AND(E86="Closed Lost",N86=""),1,0)</f>
        <v>0</v>
      </c>
      <c r="AC86" s="7" t="n">
        <f aca="false">SUM(U86:AB86)</f>
        <v>0</v>
      </c>
      <c r="AD86" s="7" t="n">
        <f aca="false">IF(AC86=0,1,0)</f>
        <v>1</v>
      </c>
      <c r="AE86" s="7" t="n">
        <f aca="false">IF(AND(O86=1,I86&gt;=Inputs!$B$6,I86&lt;=Inputs!$B$7),1,0)</f>
        <v>1</v>
      </c>
      <c r="AF86" s="7" t="n">
        <f aca="false">IF(AND(E86="Closed Won",I86&gt;=Inputs!$B$6,I86&lt;=Inputs!$B$4),1,0)</f>
        <v>0</v>
      </c>
      <c r="AG86" s="7" t="n">
        <f aca="false">IF(AND(O86=0,I86&gt;Inputs!$B$4-Inputs!$B$8,I86&lt;=Inputs!$B$4),1,0)</f>
        <v>0</v>
      </c>
      <c r="AH86" s="7" t="n">
        <f aca="false">I86-H86</f>
        <v>176</v>
      </c>
    </row>
    <row r="87" customFormat="false" ht="15" hidden="false" customHeight="false" outlineLevel="0" collapsed="false">
      <c r="A87" s="16" t="s">
        <v>798</v>
      </c>
      <c r="B87" s="16" t="s">
        <v>799</v>
      </c>
      <c r="C87" s="16" t="s">
        <v>800</v>
      </c>
      <c r="D87" s="16" t="s">
        <v>177</v>
      </c>
      <c r="E87" s="16" t="s">
        <v>530</v>
      </c>
      <c r="F87" s="26" t="n">
        <v>30106000</v>
      </c>
      <c r="G87" s="25" t="n">
        <v>100</v>
      </c>
      <c r="H87" s="22" t="n">
        <v>46068</v>
      </c>
      <c r="I87" s="22" t="n">
        <v>46233</v>
      </c>
      <c r="J87" s="22" t="n">
        <v>46233</v>
      </c>
      <c r="K87" s="16" t="s">
        <v>637</v>
      </c>
      <c r="L87" s="16" t="s">
        <v>592</v>
      </c>
      <c r="M87" s="16"/>
      <c r="N87" s="16"/>
      <c r="O87" s="7" t="n">
        <f aca="false">IF(OR(E87="Closed Won",E87="Closed Lost"),0,1)</f>
        <v>0</v>
      </c>
      <c r="P87" s="17" t="str">
        <f aca="false">INDEX(Accounts!$K$5:$K$336,MATCH(B87,Accounts!$A$5:$A$336,0))</f>
        <v>Technology, Media &amp; Telecom</v>
      </c>
      <c r="Q87" s="17" t="str">
        <f aca="false">INDEX(Accounts!$D$5:$D$336,MATCH(B87,Accounts!$A$5:$A$336,0))</f>
        <v>Standard</v>
      </c>
      <c r="R87" s="7" t="n">
        <f aca="false">INDEX(Inputs!$B$11:$B$16,MATCH(E87,Inputs!$A$11:$A$16,0))</f>
        <v>100</v>
      </c>
      <c r="S87" s="27" t="n">
        <f aca="false">IF(F87="",0,F87)*R87/100</f>
        <v>30106000</v>
      </c>
      <c r="T87" s="7" t="n">
        <f aca="false">Inputs!$B$4-J87</f>
        <v>81</v>
      </c>
      <c r="U87" s="7" t="n">
        <f aca="false">IF(OR(F87="",F87=0),1,0)</f>
        <v>0</v>
      </c>
      <c r="V87" s="7" t="n">
        <f aca="false">IF(K87="",1,0)</f>
        <v>0</v>
      </c>
      <c r="W87" s="7" t="n">
        <f aca="false">IF(AND(O87=1,K87&lt;&gt;"",COUNTIFS(Owners!$A$5:$A$32,K87,Owners!$E$5:$E$32,"No")&gt;0),1,0)</f>
        <v>0</v>
      </c>
      <c r="X87" s="7" t="n">
        <f aca="false">IF(AND(O87=1,I87&lt;Inputs!$B$4),1,0)</f>
        <v>0</v>
      </c>
      <c r="Y87" s="7" t="n">
        <f aca="false">IF(AND(O87=1,T87&gt;Inputs!$B$5),1,0)</f>
        <v>0</v>
      </c>
      <c r="Z87" s="7" t="n">
        <f aca="false">IF(AND(O87=1,G87&lt;&gt;R87),1,0)</f>
        <v>0</v>
      </c>
      <c r="AA87" s="7" t="n">
        <f aca="false">IF(AND(O87=1,M87=""),1,0)</f>
        <v>0</v>
      </c>
      <c r="AB87" s="7" t="n">
        <f aca="false">IF(AND(E87="Closed Lost",N87=""),1,0)</f>
        <v>0</v>
      </c>
      <c r="AC87" s="7" t="n">
        <f aca="false">SUM(U87:AB87)</f>
        <v>0</v>
      </c>
      <c r="AD87" s="7" t="n">
        <f aca="false">IF(AC87=0,1,0)</f>
        <v>1</v>
      </c>
      <c r="AE87" s="7" t="n">
        <f aca="false">IF(AND(O87=1,I87&gt;=Inputs!$B$6,I87&lt;=Inputs!$B$7),1,0)</f>
        <v>0</v>
      </c>
      <c r="AF87" s="7" t="n">
        <f aca="false">IF(AND(E87="Closed Won",I87&gt;=Inputs!$B$6,I87&lt;=Inputs!$B$4),1,0)</f>
        <v>1</v>
      </c>
      <c r="AG87" s="7" t="n">
        <f aca="false">IF(AND(O87=0,I87&gt;Inputs!$B$4-Inputs!$B$8,I87&lt;=Inputs!$B$4),1,0)</f>
        <v>1</v>
      </c>
      <c r="AH87" s="7" t="n">
        <f aca="false">I87-H87</f>
        <v>165</v>
      </c>
    </row>
    <row r="88" customFormat="false" ht="15" hidden="false" customHeight="false" outlineLevel="0" collapsed="false">
      <c r="A88" s="16" t="s">
        <v>801</v>
      </c>
      <c r="B88" s="16" t="s">
        <v>343</v>
      </c>
      <c r="C88" s="16" t="s">
        <v>802</v>
      </c>
      <c r="D88" s="16" t="s">
        <v>165</v>
      </c>
      <c r="E88" s="16" t="s">
        <v>531</v>
      </c>
      <c r="F88" s="26" t="n">
        <v>11300000</v>
      </c>
      <c r="G88" s="25" t="n">
        <v>0</v>
      </c>
      <c r="H88" s="22" t="n">
        <v>46035</v>
      </c>
      <c r="I88" s="22" t="n">
        <v>46238</v>
      </c>
      <c r="J88" s="22" t="n">
        <v>46238</v>
      </c>
      <c r="K88" s="16" t="s">
        <v>588</v>
      </c>
      <c r="L88" s="16" t="s">
        <v>574</v>
      </c>
      <c r="M88" s="16"/>
      <c r="N88" s="16" t="s">
        <v>722</v>
      </c>
      <c r="O88" s="7" t="n">
        <f aca="false">IF(OR(E88="Closed Won",E88="Closed Lost"),0,1)</f>
        <v>0</v>
      </c>
      <c r="P88" s="17" t="str">
        <f aca="false">INDEX(Accounts!$K$5:$K$336,MATCH(B88,Accounts!$A$5:$A$336,0))</f>
        <v>Financial Services</v>
      </c>
      <c r="Q88" s="17" t="str">
        <f aca="false">INDEX(Accounts!$D$5:$D$336,MATCH(B88,Accounts!$A$5:$A$336,0))</f>
        <v>Standard</v>
      </c>
      <c r="R88" s="7" t="n">
        <f aca="false">INDEX(Inputs!$B$11:$B$16,MATCH(E88,Inputs!$A$11:$A$16,0))</f>
        <v>0</v>
      </c>
      <c r="S88" s="27" t="n">
        <f aca="false">IF(F88="",0,F88)*R88/100</f>
        <v>0</v>
      </c>
      <c r="T88" s="7" t="n">
        <f aca="false">Inputs!$B$4-J88</f>
        <v>76</v>
      </c>
      <c r="U88" s="7" t="n">
        <f aca="false">IF(OR(F88="",F88=0),1,0)</f>
        <v>0</v>
      </c>
      <c r="V88" s="7" t="n">
        <f aca="false">IF(K88="",1,0)</f>
        <v>0</v>
      </c>
      <c r="W88" s="7" t="n">
        <f aca="false">IF(AND(O88=1,K88&lt;&gt;"",COUNTIFS(Owners!$A$5:$A$32,K88,Owners!$E$5:$E$32,"No")&gt;0),1,0)</f>
        <v>0</v>
      </c>
      <c r="X88" s="7" t="n">
        <f aca="false">IF(AND(O88=1,I88&lt;Inputs!$B$4),1,0)</f>
        <v>0</v>
      </c>
      <c r="Y88" s="7" t="n">
        <f aca="false">IF(AND(O88=1,T88&gt;Inputs!$B$5),1,0)</f>
        <v>0</v>
      </c>
      <c r="Z88" s="7" t="n">
        <f aca="false">IF(AND(O88=1,G88&lt;&gt;R88),1,0)</f>
        <v>0</v>
      </c>
      <c r="AA88" s="7" t="n">
        <f aca="false">IF(AND(O88=1,M88=""),1,0)</f>
        <v>0</v>
      </c>
      <c r="AB88" s="7" t="n">
        <f aca="false">IF(AND(E88="Closed Lost",N88=""),1,0)</f>
        <v>0</v>
      </c>
      <c r="AC88" s="7" t="n">
        <f aca="false">SUM(U88:AB88)</f>
        <v>0</v>
      </c>
      <c r="AD88" s="7" t="n">
        <f aca="false">IF(AC88=0,1,0)</f>
        <v>1</v>
      </c>
      <c r="AE88" s="7" t="n">
        <f aca="false">IF(AND(O88=1,I88&gt;=Inputs!$B$6,I88&lt;=Inputs!$B$7),1,0)</f>
        <v>0</v>
      </c>
      <c r="AF88" s="7" t="n">
        <f aca="false">IF(AND(E88="Closed Won",I88&gt;=Inputs!$B$6,I88&lt;=Inputs!$B$4),1,0)</f>
        <v>0</v>
      </c>
      <c r="AG88" s="7" t="n">
        <f aca="false">IF(AND(O88=0,I88&gt;Inputs!$B$4-Inputs!$B$8,I88&lt;=Inputs!$B$4),1,0)</f>
        <v>1</v>
      </c>
      <c r="AH88" s="7" t="n">
        <f aca="false">I88-H88</f>
        <v>203</v>
      </c>
    </row>
    <row r="89" customFormat="false" ht="15" hidden="false" customHeight="false" outlineLevel="0" collapsed="false">
      <c r="A89" s="16" t="s">
        <v>803</v>
      </c>
      <c r="B89" s="16" t="s">
        <v>804</v>
      </c>
      <c r="C89" s="16" t="s">
        <v>805</v>
      </c>
      <c r="D89" s="16" t="s">
        <v>167</v>
      </c>
      <c r="E89" s="16" t="s">
        <v>529</v>
      </c>
      <c r="F89" s="26" t="n">
        <v>3360000</v>
      </c>
      <c r="G89" s="25" t="n">
        <v>75</v>
      </c>
      <c r="H89" s="22" t="n">
        <v>46199</v>
      </c>
      <c r="I89" s="22" t="n">
        <v>46499</v>
      </c>
      <c r="J89" s="22" t="n">
        <v>46297</v>
      </c>
      <c r="K89" s="16" t="s">
        <v>567</v>
      </c>
      <c r="L89" s="16" t="s">
        <v>500</v>
      </c>
      <c r="M89" s="16" t="s">
        <v>569</v>
      </c>
      <c r="N89" s="16"/>
      <c r="O89" s="7" t="n">
        <f aca="false">IF(OR(E89="Closed Won",E89="Closed Lost"),0,1)</f>
        <v>1</v>
      </c>
      <c r="P89" s="17" t="str">
        <f aca="false">INDEX(Accounts!$K$5:$K$336,MATCH(B89,Accounts!$A$5:$A$336,0))</f>
        <v>Health</v>
      </c>
      <c r="Q89" s="17" t="str">
        <f aca="false">INDEX(Accounts!$D$5:$D$336,MATCH(B89,Accounts!$A$5:$A$336,0))</f>
        <v>Key</v>
      </c>
      <c r="R89" s="7" t="n">
        <f aca="false">INDEX(Inputs!$B$11:$B$16,MATCH(E89,Inputs!$A$11:$A$16,0))</f>
        <v>75</v>
      </c>
      <c r="S89" s="27" t="n">
        <f aca="false">IF(F89="",0,F89)*R89/100</f>
        <v>2520000</v>
      </c>
      <c r="T89" s="7" t="n">
        <f aca="false">Inputs!$B$4-J89</f>
        <v>17</v>
      </c>
      <c r="U89" s="7" t="n">
        <f aca="false">IF(OR(F89="",F89=0),1,0)</f>
        <v>0</v>
      </c>
      <c r="V89" s="7" t="n">
        <f aca="false">IF(K89="",1,0)</f>
        <v>0</v>
      </c>
      <c r="W89" s="7" t="n">
        <f aca="false">IF(AND(O89=1,K89&lt;&gt;"",COUNTIFS(Owners!$A$5:$A$32,K89,Owners!$E$5:$E$32,"No")&gt;0),1,0)</f>
        <v>0</v>
      </c>
      <c r="X89" s="7" t="n">
        <f aca="false">IF(AND(O89=1,I89&lt;Inputs!$B$4),1,0)</f>
        <v>0</v>
      </c>
      <c r="Y89" s="7" t="n">
        <f aca="false">IF(AND(O89=1,T89&gt;Inputs!$B$5),1,0)</f>
        <v>0</v>
      </c>
      <c r="Z89" s="7" t="n">
        <f aca="false">IF(AND(O89=1,G89&lt;&gt;R89),1,0)</f>
        <v>0</v>
      </c>
      <c r="AA89" s="7" t="n">
        <f aca="false">IF(AND(O89=1,M89=""),1,0)</f>
        <v>0</v>
      </c>
      <c r="AB89" s="7" t="n">
        <f aca="false">IF(AND(E89="Closed Lost",N89=""),1,0)</f>
        <v>0</v>
      </c>
      <c r="AC89" s="7" t="n">
        <f aca="false">SUM(U89:AB89)</f>
        <v>0</v>
      </c>
      <c r="AD89" s="7" t="n">
        <f aca="false">IF(AC89=0,1,0)</f>
        <v>1</v>
      </c>
      <c r="AE89" s="7" t="n">
        <f aca="false">IF(AND(O89=1,I89&gt;=Inputs!$B$6,I89&lt;=Inputs!$B$7),1,0)</f>
        <v>1</v>
      </c>
      <c r="AF89" s="7" t="n">
        <f aca="false">IF(AND(E89="Closed Won",I89&gt;=Inputs!$B$6,I89&lt;=Inputs!$B$4),1,0)</f>
        <v>0</v>
      </c>
      <c r="AG89" s="7" t="n">
        <f aca="false">IF(AND(O89=0,I89&gt;Inputs!$B$4-Inputs!$B$8,I89&lt;=Inputs!$B$4),1,0)</f>
        <v>0</v>
      </c>
      <c r="AH89" s="7" t="n">
        <f aca="false">I89-H89</f>
        <v>300</v>
      </c>
    </row>
    <row r="90" customFormat="false" ht="15" hidden="false" customHeight="false" outlineLevel="0" collapsed="false">
      <c r="A90" s="16" t="s">
        <v>806</v>
      </c>
      <c r="B90" s="16" t="s">
        <v>89</v>
      </c>
      <c r="C90" s="16" t="s">
        <v>807</v>
      </c>
      <c r="D90" s="16" t="s">
        <v>167</v>
      </c>
      <c r="E90" s="16" t="s">
        <v>528</v>
      </c>
      <c r="F90" s="26" t="n">
        <v>6045000</v>
      </c>
      <c r="G90" s="25" t="n">
        <v>50</v>
      </c>
      <c r="H90" s="22" t="n">
        <v>46183</v>
      </c>
      <c r="I90" s="22" t="n">
        <v>46396</v>
      </c>
      <c r="J90" s="22" t="n">
        <v>46293</v>
      </c>
      <c r="K90" s="16" t="s">
        <v>704</v>
      </c>
      <c r="L90" s="16" t="s">
        <v>584</v>
      </c>
      <c r="M90" s="16" t="s">
        <v>575</v>
      </c>
      <c r="N90" s="16"/>
      <c r="O90" s="7" t="n">
        <f aca="false">IF(OR(E90="Closed Won",E90="Closed Lost"),0,1)</f>
        <v>1</v>
      </c>
      <c r="P90" s="17" t="str">
        <f aca="false">INDEX(Accounts!$K$5:$K$336,MATCH(B90,Accounts!$A$5:$A$336,0))</f>
        <v>Agribusiness</v>
      </c>
      <c r="Q90" s="17" t="str">
        <f aca="false">INDEX(Accounts!$D$5:$D$336,MATCH(B90,Accounts!$A$5:$A$336,0))</f>
        <v>Priority</v>
      </c>
      <c r="R90" s="7" t="n">
        <f aca="false">INDEX(Inputs!$B$11:$B$16,MATCH(E90,Inputs!$A$11:$A$16,0))</f>
        <v>50</v>
      </c>
      <c r="S90" s="27" t="n">
        <f aca="false">IF(F90="",0,F90)*R90/100</f>
        <v>3022500</v>
      </c>
      <c r="T90" s="7" t="n">
        <f aca="false">Inputs!$B$4-J90</f>
        <v>21</v>
      </c>
      <c r="U90" s="7" t="n">
        <f aca="false">IF(OR(F90="",F90=0),1,0)</f>
        <v>0</v>
      </c>
      <c r="V90" s="7" t="n">
        <f aca="false">IF(K90="",1,0)</f>
        <v>0</v>
      </c>
      <c r="W90" s="7" t="n">
        <f aca="false">IF(AND(O90=1,K90&lt;&gt;"",COUNTIFS(Owners!$A$5:$A$32,K90,Owners!$E$5:$E$32,"No")&gt;0),1,0)</f>
        <v>0</v>
      </c>
      <c r="X90" s="7" t="n">
        <f aca="false">IF(AND(O90=1,I90&lt;Inputs!$B$4),1,0)</f>
        <v>0</v>
      </c>
      <c r="Y90" s="7" t="n">
        <f aca="false">IF(AND(O90=1,T90&gt;Inputs!$B$5),1,0)</f>
        <v>0</v>
      </c>
      <c r="Z90" s="7" t="n">
        <f aca="false">IF(AND(O90=1,G90&lt;&gt;R90),1,0)</f>
        <v>0</v>
      </c>
      <c r="AA90" s="7" t="n">
        <f aca="false">IF(AND(O90=1,M90=""),1,0)</f>
        <v>0</v>
      </c>
      <c r="AB90" s="7" t="n">
        <f aca="false">IF(AND(E90="Closed Lost",N90=""),1,0)</f>
        <v>0</v>
      </c>
      <c r="AC90" s="7" t="n">
        <f aca="false">SUM(U90:AB90)</f>
        <v>0</v>
      </c>
      <c r="AD90" s="7" t="n">
        <f aca="false">IF(AC90=0,1,0)</f>
        <v>1</v>
      </c>
      <c r="AE90" s="7" t="n">
        <f aca="false">IF(AND(O90=1,I90&gt;=Inputs!$B$6,I90&lt;=Inputs!$B$7),1,0)</f>
        <v>1</v>
      </c>
      <c r="AF90" s="7" t="n">
        <f aca="false">IF(AND(E90="Closed Won",I90&gt;=Inputs!$B$6,I90&lt;=Inputs!$B$4),1,0)</f>
        <v>0</v>
      </c>
      <c r="AG90" s="7" t="n">
        <f aca="false">IF(AND(O90=0,I90&gt;Inputs!$B$4-Inputs!$B$8,I90&lt;=Inputs!$B$4),1,0)</f>
        <v>0</v>
      </c>
      <c r="AH90" s="7" t="n">
        <f aca="false">I90-H90</f>
        <v>213</v>
      </c>
    </row>
    <row r="91" customFormat="false" ht="15" hidden="false" customHeight="false" outlineLevel="0" collapsed="false">
      <c r="A91" s="16" t="s">
        <v>808</v>
      </c>
      <c r="B91" s="16" t="s">
        <v>796</v>
      </c>
      <c r="C91" s="16" t="s">
        <v>797</v>
      </c>
      <c r="D91" s="16" t="s">
        <v>167</v>
      </c>
      <c r="E91" s="16" t="s">
        <v>528</v>
      </c>
      <c r="F91" s="26" t="n">
        <v>5261000</v>
      </c>
      <c r="G91" s="25" t="n">
        <v>50</v>
      </c>
      <c r="H91" s="22" t="n">
        <v>46115</v>
      </c>
      <c r="I91" s="22" t="n">
        <v>46512</v>
      </c>
      <c r="J91" s="22" t="n">
        <v>46288</v>
      </c>
      <c r="K91" s="16" t="s">
        <v>573</v>
      </c>
      <c r="L91" s="16" t="s">
        <v>609</v>
      </c>
      <c r="M91" s="16" t="s">
        <v>613</v>
      </c>
      <c r="N91" s="16"/>
      <c r="O91" s="7" t="n">
        <f aca="false">IF(OR(E91="Closed Won",E91="Closed Lost"),0,1)</f>
        <v>1</v>
      </c>
      <c r="P91" s="17" t="str">
        <f aca="false">INDEX(Accounts!$K$5:$K$336,MATCH(B91,Accounts!$A$5:$A$336,0))</f>
        <v>Technology, Media &amp; Telecom</v>
      </c>
      <c r="Q91" s="17" t="str">
        <f aca="false">INDEX(Accounts!$D$5:$D$336,MATCH(B91,Accounts!$A$5:$A$336,0))</f>
        <v>Key</v>
      </c>
      <c r="R91" s="7" t="n">
        <f aca="false">INDEX(Inputs!$B$11:$B$16,MATCH(E91,Inputs!$A$11:$A$16,0))</f>
        <v>50</v>
      </c>
      <c r="S91" s="27" t="n">
        <f aca="false">IF(F91="",0,F91)*R91/100</f>
        <v>2630500</v>
      </c>
      <c r="T91" s="7" t="n">
        <f aca="false">Inputs!$B$4-J91</f>
        <v>26</v>
      </c>
      <c r="U91" s="7" t="n">
        <f aca="false">IF(OR(F91="",F91=0),1,0)</f>
        <v>0</v>
      </c>
      <c r="V91" s="7" t="n">
        <f aca="false">IF(K91="",1,0)</f>
        <v>0</v>
      </c>
      <c r="W91" s="7" t="n">
        <f aca="false">IF(AND(O91=1,K91&lt;&gt;"",COUNTIFS(Owners!$A$5:$A$32,K91,Owners!$E$5:$E$32,"No")&gt;0),1,0)</f>
        <v>0</v>
      </c>
      <c r="X91" s="7" t="n">
        <f aca="false">IF(AND(O91=1,I91&lt;Inputs!$B$4),1,0)</f>
        <v>0</v>
      </c>
      <c r="Y91" s="7" t="n">
        <f aca="false">IF(AND(O91=1,T91&gt;Inputs!$B$5),1,0)</f>
        <v>0</v>
      </c>
      <c r="Z91" s="7" t="n">
        <f aca="false">IF(AND(O91=1,G91&lt;&gt;R91),1,0)</f>
        <v>0</v>
      </c>
      <c r="AA91" s="7" t="n">
        <f aca="false">IF(AND(O91=1,M91=""),1,0)</f>
        <v>0</v>
      </c>
      <c r="AB91" s="7" t="n">
        <f aca="false">IF(AND(E91="Closed Lost",N91=""),1,0)</f>
        <v>0</v>
      </c>
      <c r="AC91" s="7" t="n">
        <f aca="false">SUM(U91:AB91)</f>
        <v>0</v>
      </c>
      <c r="AD91" s="7" t="n">
        <f aca="false">IF(AC91=0,1,0)</f>
        <v>1</v>
      </c>
      <c r="AE91" s="7" t="n">
        <f aca="false">IF(AND(O91=1,I91&gt;=Inputs!$B$6,I91&lt;=Inputs!$B$7),1,0)</f>
        <v>1</v>
      </c>
      <c r="AF91" s="7" t="n">
        <f aca="false">IF(AND(E91="Closed Won",I91&gt;=Inputs!$B$6,I91&lt;=Inputs!$B$4),1,0)</f>
        <v>0</v>
      </c>
      <c r="AG91" s="7" t="n">
        <f aca="false">IF(AND(O91=0,I91&gt;Inputs!$B$4-Inputs!$B$8,I91&lt;=Inputs!$B$4),1,0)</f>
        <v>0</v>
      </c>
      <c r="AH91" s="7" t="n">
        <f aca="false">I91-H91</f>
        <v>397</v>
      </c>
    </row>
    <row r="92" customFormat="false" ht="15" hidden="false" customHeight="false" outlineLevel="0" collapsed="false">
      <c r="A92" s="16" t="s">
        <v>809</v>
      </c>
      <c r="B92" s="16" t="s">
        <v>810</v>
      </c>
      <c r="C92" s="16" t="s">
        <v>811</v>
      </c>
      <c r="D92" s="16" t="s">
        <v>167</v>
      </c>
      <c r="E92" s="16" t="s">
        <v>527</v>
      </c>
      <c r="F92" s="26" t="n">
        <v>5846000</v>
      </c>
      <c r="G92" s="25" t="n">
        <v>25</v>
      </c>
      <c r="H92" s="22" t="n">
        <v>46188</v>
      </c>
      <c r="I92" s="22" t="n">
        <v>46554</v>
      </c>
      <c r="J92" s="22" t="n">
        <v>46135</v>
      </c>
      <c r="K92" s="16" t="s">
        <v>583</v>
      </c>
      <c r="L92" s="16" t="s">
        <v>584</v>
      </c>
      <c r="M92" s="16" t="s">
        <v>601</v>
      </c>
      <c r="N92" s="16"/>
      <c r="O92" s="7" t="n">
        <f aca="false">IF(OR(E92="Closed Won",E92="Closed Lost"),0,1)</f>
        <v>1</v>
      </c>
      <c r="P92" s="17" t="str">
        <f aca="false">INDEX(Accounts!$K$5:$K$336,MATCH(B92,Accounts!$A$5:$A$336,0))</f>
        <v>Financial Services</v>
      </c>
      <c r="Q92" s="17" t="str">
        <f aca="false">INDEX(Accounts!$D$5:$D$336,MATCH(B92,Accounts!$A$5:$A$336,0))</f>
        <v>Key</v>
      </c>
      <c r="R92" s="7" t="n">
        <f aca="false">INDEX(Inputs!$B$11:$B$16,MATCH(E92,Inputs!$A$11:$A$16,0))</f>
        <v>25</v>
      </c>
      <c r="S92" s="27" t="n">
        <f aca="false">IF(F92="",0,F92)*R92/100</f>
        <v>1461500</v>
      </c>
      <c r="T92" s="7" t="n">
        <f aca="false">Inputs!$B$4-J92</f>
        <v>179</v>
      </c>
      <c r="U92" s="7" t="n">
        <f aca="false">IF(OR(F92="",F92=0),1,0)</f>
        <v>0</v>
      </c>
      <c r="V92" s="7" t="n">
        <f aca="false">IF(K92="",1,0)</f>
        <v>0</v>
      </c>
      <c r="W92" s="7" t="n">
        <f aca="false">IF(AND(O92=1,K92&lt;&gt;"",COUNTIFS(Owners!$A$5:$A$32,K92,Owners!$E$5:$E$32,"No")&gt;0),1,0)</f>
        <v>1</v>
      </c>
      <c r="X92" s="7" t="n">
        <f aca="false">IF(AND(O92=1,I92&lt;Inputs!$B$4),1,0)</f>
        <v>0</v>
      </c>
      <c r="Y92" s="7" t="n">
        <f aca="false">IF(AND(O92=1,T92&gt;Inputs!$B$5),1,0)</f>
        <v>1</v>
      </c>
      <c r="Z92" s="7" t="n">
        <f aca="false">IF(AND(O92=1,G92&lt;&gt;R92),1,0)</f>
        <v>0</v>
      </c>
      <c r="AA92" s="7" t="n">
        <f aca="false">IF(AND(O92=1,M92=""),1,0)</f>
        <v>0</v>
      </c>
      <c r="AB92" s="7" t="n">
        <f aca="false">IF(AND(E92="Closed Lost",N92=""),1,0)</f>
        <v>0</v>
      </c>
      <c r="AC92" s="7" t="n">
        <f aca="false">SUM(U92:AB92)</f>
        <v>2</v>
      </c>
      <c r="AD92" s="7" t="n">
        <f aca="false">IF(AC92=0,1,0)</f>
        <v>0</v>
      </c>
      <c r="AE92" s="7" t="n">
        <f aca="false">IF(AND(O92=1,I92&gt;=Inputs!$B$6,I92&lt;=Inputs!$B$7),1,0)</f>
        <v>1</v>
      </c>
      <c r="AF92" s="7" t="n">
        <f aca="false">IF(AND(E92="Closed Won",I92&gt;=Inputs!$B$6,I92&lt;=Inputs!$B$4),1,0)</f>
        <v>0</v>
      </c>
      <c r="AG92" s="7" t="n">
        <f aca="false">IF(AND(O92=0,I92&gt;Inputs!$B$4-Inputs!$B$8,I92&lt;=Inputs!$B$4),1,0)</f>
        <v>0</v>
      </c>
      <c r="AH92" s="7" t="n">
        <f aca="false">I92-H92</f>
        <v>366</v>
      </c>
    </row>
    <row r="93" customFormat="false" ht="15" hidden="false" customHeight="false" outlineLevel="0" collapsed="false">
      <c r="A93" s="16" t="s">
        <v>812</v>
      </c>
      <c r="B93" s="16" t="s">
        <v>69</v>
      </c>
      <c r="C93" s="16" t="s">
        <v>813</v>
      </c>
      <c r="D93" s="16" t="s">
        <v>162</v>
      </c>
      <c r="E93" s="16" t="s">
        <v>530</v>
      </c>
      <c r="F93" s="26"/>
      <c r="G93" s="25" t="n">
        <v>100</v>
      </c>
      <c r="H93" s="22" t="n">
        <v>46045</v>
      </c>
      <c r="I93" s="22" t="n">
        <v>46136</v>
      </c>
      <c r="J93" s="22" t="n">
        <v>46136</v>
      </c>
      <c r="K93" s="16" t="s">
        <v>704</v>
      </c>
      <c r="L93" s="16" t="s">
        <v>584</v>
      </c>
      <c r="M93" s="16"/>
      <c r="N93" s="16"/>
      <c r="O93" s="7" t="n">
        <f aca="false">IF(OR(E93="Closed Won",E93="Closed Lost"),0,1)</f>
        <v>0</v>
      </c>
      <c r="P93" s="17" t="str">
        <f aca="false">INDEX(Accounts!$K$5:$K$336,MATCH(B93,Accounts!$A$5:$A$336,0))</f>
        <v>Financial Services</v>
      </c>
      <c r="Q93" s="17" t="str">
        <f aca="false">INDEX(Accounts!$D$5:$D$336,MATCH(B93,Accounts!$A$5:$A$336,0))</f>
        <v>Priority</v>
      </c>
      <c r="R93" s="7" t="n">
        <f aca="false">INDEX(Inputs!$B$11:$B$16,MATCH(E93,Inputs!$A$11:$A$16,0))</f>
        <v>100</v>
      </c>
      <c r="S93" s="27" t="n">
        <f aca="false">IF(F93="",0,F93)*R93/100</f>
        <v>0</v>
      </c>
      <c r="T93" s="7" t="n">
        <f aca="false">Inputs!$B$4-J93</f>
        <v>178</v>
      </c>
      <c r="U93" s="7" t="n">
        <f aca="false">IF(OR(F93="",F93=0),1,0)</f>
        <v>1</v>
      </c>
      <c r="V93" s="7" t="n">
        <f aca="false">IF(K93="",1,0)</f>
        <v>0</v>
      </c>
      <c r="W93" s="7" t="n">
        <f aca="false">IF(AND(O93=1,K93&lt;&gt;"",COUNTIFS(Owners!$A$5:$A$32,K93,Owners!$E$5:$E$32,"No")&gt;0),1,0)</f>
        <v>0</v>
      </c>
      <c r="X93" s="7" t="n">
        <f aca="false">IF(AND(O93=1,I93&lt;Inputs!$B$4),1,0)</f>
        <v>0</v>
      </c>
      <c r="Y93" s="7" t="n">
        <f aca="false">IF(AND(O93=1,T93&gt;Inputs!$B$5),1,0)</f>
        <v>0</v>
      </c>
      <c r="Z93" s="7" t="n">
        <f aca="false">IF(AND(O93=1,G93&lt;&gt;R93),1,0)</f>
        <v>0</v>
      </c>
      <c r="AA93" s="7" t="n">
        <f aca="false">IF(AND(O93=1,M93=""),1,0)</f>
        <v>0</v>
      </c>
      <c r="AB93" s="7" t="n">
        <f aca="false">IF(AND(E93="Closed Lost",N93=""),1,0)</f>
        <v>0</v>
      </c>
      <c r="AC93" s="7" t="n">
        <f aca="false">SUM(U93:AB93)</f>
        <v>1</v>
      </c>
      <c r="AD93" s="7" t="n">
        <f aca="false">IF(AC93=0,1,0)</f>
        <v>0</v>
      </c>
      <c r="AE93" s="7" t="n">
        <f aca="false">IF(AND(O93=1,I93&gt;=Inputs!$B$6,I93&lt;=Inputs!$B$7),1,0)</f>
        <v>0</v>
      </c>
      <c r="AF93" s="7" t="n">
        <f aca="false">IF(AND(E93="Closed Won",I93&gt;=Inputs!$B$6,I93&lt;=Inputs!$B$4),1,0)</f>
        <v>0</v>
      </c>
      <c r="AG93" s="7" t="n">
        <f aca="false">IF(AND(O93=0,I93&gt;Inputs!$B$4-Inputs!$B$8,I93&lt;=Inputs!$B$4),1,0)</f>
        <v>1</v>
      </c>
      <c r="AH93" s="7" t="n">
        <f aca="false">I93-H93</f>
        <v>91</v>
      </c>
    </row>
    <row r="94" customFormat="false" ht="15" hidden="false" customHeight="false" outlineLevel="0" collapsed="false">
      <c r="A94" s="16" t="s">
        <v>814</v>
      </c>
      <c r="B94" s="16" t="s">
        <v>815</v>
      </c>
      <c r="C94" s="16" t="s">
        <v>816</v>
      </c>
      <c r="D94" s="16" t="s">
        <v>165</v>
      </c>
      <c r="E94" s="16" t="s">
        <v>531</v>
      </c>
      <c r="F94" s="26" t="n">
        <v>78775000</v>
      </c>
      <c r="G94" s="25" t="n">
        <v>0</v>
      </c>
      <c r="H94" s="22" t="n">
        <v>46061</v>
      </c>
      <c r="I94" s="22" t="n">
        <v>46308</v>
      </c>
      <c r="J94" s="22" t="n">
        <v>46308</v>
      </c>
      <c r="K94" s="16" t="s">
        <v>588</v>
      </c>
      <c r="L94" s="16" t="s">
        <v>568</v>
      </c>
      <c r="M94" s="16"/>
      <c r="N94" s="16"/>
      <c r="O94" s="7" t="n">
        <f aca="false">IF(OR(E94="Closed Won",E94="Closed Lost"),0,1)</f>
        <v>0</v>
      </c>
      <c r="P94" s="17" t="str">
        <f aca="false">INDEX(Accounts!$K$5:$K$336,MATCH(B94,Accounts!$A$5:$A$336,0))</f>
        <v>Financial Services</v>
      </c>
      <c r="Q94" s="17" t="str">
        <f aca="false">INDEX(Accounts!$D$5:$D$336,MATCH(B94,Accounts!$A$5:$A$336,0))</f>
        <v>Standard</v>
      </c>
      <c r="R94" s="7" t="n">
        <f aca="false">INDEX(Inputs!$B$11:$B$16,MATCH(E94,Inputs!$A$11:$A$16,0))</f>
        <v>0</v>
      </c>
      <c r="S94" s="27" t="n">
        <f aca="false">IF(F94="",0,F94)*R94/100</f>
        <v>0</v>
      </c>
      <c r="T94" s="7" t="n">
        <f aca="false">Inputs!$B$4-J94</f>
        <v>6</v>
      </c>
      <c r="U94" s="7" t="n">
        <f aca="false">IF(OR(F94="",F94=0),1,0)</f>
        <v>0</v>
      </c>
      <c r="V94" s="7" t="n">
        <f aca="false">IF(K94="",1,0)</f>
        <v>0</v>
      </c>
      <c r="W94" s="7" t="n">
        <f aca="false">IF(AND(O94=1,K94&lt;&gt;"",COUNTIFS(Owners!$A$5:$A$32,K94,Owners!$E$5:$E$32,"No")&gt;0),1,0)</f>
        <v>0</v>
      </c>
      <c r="X94" s="7" t="n">
        <f aca="false">IF(AND(O94=1,I94&lt;Inputs!$B$4),1,0)</f>
        <v>0</v>
      </c>
      <c r="Y94" s="7" t="n">
        <f aca="false">IF(AND(O94=1,T94&gt;Inputs!$B$5),1,0)</f>
        <v>0</v>
      </c>
      <c r="Z94" s="7" t="n">
        <f aca="false">IF(AND(O94=1,G94&lt;&gt;R94),1,0)</f>
        <v>0</v>
      </c>
      <c r="AA94" s="7" t="n">
        <f aca="false">IF(AND(O94=1,M94=""),1,0)</f>
        <v>0</v>
      </c>
      <c r="AB94" s="7" t="n">
        <f aca="false">IF(AND(E94="Closed Lost",N94=""),1,0)</f>
        <v>1</v>
      </c>
      <c r="AC94" s="7" t="n">
        <f aca="false">SUM(U94:AB94)</f>
        <v>1</v>
      </c>
      <c r="AD94" s="7" t="n">
        <f aca="false">IF(AC94=0,1,0)</f>
        <v>0</v>
      </c>
      <c r="AE94" s="7" t="n">
        <f aca="false">IF(AND(O94=1,I94&gt;=Inputs!$B$6,I94&lt;=Inputs!$B$7),1,0)</f>
        <v>0</v>
      </c>
      <c r="AF94" s="7" t="n">
        <f aca="false">IF(AND(E94="Closed Won",I94&gt;=Inputs!$B$6,I94&lt;=Inputs!$B$4),1,0)</f>
        <v>0</v>
      </c>
      <c r="AG94" s="7" t="n">
        <f aca="false">IF(AND(O94=0,I94&gt;Inputs!$B$4-Inputs!$B$8,I94&lt;=Inputs!$B$4),1,0)</f>
        <v>1</v>
      </c>
      <c r="AH94" s="7" t="n">
        <f aca="false">I94-H94</f>
        <v>247</v>
      </c>
    </row>
    <row r="95" customFormat="false" ht="15" hidden="false" customHeight="false" outlineLevel="0" collapsed="false">
      <c r="A95" s="16" t="s">
        <v>817</v>
      </c>
      <c r="B95" s="16" t="s">
        <v>644</v>
      </c>
      <c r="C95" s="16" t="s">
        <v>818</v>
      </c>
      <c r="D95" s="16" t="s">
        <v>167</v>
      </c>
      <c r="E95" s="16" t="s">
        <v>531</v>
      </c>
      <c r="F95" s="26" t="n">
        <v>5883000</v>
      </c>
      <c r="G95" s="25" t="n">
        <v>0</v>
      </c>
      <c r="H95" s="22" t="n">
        <v>45992</v>
      </c>
      <c r="I95" s="22" t="n">
        <v>46199</v>
      </c>
      <c r="J95" s="22" t="n">
        <v>46199</v>
      </c>
      <c r="K95" s="16" t="s">
        <v>646</v>
      </c>
      <c r="L95" s="16" t="s">
        <v>568</v>
      </c>
      <c r="M95" s="16"/>
      <c r="N95" s="16" t="s">
        <v>579</v>
      </c>
      <c r="O95" s="7" t="n">
        <f aca="false">IF(OR(E95="Closed Won",E95="Closed Lost"),0,1)</f>
        <v>0</v>
      </c>
      <c r="P95" s="17" t="str">
        <f aca="false">INDEX(Accounts!$K$5:$K$336,MATCH(B95,Accounts!$A$5:$A$336,0))</f>
        <v>Consumer &amp; Retail</v>
      </c>
      <c r="Q95" s="17" t="str">
        <f aca="false">INDEX(Accounts!$D$5:$D$336,MATCH(B95,Accounts!$A$5:$A$336,0))</f>
        <v>Key</v>
      </c>
      <c r="R95" s="7" t="n">
        <f aca="false">INDEX(Inputs!$B$11:$B$16,MATCH(E95,Inputs!$A$11:$A$16,0))</f>
        <v>0</v>
      </c>
      <c r="S95" s="27" t="n">
        <f aca="false">IF(F95="",0,F95)*R95/100</f>
        <v>0</v>
      </c>
      <c r="T95" s="7" t="n">
        <f aca="false">Inputs!$B$4-J95</f>
        <v>115</v>
      </c>
      <c r="U95" s="7" t="n">
        <f aca="false">IF(OR(F95="",F95=0),1,0)</f>
        <v>0</v>
      </c>
      <c r="V95" s="7" t="n">
        <f aca="false">IF(K95="",1,0)</f>
        <v>0</v>
      </c>
      <c r="W95" s="7" t="n">
        <f aca="false">IF(AND(O95=1,K95&lt;&gt;"",COUNTIFS(Owners!$A$5:$A$32,K95,Owners!$E$5:$E$32,"No")&gt;0),1,0)</f>
        <v>0</v>
      </c>
      <c r="X95" s="7" t="n">
        <f aca="false">IF(AND(O95=1,I95&lt;Inputs!$B$4),1,0)</f>
        <v>0</v>
      </c>
      <c r="Y95" s="7" t="n">
        <f aca="false">IF(AND(O95=1,T95&gt;Inputs!$B$5),1,0)</f>
        <v>0</v>
      </c>
      <c r="Z95" s="7" t="n">
        <f aca="false">IF(AND(O95=1,G95&lt;&gt;R95),1,0)</f>
        <v>0</v>
      </c>
      <c r="AA95" s="7" t="n">
        <f aca="false">IF(AND(O95=1,M95=""),1,0)</f>
        <v>0</v>
      </c>
      <c r="AB95" s="7" t="n">
        <f aca="false">IF(AND(E95="Closed Lost",N95=""),1,0)</f>
        <v>0</v>
      </c>
      <c r="AC95" s="7" t="n">
        <f aca="false">SUM(U95:AB95)</f>
        <v>0</v>
      </c>
      <c r="AD95" s="7" t="n">
        <f aca="false">IF(AC95=0,1,0)</f>
        <v>1</v>
      </c>
      <c r="AE95" s="7" t="n">
        <f aca="false">IF(AND(O95=1,I95&gt;=Inputs!$B$6,I95&lt;=Inputs!$B$7),1,0)</f>
        <v>0</v>
      </c>
      <c r="AF95" s="7" t="n">
        <f aca="false">IF(AND(E95="Closed Won",I95&gt;=Inputs!$B$6,I95&lt;=Inputs!$B$4),1,0)</f>
        <v>0</v>
      </c>
      <c r="AG95" s="7" t="n">
        <f aca="false">IF(AND(O95=0,I95&gt;Inputs!$B$4-Inputs!$B$8,I95&lt;=Inputs!$B$4),1,0)</f>
        <v>1</v>
      </c>
      <c r="AH95" s="7" t="n">
        <f aca="false">I95-H95</f>
        <v>207</v>
      </c>
    </row>
    <row r="96" customFormat="false" ht="15" hidden="false" customHeight="false" outlineLevel="0" collapsed="false">
      <c r="A96" s="16" t="s">
        <v>819</v>
      </c>
      <c r="B96" s="16" t="s">
        <v>68</v>
      </c>
      <c r="C96" s="16" t="s">
        <v>820</v>
      </c>
      <c r="D96" s="16" t="s">
        <v>167</v>
      </c>
      <c r="E96" s="16" t="s">
        <v>531</v>
      </c>
      <c r="F96" s="26" t="n">
        <v>2668000</v>
      </c>
      <c r="G96" s="25" t="n">
        <v>0</v>
      </c>
      <c r="H96" s="22" t="n">
        <v>46051</v>
      </c>
      <c r="I96" s="22" t="n">
        <v>46238</v>
      </c>
      <c r="J96" s="22" t="n">
        <v>46238</v>
      </c>
      <c r="K96" s="16" t="s">
        <v>704</v>
      </c>
      <c r="L96" s="16" t="s">
        <v>500</v>
      </c>
      <c r="M96" s="16"/>
      <c r="N96" s="16" t="s">
        <v>697</v>
      </c>
      <c r="O96" s="7" t="n">
        <f aca="false">IF(OR(E96="Closed Won",E96="Closed Lost"),0,1)</f>
        <v>0</v>
      </c>
      <c r="P96" s="17" t="str">
        <f aca="false">INDEX(Accounts!$K$5:$K$336,MATCH(B96,Accounts!$A$5:$A$336,0))</f>
        <v>Financial Services</v>
      </c>
      <c r="Q96" s="17" t="str">
        <f aca="false">INDEX(Accounts!$D$5:$D$336,MATCH(B96,Accounts!$A$5:$A$336,0))</f>
        <v>Priority</v>
      </c>
      <c r="R96" s="7" t="n">
        <f aca="false">INDEX(Inputs!$B$11:$B$16,MATCH(E96,Inputs!$A$11:$A$16,0))</f>
        <v>0</v>
      </c>
      <c r="S96" s="27" t="n">
        <f aca="false">IF(F96="",0,F96)*R96/100</f>
        <v>0</v>
      </c>
      <c r="T96" s="7" t="n">
        <f aca="false">Inputs!$B$4-J96</f>
        <v>76</v>
      </c>
      <c r="U96" s="7" t="n">
        <f aca="false">IF(OR(F96="",F96=0),1,0)</f>
        <v>0</v>
      </c>
      <c r="V96" s="7" t="n">
        <f aca="false">IF(K96="",1,0)</f>
        <v>0</v>
      </c>
      <c r="W96" s="7" t="n">
        <f aca="false">IF(AND(O96=1,K96&lt;&gt;"",COUNTIFS(Owners!$A$5:$A$32,K96,Owners!$E$5:$E$32,"No")&gt;0),1,0)</f>
        <v>0</v>
      </c>
      <c r="X96" s="7" t="n">
        <f aca="false">IF(AND(O96=1,I96&lt;Inputs!$B$4),1,0)</f>
        <v>0</v>
      </c>
      <c r="Y96" s="7" t="n">
        <f aca="false">IF(AND(O96=1,T96&gt;Inputs!$B$5),1,0)</f>
        <v>0</v>
      </c>
      <c r="Z96" s="7" t="n">
        <f aca="false">IF(AND(O96=1,G96&lt;&gt;R96),1,0)</f>
        <v>0</v>
      </c>
      <c r="AA96" s="7" t="n">
        <f aca="false">IF(AND(O96=1,M96=""),1,0)</f>
        <v>0</v>
      </c>
      <c r="AB96" s="7" t="n">
        <f aca="false">IF(AND(E96="Closed Lost",N96=""),1,0)</f>
        <v>0</v>
      </c>
      <c r="AC96" s="7" t="n">
        <f aca="false">SUM(U96:AB96)</f>
        <v>0</v>
      </c>
      <c r="AD96" s="7" t="n">
        <f aca="false">IF(AC96=0,1,0)</f>
        <v>1</v>
      </c>
      <c r="AE96" s="7" t="n">
        <f aca="false">IF(AND(O96=1,I96&gt;=Inputs!$B$6,I96&lt;=Inputs!$B$7),1,0)</f>
        <v>0</v>
      </c>
      <c r="AF96" s="7" t="n">
        <f aca="false">IF(AND(E96="Closed Won",I96&gt;=Inputs!$B$6,I96&lt;=Inputs!$B$4),1,0)</f>
        <v>0</v>
      </c>
      <c r="AG96" s="7" t="n">
        <f aca="false">IF(AND(O96=0,I96&gt;Inputs!$B$4-Inputs!$B$8,I96&lt;=Inputs!$B$4),1,0)</f>
        <v>1</v>
      </c>
      <c r="AH96" s="7" t="n">
        <f aca="false">I96-H96</f>
        <v>187</v>
      </c>
    </row>
    <row r="97" customFormat="false" ht="15" hidden="false" customHeight="false" outlineLevel="0" collapsed="false">
      <c r="A97" s="16" t="s">
        <v>821</v>
      </c>
      <c r="B97" s="16" t="s">
        <v>69</v>
      </c>
      <c r="C97" s="16" t="s">
        <v>822</v>
      </c>
      <c r="D97" s="16" t="s">
        <v>158</v>
      </c>
      <c r="E97" s="16" t="s">
        <v>530</v>
      </c>
      <c r="F97" s="26" t="n">
        <v>24527000</v>
      </c>
      <c r="G97" s="25" t="n">
        <v>100</v>
      </c>
      <c r="H97" s="22" t="n">
        <v>46242</v>
      </c>
      <c r="I97" s="22" t="n">
        <v>46308</v>
      </c>
      <c r="J97" s="22" t="n">
        <v>46308</v>
      </c>
      <c r="K97" s="16" t="s">
        <v>604</v>
      </c>
      <c r="L97" s="16" t="s">
        <v>574</v>
      </c>
      <c r="M97" s="16"/>
      <c r="N97" s="16"/>
      <c r="O97" s="7" t="n">
        <f aca="false">IF(OR(E97="Closed Won",E97="Closed Lost"),0,1)</f>
        <v>0</v>
      </c>
      <c r="P97" s="17" t="str">
        <f aca="false">INDEX(Accounts!$K$5:$K$336,MATCH(B97,Accounts!$A$5:$A$336,0))</f>
        <v>Financial Services</v>
      </c>
      <c r="Q97" s="17" t="str">
        <f aca="false">INDEX(Accounts!$D$5:$D$336,MATCH(B97,Accounts!$A$5:$A$336,0))</f>
        <v>Priority</v>
      </c>
      <c r="R97" s="7" t="n">
        <f aca="false">INDEX(Inputs!$B$11:$B$16,MATCH(E97,Inputs!$A$11:$A$16,0))</f>
        <v>100</v>
      </c>
      <c r="S97" s="27" t="n">
        <f aca="false">IF(F97="",0,F97)*R97/100</f>
        <v>24527000</v>
      </c>
      <c r="T97" s="7" t="n">
        <f aca="false">Inputs!$B$4-J97</f>
        <v>6</v>
      </c>
      <c r="U97" s="7" t="n">
        <f aca="false">IF(OR(F97="",F97=0),1,0)</f>
        <v>0</v>
      </c>
      <c r="V97" s="7" t="n">
        <f aca="false">IF(K97="",1,0)</f>
        <v>0</v>
      </c>
      <c r="W97" s="7" t="n">
        <f aca="false">IF(AND(O97=1,K97&lt;&gt;"",COUNTIFS(Owners!$A$5:$A$32,K97,Owners!$E$5:$E$32,"No")&gt;0),1,0)</f>
        <v>0</v>
      </c>
      <c r="X97" s="7" t="n">
        <f aca="false">IF(AND(O97=1,I97&lt;Inputs!$B$4),1,0)</f>
        <v>0</v>
      </c>
      <c r="Y97" s="7" t="n">
        <f aca="false">IF(AND(O97=1,T97&gt;Inputs!$B$5),1,0)</f>
        <v>0</v>
      </c>
      <c r="Z97" s="7" t="n">
        <f aca="false">IF(AND(O97=1,G97&lt;&gt;R97),1,0)</f>
        <v>0</v>
      </c>
      <c r="AA97" s="7" t="n">
        <f aca="false">IF(AND(O97=1,M97=""),1,0)</f>
        <v>0</v>
      </c>
      <c r="AB97" s="7" t="n">
        <f aca="false">IF(AND(E97="Closed Lost",N97=""),1,0)</f>
        <v>0</v>
      </c>
      <c r="AC97" s="7" t="n">
        <f aca="false">SUM(U97:AB97)</f>
        <v>0</v>
      </c>
      <c r="AD97" s="7" t="n">
        <f aca="false">IF(AC97=0,1,0)</f>
        <v>1</v>
      </c>
      <c r="AE97" s="7" t="n">
        <f aca="false">IF(AND(O97=1,I97&gt;=Inputs!$B$6,I97&lt;=Inputs!$B$7),1,0)</f>
        <v>0</v>
      </c>
      <c r="AF97" s="7" t="n">
        <f aca="false">IF(AND(E97="Closed Won",I97&gt;=Inputs!$B$6,I97&lt;=Inputs!$B$4),1,0)</f>
        <v>1</v>
      </c>
      <c r="AG97" s="7" t="n">
        <f aca="false">IF(AND(O97=0,I97&gt;Inputs!$B$4-Inputs!$B$8,I97&lt;=Inputs!$B$4),1,0)</f>
        <v>1</v>
      </c>
      <c r="AH97" s="7" t="n">
        <f aca="false">I97-H97</f>
        <v>66</v>
      </c>
    </row>
    <row r="98" customFormat="false" ht="15" hidden="false" customHeight="false" outlineLevel="0" collapsed="false">
      <c r="A98" s="16" t="s">
        <v>823</v>
      </c>
      <c r="B98" s="16" t="s">
        <v>431</v>
      </c>
      <c r="C98" s="16" t="s">
        <v>824</v>
      </c>
      <c r="D98" s="16" t="s">
        <v>177</v>
      </c>
      <c r="E98" s="16" t="s">
        <v>531</v>
      </c>
      <c r="F98" s="26" t="n">
        <v>6565000</v>
      </c>
      <c r="G98" s="25" t="n">
        <v>0</v>
      </c>
      <c r="H98" s="22" t="n">
        <v>46031</v>
      </c>
      <c r="I98" s="22" t="n">
        <v>46131</v>
      </c>
      <c r="J98" s="22" t="n">
        <v>46131</v>
      </c>
      <c r="K98" s="16" t="s">
        <v>596</v>
      </c>
      <c r="L98" s="16" t="s">
        <v>500</v>
      </c>
      <c r="M98" s="16"/>
      <c r="N98" s="16" t="s">
        <v>697</v>
      </c>
      <c r="O98" s="7" t="n">
        <f aca="false">IF(OR(E98="Closed Won",E98="Closed Lost"),0,1)</f>
        <v>0</v>
      </c>
      <c r="P98" s="17" t="str">
        <f aca="false">INDEX(Accounts!$K$5:$K$336,MATCH(B98,Accounts!$A$5:$A$336,0))</f>
        <v>Public Sector &amp; Development</v>
      </c>
      <c r="Q98" s="17" t="str">
        <f aca="false">INDEX(Accounts!$D$5:$D$336,MATCH(B98,Accounts!$A$5:$A$336,0))</f>
        <v>Key</v>
      </c>
      <c r="R98" s="7" t="n">
        <f aca="false">INDEX(Inputs!$B$11:$B$16,MATCH(E98,Inputs!$A$11:$A$16,0))</f>
        <v>0</v>
      </c>
      <c r="S98" s="27" t="n">
        <f aca="false">IF(F98="",0,F98)*R98/100</f>
        <v>0</v>
      </c>
      <c r="T98" s="7" t="n">
        <f aca="false">Inputs!$B$4-J98</f>
        <v>183</v>
      </c>
      <c r="U98" s="7" t="n">
        <f aca="false">IF(OR(F98="",F98=0),1,0)</f>
        <v>0</v>
      </c>
      <c r="V98" s="7" t="n">
        <f aca="false">IF(K98="",1,0)</f>
        <v>0</v>
      </c>
      <c r="W98" s="7" t="n">
        <f aca="false">IF(AND(O98=1,K98&lt;&gt;"",COUNTIFS(Owners!$A$5:$A$32,K98,Owners!$E$5:$E$32,"No")&gt;0),1,0)</f>
        <v>0</v>
      </c>
      <c r="X98" s="7" t="n">
        <f aca="false">IF(AND(O98=1,I98&lt;Inputs!$B$4),1,0)</f>
        <v>0</v>
      </c>
      <c r="Y98" s="7" t="n">
        <f aca="false">IF(AND(O98=1,T98&gt;Inputs!$B$5),1,0)</f>
        <v>0</v>
      </c>
      <c r="Z98" s="7" t="n">
        <f aca="false">IF(AND(O98=1,G98&lt;&gt;R98),1,0)</f>
        <v>0</v>
      </c>
      <c r="AA98" s="7" t="n">
        <f aca="false">IF(AND(O98=1,M98=""),1,0)</f>
        <v>0</v>
      </c>
      <c r="AB98" s="7" t="n">
        <f aca="false">IF(AND(E98="Closed Lost",N98=""),1,0)</f>
        <v>0</v>
      </c>
      <c r="AC98" s="7" t="n">
        <f aca="false">SUM(U98:AB98)</f>
        <v>0</v>
      </c>
      <c r="AD98" s="7" t="n">
        <f aca="false">IF(AC98=0,1,0)</f>
        <v>1</v>
      </c>
      <c r="AE98" s="7" t="n">
        <f aca="false">IF(AND(O98=1,I98&gt;=Inputs!$B$6,I98&lt;=Inputs!$B$7),1,0)</f>
        <v>0</v>
      </c>
      <c r="AF98" s="7" t="n">
        <f aca="false">IF(AND(E98="Closed Won",I98&gt;=Inputs!$B$6,I98&lt;=Inputs!$B$4),1,0)</f>
        <v>0</v>
      </c>
      <c r="AG98" s="7" t="n">
        <f aca="false">IF(AND(O98=0,I98&gt;Inputs!$B$4-Inputs!$B$8,I98&lt;=Inputs!$B$4),1,0)</f>
        <v>1</v>
      </c>
      <c r="AH98" s="7" t="n">
        <f aca="false">I98-H98</f>
        <v>100</v>
      </c>
    </row>
    <row r="99" customFormat="false" ht="15" hidden="false" customHeight="false" outlineLevel="0" collapsed="false">
      <c r="A99" s="16" t="s">
        <v>825</v>
      </c>
      <c r="B99" s="16" t="s">
        <v>79</v>
      </c>
      <c r="C99" s="16" t="s">
        <v>826</v>
      </c>
      <c r="D99" s="16" t="s">
        <v>167</v>
      </c>
      <c r="E99" s="16" t="s">
        <v>530</v>
      </c>
      <c r="F99" s="26" t="n">
        <v>5629000</v>
      </c>
      <c r="G99" s="25" t="n">
        <v>100</v>
      </c>
      <c r="H99" s="22" t="n">
        <v>46182</v>
      </c>
      <c r="I99" s="22" t="n">
        <v>46308</v>
      </c>
      <c r="J99" s="22" t="n">
        <v>46308</v>
      </c>
      <c r="K99" s="16" t="s">
        <v>604</v>
      </c>
      <c r="L99" s="16" t="s">
        <v>500</v>
      </c>
      <c r="M99" s="16"/>
      <c r="N99" s="16"/>
      <c r="O99" s="7" t="n">
        <f aca="false">IF(OR(E99="Closed Won",E99="Closed Lost"),0,1)</f>
        <v>0</v>
      </c>
      <c r="P99" s="17" t="str">
        <f aca="false">INDEX(Accounts!$K$5:$K$336,MATCH(B99,Accounts!$A$5:$A$336,0))</f>
        <v>Energy &amp; Resources</v>
      </c>
      <c r="Q99" s="17" t="str">
        <f aca="false">INDEX(Accounts!$D$5:$D$336,MATCH(B99,Accounts!$A$5:$A$336,0))</f>
        <v>Priority</v>
      </c>
      <c r="R99" s="7" t="n">
        <f aca="false">INDEX(Inputs!$B$11:$B$16,MATCH(E99,Inputs!$A$11:$A$16,0))</f>
        <v>100</v>
      </c>
      <c r="S99" s="27" t="n">
        <f aca="false">IF(F99="",0,F99)*R99/100</f>
        <v>5629000</v>
      </c>
      <c r="T99" s="7" t="n">
        <f aca="false">Inputs!$B$4-J99</f>
        <v>6</v>
      </c>
      <c r="U99" s="7" t="n">
        <f aca="false">IF(OR(F99="",F99=0),1,0)</f>
        <v>0</v>
      </c>
      <c r="V99" s="7" t="n">
        <f aca="false">IF(K99="",1,0)</f>
        <v>0</v>
      </c>
      <c r="W99" s="7" t="n">
        <f aca="false">IF(AND(O99=1,K99&lt;&gt;"",COUNTIFS(Owners!$A$5:$A$32,K99,Owners!$E$5:$E$32,"No")&gt;0),1,0)</f>
        <v>0</v>
      </c>
      <c r="X99" s="7" t="n">
        <f aca="false">IF(AND(O99=1,I99&lt;Inputs!$B$4),1,0)</f>
        <v>0</v>
      </c>
      <c r="Y99" s="7" t="n">
        <f aca="false">IF(AND(O99=1,T99&gt;Inputs!$B$5),1,0)</f>
        <v>0</v>
      </c>
      <c r="Z99" s="7" t="n">
        <f aca="false">IF(AND(O99=1,G99&lt;&gt;R99),1,0)</f>
        <v>0</v>
      </c>
      <c r="AA99" s="7" t="n">
        <f aca="false">IF(AND(O99=1,M99=""),1,0)</f>
        <v>0</v>
      </c>
      <c r="AB99" s="7" t="n">
        <f aca="false">IF(AND(E99="Closed Lost",N99=""),1,0)</f>
        <v>0</v>
      </c>
      <c r="AC99" s="7" t="n">
        <f aca="false">SUM(U99:AB99)</f>
        <v>0</v>
      </c>
      <c r="AD99" s="7" t="n">
        <f aca="false">IF(AC99=0,1,0)</f>
        <v>1</v>
      </c>
      <c r="AE99" s="7" t="n">
        <f aca="false">IF(AND(O99=1,I99&gt;=Inputs!$B$6,I99&lt;=Inputs!$B$7),1,0)</f>
        <v>0</v>
      </c>
      <c r="AF99" s="7" t="n">
        <f aca="false">IF(AND(E99="Closed Won",I99&gt;=Inputs!$B$6,I99&lt;=Inputs!$B$4),1,0)</f>
        <v>1</v>
      </c>
      <c r="AG99" s="7" t="n">
        <f aca="false">IF(AND(O99=0,I99&gt;Inputs!$B$4-Inputs!$B$8,I99&lt;=Inputs!$B$4),1,0)</f>
        <v>1</v>
      </c>
      <c r="AH99" s="7" t="n">
        <f aca="false">I99-H99</f>
        <v>126</v>
      </c>
    </row>
    <row r="100" customFormat="false" ht="15" hidden="false" customHeight="false" outlineLevel="0" collapsed="false">
      <c r="A100" s="16" t="s">
        <v>827</v>
      </c>
      <c r="B100" s="16" t="s">
        <v>157</v>
      </c>
      <c r="C100" s="16" t="s">
        <v>828</v>
      </c>
      <c r="D100" s="16" t="s">
        <v>167</v>
      </c>
      <c r="E100" s="16" t="s">
        <v>530</v>
      </c>
      <c r="F100" s="26" t="n">
        <v>9921000</v>
      </c>
      <c r="G100" s="25" t="n">
        <v>100</v>
      </c>
      <c r="H100" s="22" t="n">
        <v>46001</v>
      </c>
      <c r="I100" s="22" t="n">
        <v>46287</v>
      </c>
      <c r="J100" s="22" t="n">
        <v>46287</v>
      </c>
      <c r="K100" s="16" t="s">
        <v>600</v>
      </c>
      <c r="L100" s="16" t="s">
        <v>584</v>
      </c>
      <c r="M100" s="16"/>
      <c r="N100" s="16"/>
      <c r="O100" s="7" t="n">
        <f aca="false">IF(OR(E100="Closed Won",E100="Closed Lost"),0,1)</f>
        <v>0</v>
      </c>
      <c r="P100" s="17" t="str">
        <f aca="false">INDEX(Accounts!$K$5:$K$336,MATCH(B100,Accounts!$A$5:$A$336,0))</f>
        <v>Energy &amp; Resources</v>
      </c>
      <c r="Q100" s="17" t="str">
        <f aca="false">INDEX(Accounts!$D$5:$D$336,MATCH(B100,Accounts!$A$5:$A$336,0))</f>
        <v>Standard</v>
      </c>
      <c r="R100" s="7" t="n">
        <f aca="false">INDEX(Inputs!$B$11:$B$16,MATCH(E100,Inputs!$A$11:$A$16,0))</f>
        <v>100</v>
      </c>
      <c r="S100" s="27" t="n">
        <f aca="false">IF(F100="",0,F100)*R100/100</f>
        <v>9921000</v>
      </c>
      <c r="T100" s="7" t="n">
        <f aca="false">Inputs!$B$4-J100</f>
        <v>27</v>
      </c>
      <c r="U100" s="7" t="n">
        <f aca="false">IF(OR(F100="",F100=0),1,0)</f>
        <v>0</v>
      </c>
      <c r="V100" s="7" t="n">
        <f aca="false">IF(K100="",1,0)</f>
        <v>0</v>
      </c>
      <c r="W100" s="7" t="n">
        <f aca="false">IF(AND(O100=1,K100&lt;&gt;"",COUNTIFS(Owners!$A$5:$A$32,K100,Owners!$E$5:$E$32,"No")&gt;0),1,0)</f>
        <v>0</v>
      </c>
      <c r="X100" s="7" t="n">
        <f aca="false">IF(AND(O100=1,I100&lt;Inputs!$B$4),1,0)</f>
        <v>0</v>
      </c>
      <c r="Y100" s="7" t="n">
        <f aca="false">IF(AND(O100=1,T100&gt;Inputs!$B$5),1,0)</f>
        <v>0</v>
      </c>
      <c r="Z100" s="7" t="n">
        <f aca="false">IF(AND(O100=1,G100&lt;&gt;R100),1,0)</f>
        <v>0</v>
      </c>
      <c r="AA100" s="7" t="n">
        <f aca="false">IF(AND(O100=1,M100=""),1,0)</f>
        <v>0</v>
      </c>
      <c r="AB100" s="7" t="n">
        <f aca="false">IF(AND(E100="Closed Lost",N100=""),1,0)</f>
        <v>0</v>
      </c>
      <c r="AC100" s="7" t="n">
        <f aca="false">SUM(U100:AB100)</f>
        <v>0</v>
      </c>
      <c r="AD100" s="7" t="n">
        <f aca="false">IF(AC100=0,1,0)</f>
        <v>1</v>
      </c>
      <c r="AE100" s="7" t="n">
        <f aca="false">IF(AND(O100=1,I100&gt;=Inputs!$B$6,I100&lt;=Inputs!$B$7),1,0)</f>
        <v>0</v>
      </c>
      <c r="AF100" s="7" t="n">
        <f aca="false">IF(AND(E100="Closed Won",I100&gt;=Inputs!$B$6,I100&lt;=Inputs!$B$4),1,0)</f>
        <v>1</v>
      </c>
      <c r="AG100" s="7" t="n">
        <f aca="false">IF(AND(O100=0,I100&gt;Inputs!$B$4-Inputs!$B$8,I100&lt;=Inputs!$B$4),1,0)</f>
        <v>1</v>
      </c>
      <c r="AH100" s="7" t="n">
        <f aca="false">I100-H100</f>
        <v>286</v>
      </c>
    </row>
    <row r="101" customFormat="false" ht="15" hidden="false" customHeight="false" outlineLevel="0" collapsed="false">
      <c r="A101" s="16" t="s">
        <v>829</v>
      </c>
      <c r="B101" s="16" t="s">
        <v>81</v>
      </c>
      <c r="C101" s="16" t="s">
        <v>830</v>
      </c>
      <c r="D101" s="16" t="s">
        <v>177</v>
      </c>
      <c r="E101" s="16" t="s">
        <v>530</v>
      </c>
      <c r="F101" s="26" t="n">
        <v>3797000</v>
      </c>
      <c r="G101" s="25" t="n">
        <v>100</v>
      </c>
      <c r="H101" s="22" t="n">
        <v>45971</v>
      </c>
      <c r="I101" s="22" t="n">
        <v>46242</v>
      </c>
      <c r="J101" s="22" t="n">
        <v>46242</v>
      </c>
      <c r="K101" s="16" t="s">
        <v>831</v>
      </c>
      <c r="L101" s="16" t="s">
        <v>592</v>
      </c>
      <c r="M101" s="16"/>
      <c r="N101" s="16"/>
      <c r="O101" s="7" t="n">
        <f aca="false">IF(OR(E101="Closed Won",E101="Closed Lost"),0,1)</f>
        <v>0</v>
      </c>
      <c r="P101" s="17" t="str">
        <f aca="false">INDEX(Accounts!$K$5:$K$336,MATCH(B101,Accounts!$A$5:$A$336,0))</f>
        <v>Financial Services</v>
      </c>
      <c r="Q101" s="17" t="str">
        <f aca="false">INDEX(Accounts!$D$5:$D$336,MATCH(B101,Accounts!$A$5:$A$336,0))</f>
        <v>Priority</v>
      </c>
      <c r="R101" s="7" t="n">
        <f aca="false">INDEX(Inputs!$B$11:$B$16,MATCH(E101,Inputs!$A$11:$A$16,0))</f>
        <v>100</v>
      </c>
      <c r="S101" s="27" t="n">
        <f aca="false">IF(F101="",0,F101)*R101/100</f>
        <v>3797000</v>
      </c>
      <c r="T101" s="7" t="n">
        <f aca="false">Inputs!$B$4-J101</f>
        <v>72</v>
      </c>
      <c r="U101" s="7" t="n">
        <f aca="false">IF(OR(F101="",F101=0),1,0)</f>
        <v>0</v>
      </c>
      <c r="V101" s="7" t="n">
        <f aca="false">IF(K101="",1,0)</f>
        <v>0</v>
      </c>
      <c r="W101" s="7" t="n">
        <f aca="false">IF(AND(O101=1,K101&lt;&gt;"",COUNTIFS(Owners!$A$5:$A$32,K101,Owners!$E$5:$E$32,"No")&gt;0),1,0)</f>
        <v>0</v>
      </c>
      <c r="X101" s="7" t="n">
        <f aca="false">IF(AND(O101=1,I101&lt;Inputs!$B$4),1,0)</f>
        <v>0</v>
      </c>
      <c r="Y101" s="7" t="n">
        <f aca="false">IF(AND(O101=1,T101&gt;Inputs!$B$5),1,0)</f>
        <v>0</v>
      </c>
      <c r="Z101" s="7" t="n">
        <f aca="false">IF(AND(O101=1,G101&lt;&gt;R101),1,0)</f>
        <v>0</v>
      </c>
      <c r="AA101" s="7" t="n">
        <f aca="false">IF(AND(O101=1,M101=""),1,0)</f>
        <v>0</v>
      </c>
      <c r="AB101" s="7" t="n">
        <f aca="false">IF(AND(E101="Closed Lost",N101=""),1,0)</f>
        <v>0</v>
      </c>
      <c r="AC101" s="7" t="n">
        <f aca="false">SUM(U101:AB101)</f>
        <v>0</v>
      </c>
      <c r="AD101" s="7" t="n">
        <f aca="false">IF(AC101=0,1,0)</f>
        <v>1</v>
      </c>
      <c r="AE101" s="7" t="n">
        <f aca="false">IF(AND(O101=1,I101&gt;=Inputs!$B$6,I101&lt;=Inputs!$B$7),1,0)</f>
        <v>0</v>
      </c>
      <c r="AF101" s="7" t="n">
        <f aca="false">IF(AND(E101="Closed Won",I101&gt;=Inputs!$B$6,I101&lt;=Inputs!$B$4),1,0)</f>
        <v>1</v>
      </c>
      <c r="AG101" s="7" t="n">
        <f aca="false">IF(AND(O101=0,I101&gt;Inputs!$B$4-Inputs!$B$8,I101&lt;=Inputs!$B$4),1,0)</f>
        <v>1</v>
      </c>
      <c r="AH101" s="7" t="n">
        <f aca="false">I101-H101</f>
        <v>271</v>
      </c>
    </row>
    <row r="102" customFormat="false" ht="15" hidden="false" customHeight="false" outlineLevel="0" collapsed="false">
      <c r="A102" s="16" t="s">
        <v>832</v>
      </c>
      <c r="B102" s="16" t="s">
        <v>833</v>
      </c>
      <c r="C102" s="16" t="s">
        <v>834</v>
      </c>
      <c r="D102" s="16" t="s">
        <v>167</v>
      </c>
      <c r="E102" s="16" t="s">
        <v>531</v>
      </c>
      <c r="F102" s="26" t="n">
        <v>4430000</v>
      </c>
      <c r="G102" s="25" t="n">
        <v>0</v>
      </c>
      <c r="H102" s="22" t="n">
        <v>45979</v>
      </c>
      <c r="I102" s="22" t="n">
        <v>46107</v>
      </c>
      <c r="J102" s="22" t="n">
        <v>46107</v>
      </c>
      <c r="K102" s="16" t="s">
        <v>646</v>
      </c>
      <c r="L102" s="16" t="s">
        <v>500</v>
      </c>
      <c r="M102" s="16"/>
      <c r="N102" s="16"/>
      <c r="O102" s="7" t="n">
        <f aca="false">IF(OR(E102="Closed Won",E102="Closed Lost"),0,1)</f>
        <v>0</v>
      </c>
      <c r="P102" s="17" t="str">
        <f aca="false">INDEX(Accounts!$K$5:$K$336,MATCH(B102,Accounts!$A$5:$A$336,0))</f>
        <v>Agribusiness</v>
      </c>
      <c r="Q102" s="17" t="str">
        <f aca="false">INDEX(Accounts!$D$5:$D$336,MATCH(B102,Accounts!$A$5:$A$336,0))</f>
        <v>Standard</v>
      </c>
      <c r="R102" s="7" t="n">
        <f aca="false">INDEX(Inputs!$B$11:$B$16,MATCH(E102,Inputs!$A$11:$A$16,0))</f>
        <v>0</v>
      </c>
      <c r="S102" s="27" t="n">
        <f aca="false">IF(F102="",0,F102)*R102/100</f>
        <v>0</v>
      </c>
      <c r="T102" s="7" t="n">
        <f aca="false">Inputs!$B$4-J102</f>
        <v>207</v>
      </c>
      <c r="U102" s="7" t="n">
        <f aca="false">IF(OR(F102="",F102=0),1,0)</f>
        <v>0</v>
      </c>
      <c r="V102" s="7" t="n">
        <f aca="false">IF(K102="",1,0)</f>
        <v>0</v>
      </c>
      <c r="W102" s="7" t="n">
        <f aca="false">IF(AND(O102=1,K102&lt;&gt;"",COUNTIFS(Owners!$A$5:$A$32,K102,Owners!$E$5:$E$32,"No")&gt;0),1,0)</f>
        <v>0</v>
      </c>
      <c r="X102" s="7" t="n">
        <f aca="false">IF(AND(O102=1,I102&lt;Inputs!$B$4),1,0)</f>
        <v>0</v>
      </c>
      <c r="Y102" s="7" t="n">
        <f aca="false">IF(AND(O102=1,T102&gt;Inputs!$B$5),1,0)</f>
        <v>0</v>
      </c>
      <c r="Z102" s="7" t="n">
        <f aca="false">IF(AND(O102=1,G102&lt;&gt;R102),1,0)</f>
        <v>0</v>
      </c>
      <c r="AA102" s="7" t="n">
        <f aca="false">IF(AND(O102=1,M102=""),1,0)</f>
        <v>0</v>
      </c>
      <c r="AB102" s="7" t="n">
        <f aca="false">IF(AND(E102="Closed Lost",N102=""),1,0)</f>
        <v>1</v>
      </c>
      <c r="AC102" s="7" t="n">
        <f aca="false">SUM(U102:AB102)</f>
        <v>1</v>
      </c>
      <c r="AD102" s="7" t="n">
        <f aca="false">IF(AC102=0,1,0)</f>
        <v>0</v>
      </c>
      <c r="AE102" s="7" t="n">
        <f aca="false">IF(AND(O102=1,I102&gt;=Inputs!$B$6,I102&lt;=Inputs!$B$7),1,0)</f>
        <v>0</v>
      </c>
      <c r="AF102" s="7" t="n">
        <f aca="false">IF(AND(E102="Closed Won",I102&gt;=Inputs!$B$6,I102&lt;=Inputs!$B$4),1,0)</f>
        <v>0</v>
      </c>
      <c r="AG102" s="7" t="n">
        <f aca="false">IF(AND(O102=0,I102&gt;Inputs!$B$4-Inputs!$B$8,I102&lt;=Inputs!$B$4),1,0)</f>
        <v>1</v>
      </c>
      <c r="AH102" s="7" t="n">
        <f aca="false">I102-H102</f>
        <v>128</v>
      </c>
    </row>
    <row r="103" customFormat="false" ht="15" hidden="false" customHeight="false" outlineLevel="0" collapsed="false">
      <c r="A103" s="16" t="s">
        <v>835</v>
      </c>
      <c r="B103" s="16" t="s">
        <v>74</v>
      </c>
      <c r="C103" s="16" t="s">
        <v>836</v>
      </c>
      <c r="D103" s="16" t="s">
        <v>165</v>
      </c>
      <c r="E103" s="16" t="s">
        <v>530</v>
      </c>
      <c r="F103" s="26" t="n">
        <v>16060000</v>
      </c>
      <c r="G103" s="25" t="n">
        <v>100</v>
      </c>
      <c r="H103" s="22" t="n">
        <v>45992</v>
      </c>
      <c r="I103" s="22" t="n">
        <v>46079</v>
      </c>
      <c r="J103" s="22" t="n">
        <v>46079</v>
      </c>
      <c r="K103" s="16" t="s">
        <v>596</v>
      </c>
      <c r="L103" s="16" t="s">
        <v>609</v>
      </c>
      <c r="M103" s="16"/>
      <c r="N103" s="16"/>
      <c r="O103" s="7" t="n">
        <f aca="false">IF(OR(E103="Closed Won",E103="Closed Lost"),0,1)</f>
        <v>0</v>
      </c>
      <c r="P103" s="17" t="str">
        <f aca="false">INDEX(Accounts!$K$5:$K$336,MATCH(B103,Accounts!$A$5:$A$336,0))</f>
        <v>Technology, Media &amp; Telecom</v>
      </c>
      <c r="Q103" s="17" t="str">
        <f aca="false">INDEX(Accounts!$D$5:$D$336,MATCH(B103,Accounts!$A$5:$A$336,0))</f>
        <v>Priority</v>
      </c>
      <c r="R103" s="7" t="n">
        <f aca="false">INDEX(Inputs!$B$11:$B$16,MATCH(E103,Inputs!$A$11:$A$16,0))</f>
        <v>100</v>
      </c>
      <c r="S103" s="27" t="n">
        <f aca="false">IF(F103="",0,F103)*R103/100</f>
        <v>16060000</v>
      </c>
      <c r="T103" s="7" t="n">
        <f aca="false">Inputs!$B$4-J103</f>
        <v>235</v>
      </c>
      <c r="U103" s="7" t="n">
        <f aca="false">IF(OR(F103="",F103=0),1,0)</f>
        <v>0</v>
      </c>
      <c r="V103" s="7" t="n">
        <f aca="false">IF(K103="",1,0)</f>
        <v>0</v>
      </c>
      <c r="W103" s="7" t="n">
        <f aca="false">IF(AND(O103=1,K103&lt;&gt;"",COUNTIFS(Owners!$A$5:$A$32,K103,Owners!$E$5:$E$32,"No")&gt;0),1,0)</f>
        <v>0</v>
      </c>
      <c r="X103" s="7" t="n">
        <f aca="false">IF(AND(O103=1,I103&lt;Inputs!$B$4),1,0)</f>
        <v>0</v>
      </c>
      <c r="Y103" s="7" t="n">
        <f aca="false">IF(AND(O103=1,T103&gt;Inputs!$B$5),1,0)</f>
        <v>0</v>
      </c>
      <c r="Z103" s="7" t="n">
        <f aca="false">IF(AND(O103=1,G103&lt;&gt;R103),1,0)</f>
        <v>0</v>
      </c>
      <c r="AA103" s="7" t="n">
        <f aca="false">IF(AND(O103=1,M103=""),1,0)</f>
        <v>0</v>
      </c>
      <c r="AB103" s="7" t="n">
        <f aca="false">IF(AND(E103="Closed Lost",N103=""),1,0)</f>
        <v>0</v>
      </c>
      <c r="AC103" s="7" t="n">
        <f aca="false">SUM(U103:AB103)</f>
        <v>0</v>
      </c>
      <c r="AD103" s="7" t="n">
        <f aca="false">IF(AC103=0,1,0)</f>
        <v>1</v>
      </c>
      <c r="AE103" s="7" t="n">
        <f aca="false">IF(AND(O103=1,I103&gt;=Inputs!$B$6,I103&lt;=Inputs!$B$7),1,0)</f>
        <v>0</v>
      </c>
      <c r="AF103" s="7" t="n">
        <f aca="false">IF(AND(E103="Closed Won",I103&gt;=Inputs!$B$6,I103&lt;=Inputs!$B$4),1,0)</f>
        <v>0</v>
      </c>
      <c r="AG103" s="7" t="n">
        <f aca="false">IF(AND(O103=0,I103&gt;Inputs!$B$4-Inputs!$B$8,I103&lt;=Inputs!$B$4),1,0)</f>
        <v>1</v>
      </c>
      <c r="AH103" s="7" t="n">
        <f aca="false">I103-H103</f>
        <v>87</v>
      </c>
    </row>
    <row r="104" customFormat="false" ht="15" hidden="false" customHeight="false" outlineLevel="0" collapsed="false">
      <c r="A104" s="16" t="s">
        <v>837</v>
      </c>
      <c r="B104" s="16" t="s">
        <v>59</v>
      </c>
      <c r="C104" s="16" t="s">
        <v>838</v>
      </c>
      <c r="D104" s="16" t="s">
        <v>165</v>
      </c>
      <c r="E104" s="16" t="s">
        <v>527</v>
      </c>
      <c r="F104" s="26" t="n">
        <v>23390000</v>
      </c>
      <c r="G104" s="25" t="n">
        <v>25</v>
      </c>
      <c r="H104" s="22" t="n">
        <v>46263</v>
      </c>
      <c r="I104" s="22" t="n">
        <v>46550</v>
      </c>
      <c r="J104" s="22" t="n">
        <v>46277</v>
      </c>
      <c r="K104" s="16" t="s">
        <v>640</v>
      </c>
      <c r="L104" s="16" t="s">
        <v>609</v>
      </c>
      <c r="M104" s="16" t="s">
        <v>593</v>
      </c>
      <c r="N104" s="16"/>
      <c r="O104" s="7" t="n">
        <f aca="false">IF(OR(E104="Closed Won",E104="Closed Lost"),0,1)</f>
        <v>1</v>
      </c>
      <c r="P104" s="17" t="str">
        <f aca="false">INDEX(Accounts!$K$5:$K$336,MATCH(B104,Accounts!$A$5:$A$336,0))</f>
        <v>Financial Services</v>
      </c>
      <c r="Q104" s="17" t="str">
        <f aca="false">INDEX(Accounts!$D$5:$D$336,MATCH(B104,Accounts!$A$5:$A$336,0))</f>
        <v>Priority</v>
      </c>
      <c r="R104" s="7" t="n">
        <f aca="false">INDEX(Inputs!$B$11:$B$16,MATCH(E104,Inputs!$A$11:$A$16,0))</f>
        <v>25</v>
      </c>
      <c r="S104" s="27" t="n">
        <f aca="false">IF(F104="",0,F104)*R104/100</f>
        <v>5847500</v>
      </c>
      <c r="T104" s="7" t="n">
        <f aca="false">Inputs!$B$4-J104</f>
        <v>37</v>
      </c>
      <c r="U104" s="7" t="n">
        <f aca="false">IF(OR(F104="",F104=0),1,0)</f>
        <v>0</v>
      </c>
      <c r="V104" s="7" t="n">
        <f aca="false">IF(K104="",1,0)</f>
        <v>0</v>
      </c>
      <c r="W104" s="7" t="n">
        <f aca="false">IF(AND(O104=1,K104&lt;&gt;"",COUNTIFS(Owners!$A$5:$A$32,K104,Owners!$E$5:$E$32,"No")&gt;0),1,0)</f>
        <v>0</v>
      </c>
      <c r="X104" s="7" t="n">
        <f aca="false">IF(AND(O104=1,I104&lt;Inputs!$B$4),1,0)</f>
        <v>0</v>
      </c>
      <c r="Y104" s="7" t="n">
        <f aca="false">IF(AND(O104=1,T104&gt;Inputs!$B$5),1,0)</f>
        <v>0</v>
      </c>
      <c r="Z104" s="7" t="n">
        <f aca="false">IF(AND(O104=1,G104&lt;&gt;R104),1,0)</f>
        <v>0</v>
      </c>
      <c r="AA104" s="7" t="n">
        <f aca="false">IF(AND(O104=1,M104=""),1,0)</f>
        <v>0</v>
      </c>
      <c r="AB104" s="7" t="n">
        <f aca="false">IF(AND(E104="Closed Lost",N104=""),1,0)</f>
        <v>0</v>
      </c>
      <c r="AC104" s="7" t="n">
        <f aca="false">SUM(U104:AB104)</f>
        <v>0</v>
      </c>
      <c r="AD104" s="7" t="n">
        <f aca="false">IF(AC104=0,1,0)</f>
        <v>1</v>
      </c>
      <c r="AE104" s="7" t="n">
        <f aca="false">IF(AND(O104=1,I104&gt;=Inputs!$B$6,I104&lt;=Inputs!$B$7),1,0)</f>
        <v>1</v>
      </c>
      <c r="AF104" s="7" t="n">
        <f aca="false">IF(AND(E104="Closed Won",I104&gt;=Inputs!$B$6,I104&lt;=Inputs!$B$4),1,0)</f>
        <v>0</v>
      </c>
      <c r="AG104" s="7" t="n">
        <f aca="false">IF(AND(O104=0,I104&gt;Inputs!$B$4-Inputs!$B$8,I104&lt;=Inputs!$B$4),1,0)</f>
        <v>0</v>
      </c>
      <c r="AH104" s="7" t="n">
        <f aca="false">I104-H104</f>
        <v>287</v>
      </c>
    </row>
    <row r="105" customFormat="false" ht="15" hidden="false" customHeight="false" outlineLevel="0" collapsed="false">
      <c r="A105" s="16" t="s">
        <v>839</v>
      </c>
      <c r="B105" s="16" t="s">
        <v>193</v>
      </c>
      <c r="C105" s="16" t="s">
        <v>840</v>
      </c>
      <c r="D105" s="16" t="s">
        <v>165</v>
      </c>
      <c r="E105" s="16" t="s">
        <v>531</v>
      </c>
      <c r="F105" s="26" t="n">
        <v>12468000</v>
      </c>
      <c r="G105" s="25" t="n">
        <v>0</v>
      </c>
      <c r="H105" s="22" t="n">
        <v>45976</v>
      </c>
      <c r="I105" s="22" t="n">
        <v>46232</v>
      </c>
      <c r="J105" s="22" t="n">
        <v>46232</v>
      </c>
      <c r="K105" s="16" t="s">
        <v>831</v>
      </c>
      <c r="L105" s="16" t="s">
        <v>500</v>
      </c>
      <c r="M105" s="16"/>
      <c r="N105" s="16"/>
      <c r="O105" s="7" t="n">
        <f aca="false">IF(OR(E105="Closed Won",E105="Closed Lost"),0,1)</f>
        <v>0</v>
      </c>
      <c r="P105" s="17" t="str">
        <f aca="false">INDEX(Accounts!$K$5:$K$336,MATCH(B105,Accounts!$A$5:$A$336,0))</f>
        <v>Unassigned</v>
      </c>
      <c r="Q105" s="17" t="str">
        <f aca="false">INDEX(Accounts!$D$5:$D$336,MATCH(B105,Accounts!$A$5:$A$336,0))</f>
        <v>Key</v>
      </c>
      <c r="R105" s="7" t="n">
        <f aca="false">INDEX(Inputs!$B$11:$B$16,MATCH(E105,Inputs!$A$11:$A$16,0))</f>
        <v>0</v>
      </c>
      <c r="S105" s="27" t="n">
        <f aca="false">IF(F105="",0,F105)*R105/100</f>
        <v>0</v>
      </c>
      <c r="T105" s="7" t="n">
        <f aca="false">Inputs!$B$4-J105</f>
        <v>82</v>
      </c>
      <c r="U105" s="7" t="n">
        <f aca="false">IF(OR(F105="",F105=0),1,0)</f>
        <v>0</v>
      </c>
      <c r="V105" s="7" t="n">
        <f aca="false">IF(K105="",1,0)</f>
        <v>0</v>
      </c>
      <c r="W105" s="7" t="n">
        <f aca="false">IF(AND(O105=1,K105&lt;&gt;"",COUNTIFS(Owners!$A$5:$A$32,K105,Owners!$E$5:$E$32,"No")&gt;0),1,0)</f>
        <v>0</v>
      </c>
      <c r="X105" s="7" t="n">
        <f aca="false">IF(AND(O105=1,I105&lt;Inputs!$B$4),1,0)</f>
        <v>0</v>
      </c>
      <c r="Y105" s="7" t="n">
        <f aca="false">IF(AND(O105=1,T105&gt;Inputs!$B$5),1,0)</f>
        <v>0</v>
      </c>
      <c r="Z105" s="7" t="n">
        <f aca="false">IF(AND(O105=1,G105&lt;&gt;R105),1,0)</f>
        <v>0</v>
      </c>
      <c r="AA105" s="7" t="n">
        <f aca="false">IF(AND(O105=1,M105=""),1,0)</f>
        <v>0</v>
      </c>
      <c r="AB105" s="7" t="n">
        <f aca="false">IF(AND(E105="Closed Lost",N105=""),1,0)</f>
        <v>1</v>
      </c>
      <c r="AC105" s="7" t="n">
        <f aca="false">SUM(U105:AB105)</f>
        <v>1</v>
      </c>
      <c r="AD105" s="7" t="n">
        <f aca="false">IF(AC105=0,1,0)</f>
        <v>0</v>
      </c>
      <c r="AE105" s="7" t="n">
        <f aca="false">IF(AND(O105=1,I105&gt;=Inputs!$B$6,I105&lt;=Inputs!$B$7),1,0)</f>
        <v>0</v>
      </c>
      <c r="AF105" s="7" t="n">
        <f aca="false">IF(AND(E105="Closed Won",I105&gt;=Inputs!$B$6,I105&lt;=Inputs!$B$4),1,0)</f>
        <v>0</v>
      </c>
      <c r="AG105" s="7" t="n">
        <f aca="false">IF(AND(O105=0,I105&gt;Inputs!$B$4-Inputs!$B$8,I105&lt;=Inputs!$B$4),1,0)</f>
        <v>1</v>
      </c>
      <c r="AH105" s="7" t="n">
        <f aca="false">I105-H105</f>
        <v>256</v>
      </c>
    </row>
    <row r="106" customFormat="false" ht="15" hidden="false" customHeight="false" outlineLevel="0" collapsed="false">
      <c r="A106" s="16" t="s">
        <v>841</v>
      </c>
      <c r="B106" s="16" t="s">
        <v>88</v>
      </c>
      <c r="C106" s="16" t="s">
        <v>842</v>
      </c>
      <c r="D106" s="16" t="s">
        <v>165</v>
      </c>
      <c r="E106" s="16" t="s">
        <v>528</v>
      </c>
      <c r="F106" s="26" t="n">
        <v>6433000</v>
      </c>
      <c r="G106" s="25" t="n">
        <v>50</v>
      </c>
      <c r="H106" s="22" t="n">
        <v>46165</v>
      </c>
      <c r="I106" s="22" t="n">
        <v>46455</v>
      </c>
      <c r="J106" s="22" t="n">
        <v>46134</v>
      </c>
      <c r="K106" s="16" t="s">
        <v>578</v>
      </c>
      <c r="L106" s="16" t="s">
        <v>568</v>
      </c>
      <c r="M106" s="16" t="s">
        <v>575</v>
      </c>
      <c r="N106" s="16"/>
      <c r="O106" s="7" t="n">
        <f aca="false">IF(OR(E106="Closed Won",E106="Closed Lost"),0,1)</f>
        <v>1</v>
      </c>
      <c r="P106" s="17" t="str">
        <f aca="false">INDEX(Accounts!$K$5:$K$336,MATCH(B106,Accounts!$A$5:$A$336,0))</f>
        <v>Agribusiness</v>
      </c>
      <c r="Q106" s="17" t="str">
        <f aca="false">INDEX(Accounts!$D$5:$D$336,MATCH(B106,Accounts!$A$5:$A$336,0))</f>
        <v>Priority</v>
      </c>
      <c r="R106" s="7" t="n">
        <f aca="false">INDEX(Inputs!$B$11:$B$16,MATCH(E106,Inputs!$A$11:$A$16,0))</f>
        <v>50</v>
      </c>
      <c r="S106" s="27" t="n">
        <f aca="false">IF(F106="",0,F106)*R106/100</f>
        <v>3216500</v>
      </c>
      <c r="T106" s="7" t="n">
        <f aca="false">Inputs!$B$4-J106</f>
        <v>180</v>
      </c>
      <c r="U106" s="7" t="n">
        <f aca="false">IF(OR(F106="",F106=0),1,0)</f>
        <v>0</v>
      </c>
      <c r="V106" s="7" t="n">
        <f aca="false">IF(K106="",1,0)</f>
        <v>0</v>
      </c>
      <c r="W106" s="7" t="n">
        <f aca="false">IF(AND(O106=1,K106&lt;&gt;"",COUNTIFS(Owners!$A$5:$A$32,K106,Owners!$E$5:$E$32,"No")&gt;0),1,0)</f>
        <v>0</v>
      </c>
      <c r="X106" s="7" t="n">
        <f aca="false">IF(AND(O106=1,I106&lt;Inputs!$B$4),1,0)</f>
        <v>0</v>
      </c>
      <c r="Y106" s="7" t="n">
        <f aca="false">IF(AND(O106=1,T106&gt;Inputs!$B$5),1,0)</f>
        <v>1</v>
      </c>
      <c r="Z106" s="7" t="n">
        <f aca="false">IF(AND(O106=1,G106&lt;&gt;R106),1,0)</f>
        <v>0</v>
      </c>
      <c r="AA106" s="7" t="n">
        <f aca="false">IF(AND(O106=1,M106=""),1,0)</f>
        <v>0</v>
      </c>
      <c r="AB106" s="7" t="n">
        <f aca="false">IF(AND(E106="Closed Lost",N106=""),1,0)</f>
        <v>0</v>
      </c>
      <c r="AC106" s="7" t="n">
        <f aca="false">SUM(U106:AB106)</f>
        <v>1</v>
      </c>
      <c r="AD106" s="7" t="n">
        <f aca="false">IF(AC106=0,1,0)</f>
        <v>0</v>
      </c>
      <c r="AE106" s="7" t="n">
        <f aca="false">IF(AND(O106=1,I106&gt;=Inputs!$B$6,I106&lt;=Inputs!$B$7),1,0)</f>
        <v>1</v>
      </c>
      <c r="AF106" s="7" t="n">
        <f aca="false">IF(AND(E106="Closed Won",I106&gt;=Inputs!$B$6,I106&lt;=Inputs!$B$4),1,0)</f>
        <v>0</v>
      </c>
      <c r="AG106" s="7" t="n">
        <f aca="false">IF(AND(O106=0,I106&gt;Inputs!$B$4-Inputs!$B$8,I106&lt;=Inputs!$B$4),1,0)</f>
        <v>0</v>
      </c>
      <c r="AH106" s="7" t="n">
        <f aca="false">I106-H106</f>
        <v>290</v>
      </c>
    </row>
    <row r="107" customFormat="false" ht="15" hidden="false" customHeight="false" outlineLevel="0" collapsed="false">
      <c r="A107" s="16" t="s">
        <v>843</v>
      </c>
      <c r="B107" s="16" t="s">
        <v>844</v>
      </c>
      <c r="C107" s="16" t="s">
        <v>845</v>
      </c>
      <c r="D107" s="16" t="s">
        <v>165</v>
      </c>
      <c r="E107" s="16" t="s">
        <v>529</v>
      </c>
      <c r="F107" s="26" t="n">
        <v>19342000</v>
      </c>
      <c r="G107" s="25" t="n">
        <v>75</v>
      </c>
      <c r="H107" s="22" t="n">
        <v>46157</v>
      </c>
      <c r="I107" s="22" t="n">
        <v>46472</v>
      </c>
      <c r="J107" s="22" t="n">
        <v>46251</v>
      </c>
      <c r="K107" s="16" t="s">
        <v>640</v>
      </c>
      <c r="L107" s="16" t="s">
        <v>584</v>
      </c>
      <c r="M107" s="16" t="s">
        <v>593</v>
      </c>
      <c r="N107" s="16"/>
      <c r="O107" s="7" t="n">
        <f aca="false">IF(OR(E107="Closed Won",E107="Closed Lost"),0,1)</f>
        <v>1</v>
      </c>
      <c r="P107" s="17" t="str">
        <f aca="false">INDEX(Accounts!$K$5:$K$336,MATCH(B107,Accounts!$A$5:$A$336,0))</f>
        <v>Unassigned</v>
      </c>
      <c r="Q107" s="17" t="str">
        <f aca="false">INDEX(Accounts!$D$5:$D$336,MATCH(B107,Accounts!$A$5:$A$336,0))</f>
        <v>Standard</v>
      </c>
      <c r="R107" s="7" t="n">
        <f aca="false">INDEX(Inputs!$B$11:$B$16,MATCH(E107,Inputs!$A$11:$A$16,0))</f>
        <v>75</v>
      </c>
      <c r="S107" s="27" t="n">
        <f aca="false">IF(F107="",0,F107)*R107/100</f>
        <v>14506500</v>
      </c>
      <c r="T107" s="7" t="n">
        <f aca="false">Inputs!$B$4-J107</f>
        <v>63</v>
      </c>
      <c r="U107" s="7" t="n">
        <f aca="false">IF(OR(F107="",F107=0),1,0)</f>
        <v>0</v>
      </c>
      <c r="V107" s="7" t="n">
        <f aca="false">IF(K107="",1,0)</f>
        <v>0</v>
      </c>
      <c r="W107" s="7" t="n">
        <f aca="false">IF(AND(O107=1,K107&lt;&gt;"",COUNTIFS(Owners!$A$5:$A$32,K107,Owners!$E$5:$E$32,"No")&gt;0),1,0)</f>
        <v>0</v>
      </c>
      <c r="X107" s="7" t="n">
        <f aca="false">IF(AND(O107=1,I107&lt;Inputs!$B$4),1,0)</f>
        <v>0</v>
      </c>
      <c r="Y107" s="7" t="n">
        <f aca="false">IF(AND(O107=1,T107&gt;Inputs!$B$5),1,0)</f>
        <v>1</v>
      </c>
      <c r="Z107" s="7" t="n">
        <f aca="false">IF(AND(O107=1,G107&lt;&gt;R107),1,0)</f>
        <v>0</v>
      </c>
      <c r="AA107" s="7" t="n">
        <f aca="false">IF(AND(O107=1,M107=""),1,0)</f>
        <v>0</v>
      </c>
      <c r="AB107" s="7" t="n">
        <f aca="false">IF(AND(E107="Closed Lost",N107=""),1,0)</f>
        <v>0</v>
      </c>
      <c r="AC107" s="7" t="n">
        <f aca="false">SUM(U107:AB107)</f>
        <v>1</v>
      </c>
      <c r="AD107" s="7" t="n">
        <f aca="false">IF(AC107=0,1,0)</f>
        <v>0</v>
      </c>
      <c r="AE107" s="7" t="n">
        <f aca="false">IF(AND(O107=1,I107&gt;=Inputs!$B$6,I107&lt;=Inputs!$B$7),1,0)</f>
        <v>1</v>
      </c>
      <c r="AF107" s="7" t="n">
        <f aca="false">IF(AND(E107="Closed Won",I107&gt;=Inputs!$B$6,I107&lt;=Inputs!$B$4),1,0)</f>
        <v>0</v>
      </c>
      <c r="AG107" s="7" t="n">
        <f aca="false">IF(AND(O107=0,I107&gt;Inputs!$B$4-Inputs!$B$8,I107&lt;=Inputs!$B$4),1,0)</f>
        <v>0</v>
      </c>
      <c r="AH107" s="7" t="n">
        <f aca="false">I107-H107</f>
        <v>315</v>
      </c>
    </row>
    <row r="108" customFormat="false" ht="15" hidden="false" customHeight="false" outlineLevel="0" collapsed="false">
      <c r="A108" s="16" t="s">
        <v>846</v>
      </c>
      <c r="B108" s="16" t="s">
        <v>847</v>
      </c>
      <c r="C108" s="16" t="s">
        <v>848</v>
      </c>
      <c r="D108" s="16" t="s">
        <v>162</v>
      </c>
      <c r="E108" s="16" t="s">
        <v>531</v>
      </c>
      <c r="F108" s="26" t="n">
        <v>5563000</v>
      </c>
      <c r="G108" s="25" t="n">
        <v>0</v>
      </c>
      <c r="H108" s="22" t="n">
        <v>45969</v>
      </c>
      <c r="I108" s="22" t="n">
        <v>46196</v>
      </c>
      <c r="J108" s="22" t="n">
        <v>46196</v>
      </c>
      <c r="K108" s="16" t="s">
        <v>600</v>
      </c>
      <c r="L108" s="16" t="s">
        <v>568</v>
      </c>
      <c r="M108" s="16"/>
      <c r="N108" s="16"/>
      <c r="O108" s="7" t="n">
        <f aca="false">IF(OR(E108="Closed Won",E108="Closed Lost"),0,1)</f>
        <v>0</v>
      </c>
      <c r="P108" s="17" t="str">
        <f aca="false">INDEX(Accounts!$K$5:$K$336,MATCH(B108,Accounts!$A$5:$A$336,0))</f>
        <v>Public Sector &amp; Development</v>
      </c>
      <c r="Q108" s="17" t="str">
        <f aca="false">INDEX(Accounts!$D$5:$D$336,MATCH(B108,Accounts!$A$5:$A$336,0))</f>
        <v>Standard</v>
      </c>
      <c r="R108" s="7" t="n">
        <f aca="false">INDEX(Inputs!$B$11:$B$16,MATCH(E108,Inputs!$A$11:$A$16,0))</f>
        <v>0</v>
      </c>
      <c r="S108" s="27" t="n">
        <f aca="false">IF(F108="",0,F108)*R108/100</f>
        <v>0</v>
      </c>
      <c r="T108" s="7" t="n">
        <f aca="false">Inputs!$B$4-J108</f>
        <v>118</v>
      </c>
      <c r="U108" s="7" t="n">
        <f aca="false">IF(OR(F108="",F108=0),1,0)</f>
        <v>0</v>
      </c>
      <c r="V108" s="7" t="n">
        <f aca="false">IF(K108="",1,0)</f>
        <v>0</v>
      </c>
      <c r="W108" s="7" t="n">
        <f aca="false">IF(AND(O108=1,K108&lt;&gt;"",COUNTIFS(Owners!$A$5:$A$32,K108,Owners!$E$5:$E$32,"No")&gt;0),1,0)</f>
        <v>0</v>
      </c>
      <c r="X108" s="7" t="n">
        <f aca="false">IF(AND(O108=1,I108&lt;Inputs!$B$4),1,0)</f>
        <v>0</v>
      </c>
      <c r="Y108" s="7" t="n">
        <f aca="false">IF(AND(O108=1,T108&gt;Inputs!$B$5),1,0)</f>
        <v>0</v>
      </c>
      <c r="Z108" s="7" t="n">
        <f aca="false">IF(AND(O108=1,G108&lt;&gt;R108),1,0)</f>
        <v>0</v>
      </c>
      <c r="AA108" s="7" t="n">
        <f aca="false">IF(AND(O108=1,M108=""),1,0)</f>
        <v>0</v>
      </c>
      <c r="AB108" s="7" t="n">
        <f aca="false">IF(AND(E108="Closed Lost",N108=""),1,0)</f>
        <v>1</v>
      </c>
      <c r="AC108" s="7" t="n">
        <f aca="false">SUM(U108:AB108)</f>
        <v>1</v>
      </c>
      <c r="AD108" s="7" t="n">
        <f aca="false">IF(AC108=0,1,0)</f>
        <v>0</v>
      </c>
      <c r="AE108" s="7" t="n">
        <f aca="false">IF(AND(O108=1,I108&gt;=Inputs!$B$6,I108&lt;=Inputs!$B$7),1,0)</f>
        <v>0</v>
      </c>
      <c r="AF108" s="7" t="n">
        <f aca="false">IF(AND(E108="Closed Won",I108&gt;=Inputs!$B$6,I108&lt;=Inputs!$B$4),1,0)</f>
        <v>0</v>
      </c>
      <c r="AG108" s="7" t="n">
        <f aca="false">IF(AND(O108=0,I108&gt;Inputs!$B$4-Inputs!$B$8,I108&lt;=Inputs!$B$4),1,0)</f>
        <v>1</v>
      </c>
      <c r="AH108" s="7" t="n">
        <f aca="false">I108-H108</f>
        <v>227</v>
      </c>
    </row>
    <row r="109" customFormat="false" ht="15" hidden="false" customHeight="false" outlineLevel="0" collapsed="false">
      <c r="A109" s="16" t="s">
        <v>849</v>
      </c>
      <c r="B109" s="16" t="s">
        <v>58</v>
      </c>
      <c r="C109" s="16" t="s">
        <v>850</v>
      </c>
      <c r="D109" s="16" t="s">
        <v>165</v>
      </c>
      <c r="E109" s="16" t="s">
        <v>531</v>
      </c>
      <c r="F109" s="26" t="n">
        <v>10556000</v>
      </c>
      <c r="G109" s="25" t="n">
        <v>0</v>
      </c>
      <c r="H109" s="22" t="n">
        <v>45925</v>
      </c>
      <c r="I109" s="22" t="n">
        <v>46031</v>
      </c>
      <c r="J109" s="22" t="n">
        <v>46031</v>
      </c>
      <c r="K109" s="16" t="s">
        <v>654</v>
      </c>
      <c r="L109" s="16" t="s">
        <v>584</v>
      </c>
      <c r="M109" s="16"/>
      <c r="N109" s="16" t="s">
        <v>713</v>
      </c>
      <c r="O109" s="7" t="n">
        <f aca="false">IF(OR(E109="Closed Won",E109="Closed Lost"),0,1)</f>
        <v>0</v>
      </c>
      <c r="P109" s="17" t="str">
        <f aca="false">INDEX(Accounts!$K$5:$K$336,MATCH(B109,Accounts!$A$5:$A$336,0))</f>
        <v>Financial Services</v>
      </c>
      <c r="Q109" s="17" t="str">
        <f aca="false">INDEX(Accounts!$D$5:$D$336,MATCH(B109,Accounts!$A$5:$A$336,0))</f>
        <v>Priority</v>
      </c>
      <c r="R109" s="7" t="n">
        <f aca="false">INDEX(Inputs!$B$11:$B$16,MATCH(E109,Inputs!$A$11:$A$16,0))</f>
        <v>0</v>
      </c>
      <c r="S109" s="27" t="n">
        <f aca="false">IF(F109="",0,F109)*R109/100</f>
        <v>0</v>
      </c>
      <c r="T109" s="7" t="n">
        <f aca="false">Inputs!$B$4-J109</f>
        <v>283</v>
      </c>
      <c r="U109" s="7" t="n">
        <f aca="false">IF(OR(F109="",F109=0),1,0)</f>
        <v>0</v>
      </c>
      <c r="V109" s="7" t="n">
        <f aca="false">IF(K109="",1,0)</f>
        <v>0</v>
      </c>
      <c r="W109" s="7" t="n">
        <f aca="false">IF(AND(O109=1,K109&lt;&gt;"",COUNTIFS(Owners!$A$5:$A$32,K109,Owners!$E$5:$E$32,"No")&gt;0),1,0)</f>
        <v>0</v>
      </c>
      <c r="X109" s="7" t="n">
        <f aca="false">IF(AND(O109=1,I109&lt;Inputs!$B$4),1,0)</f>
        <v>0</v>
      </c>
      <c r="Y109" s="7" t="n">
        <f aca="false">IF(AND(O109=1,T109&gt;Inputs!$B$5),1,0)</f>
        <v>0</v>
      </c>
      <c r="Z109" s="7" t="n">
        <f aca="false">IF(AND(O109=1,G109&lt;&gt;R109),1,0)</f>
        <v>0</v>
      </c>
      <c r="AA109" s="7" t="n">
        <f aca="false">IF(AND(O109=1,M109=""),1,0)</f>
        <v>0</v>
      </c>
      <c r="AB109" s="7" t="n">
        <f aca="false">IF(AND(E109="Closed Lost",N109=""),1,0)</f>
        <v>0</v>
      </c>
      <c r="AC109" s="7" t="n">
        <f aca="false">SUM(U109:AB109)</f>
        <v>0</v>
      </c>
      <c r="AD109" s="7" t="n">
        <f aca="false">IF(AC109=0,1,0)</f>
        <v>1</v>
      </c>
      <c r="AE109" s="7" t="n">
        <f aca="false">IF(AND(O109=1,I109&gt;=Inputs!$B$6,I109&lt;=Inputs!$B$7),1,0)</f>
        <v>0</v>
      </c>
      <c r="AF109" s="7" t="n">
        <f aca="false">IF(AND(E109="Closed Won",I109&gt;=Inputs!$B$6,I109&lt;=Inputs!$B$4),1,0)</f>
        <v>0</v>
      </c>
      <c r="AG109" s="7" t="n">
        <f aca="false">IF(AND(O109=0,I109&gt;Inputs!$B$4-Inputs!$B$8,I109&lt;=Inputs!$B$4),1,0)</f>
        <v>1</v>
      </c>
      <c r="AH109" s="7" t="n">
        <f aca="false">I109-H109</f>
        <v>106</v>
      </c>
    </row>
    <row r="110" customFormat="false" ht="15" hidden="false" customHeight="false" outlineLevel="0" collapsed="false">
      <c r="A110" s="16" t="s">
        <v>851</v>
      </c>
      <c r="B110" s="16" t="s">
        <v>852</v>
      </c>
      <c r="C110" s="16" t="s">
        <v>853</v>
      </c>
      <c r="D110" s="16" t="s">
        <v>167</v>
      </c>
      <c r="E110" s="16" t="s">
        <v>529</v>
      </c>
      <c r="F110" s="26" t="n">
        <v>3755000</v>
      </c>
      <c r="G110" s="25" t="n">
        <v>75</v>
      </c>
      <c r="H110" s="22" t="n">
        <v>46306</v>
      </c>
      <c r="I110" s="22" t="n">
        <v>46382</v>
      </c>
      <c r="J110" s="22" t="n">
        <v>46290</v>
      </c>
      <c r="K110" s="16" t="s">
        <v>600</v>
      </c>
      <c r="L110" s="16" t="s">
        <v>568</v>
      </c>
      <c r="M110" s="16" t="s">
        <v>619</v>
      </c>
      <c r="N110" s="16"/>
      <c r="O110" s="7" t="n">
        <f aca="false">IF(OR(E110="Closed Won",E110="Closed Lost"),0,1)</f>
        <v>1</v>
      </c>
      <c r="P110" s="17" t="str">
        <f aca="false">INDEX(Accounts!$K$5:$K$336,MATCH(B110,Accounts!$A$5:$A$336,0))</f>
        <v>Energy &amp; Resources</v>
      </c>
      <c r="Q110" s="17" t="str">
        <f aca="false">INDEX(Accounts!$D$5:$D$336,MATCH(B110,Accounts!$A$5:$A$336,0))</f>
        <v>Standard</v>
      </c>
      <c r="R110" s="7" t="n">
        <f aca="false">INDEX(Inputs!$B$11:$B$16,MATCH(E110,Inputs!$A$11:$A$16,0))</f>
        <v>75</v>
      </c>
      <c r="S110" s="27" t="n">
        <f aca="false">IF(F110="",0,F110)*R110/100</f>
        <v>2816250</v>
      </c>
      <c r="T110" s="7" t="n">
        <f aca="false">Inputs!$B$4-J110</f>
        <v>24</v>
      </c>
      <c r="U110" s="7" t="n">
        <f aca="false">IF(OR(F110="",F110=0),1,0)</f>
        <v>0</v>
      </c>
      <c r="V110" s="7" t="n">
        <f aca="false">IF(K110="",1,0)</f>
        <v>0</v>
      </c>
      <c r="W110" s="7" t="n">
        <f aca="false">IF(AND(O110=1,K110&lt;&gt;"",COUNTIFS(Owners!$A$5:$A$32,K110,Owners!$E$5:$E$32,"No")&gt;0),1,0)</f>
        <v>0</v>
      </c>
      <c r="X110" s="7" t="n">
        <f aca="false">IF(AND(O110=1,I110&lt;Inputs!$B$4),1,0)</f>
        <v>0</v>
      </c>
      <c r="Y110" s="7" t="n">
        <f aca="false">IF(AND(O110=1,T110&gt;Inputs!$B$5),1,0)</f>
        <v>0</v>
      </c>
      <c r="Z110" s="7" t="n">
        <f aca="false">IF(AND(O110=1,G110&lt;&gt;R110),1,0)</f>
        <v>0</v>
      </c>
      <c r="AA110" s="7" t="n">
        <f aca="false">IF(AND(O110=1,M110=""),1,0)</f>
        <v>0</v>
      </c>
      <c r="AB110" s="7" t="n">
        <f aca="false">IF(AND(E110="Closed Lost",N110=""),1,0)</f>
        <v>0</v>
      </c>
      <c r="AC110" s="7" t="n">
        <f aca="false">SUM(U110:AB110)</f>
        <v>0</v>
      </c>
      <c r="AD110" s="7" t="n">
        <f aca="false">IF(AC110=0,1,0)</f>
        <v>1</v>
      </c>
      <c r="AE110" s="7" t="n">
        <f aca="false">IF(AND(O110=1,I110&gt;=Inputs!$B$6,I110&lt;=Inputs!$B$7),1,0)</f>
        <v>1</v>
      </c>
      <c r="AF110" s="7" t="n">
        <f aca="false">IF(AND(E110="Closed Won",I110&gt;=Inputs!$B$6,I110&lt;=Inputs!$B$4),1,0)</f>
        <v>0</v>
      </c>
      <c r="AG110" s="7" t="n">
        <f aca="false">IF(AND(O110=0,I110&gt;Inputs!$B$4-Inputs!$B$8,I110&lt;=Inputs!$B$4),1,0)</f>
        <v>0</v>
      </c>
      <c r="AH110" s="7" t="n">
        <f aca="false">I110-H110</f>
        <v>76</v>
      </c>
    </row>
    <row r="111" customFormat="false" ht="15" hidden="false" customHeight="false" outlineLevel="0" collapsed="false">
      <c r="A111" s="16" t="s">
        <v>854</v>
      </c>
      <c r="B111" s="16" t="s">
        <v>855</v>
      </c>
      <c r="C111" s="16" t="s">
        <v>856</v>
      </c>
      <c r="D111" s="16" t="s">
        <v>162</v>
      </c>
      <c r="E111" s="16" t="s">
        <v>530</v>
      </c>
      <c r="F111" s="26"/>
      <c r="G111" s="25" t="n">
        <v>100</v>
      </c>
      <c r="H111" s="22" t="n">
        <v>45959</v>
      </c>
      <c r="I111" s="22" t="n">
        <v>46217</v>
      </c>
      <c r="J111" s="22" t="n">
        <v>46217</v>
      </c>
      <c r="K111" s="16" t="s">
        <v>573</v>
      </c>
      <c r="L111" s="16" t="s">
        <v>568</v>
      </c>
      <c r="M111" s="16"/>
      <c r="N111" s="16"/>
      <c r="O111" s="7" t="n">
        <f aca="false">IF(OR(E111="Closed Won",E111="Closed Lost"),0,1)</f>
        <v>0</v>
      </c>
      <c r="P111" s="17" t="str">
        <f aca="false">INDEX(Accounts!$K$5:$K$336,MATCH(B111,Accounts!$A$5:$A$336,0))</f>
        <v>Public Sector &amp; Development</v>
      </c>
      <c r="Q111" s="17" t="str">
        <f aca="false">INDEX(Accounts!$D$5:$D$336,MATCH(B111,Accounts!$A$5:$A$336,0))</f>
        <v>Standard</v>
      </c>
      <c r="R111" s="7" t="n">
        <f aca="false">INDEX(Inputs!$B$11:$B$16,MATCH(E111,Inputs!$A$11:$A$16,0))</f>
        <v>100</v>
      </c>
      <c r="S111" s="27" t="n">
        <f aca="false">IF(F111="",0,F111)*R111/100</f>
        <v>0</v>
      </c>
      <c r="T111" s="7" t="n">
        <f aca="false">Inputs!$B$4-J111</f>
        <v>97</v>
      </c>
      <c r="U111" s="7" t="n">
        <f aca="false">IF(OR(F111="",F111=0),1,0)</f>
        <v>1</v>
      </c>
      <c r="V111" s="7" t="n">
        <f aca="false">IF(K111="",1,0)</f>
        <v>0</v>
      </c>
      <c r="W111" s="7" t="n">
        <f aca="false">IF(AND(O111=1,K111&lt;&gt;"",COUNTIFS(Owners!$A$5:$A$32,K111,Owners!$E$5:$E$32,"No")&gt;0),1,0)</f>
        <v>0</v>
      </c>
      <c r="X111" s="7" t="n">
        <f aca="false">IF(AND(O111=1,I111&lt;Inputs!$B$4),1,0)</f>
        <v>0</v>
      </c>
      <c r="Y111" s="7" t="n">
        <f aca="false">IF(AND(O111=1,T111&gt;Inputs!$B$5),1,0)</f>
        <v>0</v>
      </c>
      <c r="Z111" s="7" t="n">
        <f aca="false">IF(AND(O111=1,G111&lt;&gt;R111),1,0)</f>
        <v>0</v>
      </c>
      <c r="AA111" s="7" t="n">
        <f aca="false">IF(AND(O111=1,M111=""),1,0)</f>
        <v>0</v>
      </c>
      <c r="AB111" s="7" t="n">
        <f aca="false">IF(AND(E111="Closed Lost",N111=""),1,0)</f>
        <v>0</v>
      </c>
      <c r="AC111" s="7" t="n">
        <f aca="false">SUM(U111:AB111)</f>
        <v>1</v>
      </c>
      <c r="AD111" s="7" t="n">
        <f aca="false">IF(AC111=0,1,0)</f>
        <v>0</v>
      </c>
      <c r="AE111" s="7" t="n">
        <f aca="false">IF(AND(O111=1,I111&gt;=Inputs!$B$6,I111&lt;=Inputs!$B$7),1,0)</f>
        <v>0</v>
      </c>
      <c r="AF111" s="7" t="n">
        <f aca="false">IF(AND(E111="Closed Won",I111&gt;=Inputs!$B$6,I111&lt;=Inputs!$B$4),1,0)</f>
        <v>1</v>
      </c>
      <c r="AG111" s="7" t="n">
        <f aca="false">IF(AND(O111=0,I111&gt;Inputs!$B$4-Inputs!$B$8,I111&lt;=Inputs!$B$4),1,0)</f>
        <v>1</v>
      </c>
      <c r="AH111" s="7" t="n">
        <f aca="false">I111-H111</f>
        <v>258</v>
      </c>
    </row>
    <row r="112" customFormat="false" ht="15" hidden="false" customHeight="false" outlineLevel="0" collapsed="false">
      <c r="A112" s="16" t="s">
        <v>857</v>
      </c>
      <c r="B112" s="16" t="s">
        <v>858</v>
      </c>
      <c r="C112" s="16" t="s">
        <v>859</v>
      </c>
      <c r="D112" s="16" t="s">
        <v>162</v>
      </c>
      <c r="E112" s="16" t="s">
        <v>531</v>
      </c>
      <c r="F112" s="26" t="n">
        <v>8407000</v>
      </c>
      <c r="G112" s="25" t="n">
        <v>0</v>
      </c>
      <c r="H112" s="22" t="n">
        <v>46071</v>
      </c>
      <c r="I112" s="22" t="n">
        <v>46188</v>
      </c>
      <c r="J112" s="22" t="n">
        <v>46188</v>
      </c>
      <c r="K112" s="16" t="s">
        <v>860</v>
      </c>
      <c r="L112" s="16" t="s">
        <v>592</v>
      </c>
      <c r="M112" s="16"/>
      <c r="N112" s="16" t="s">
        <v>697</v>
      </c>
      <c r="O112" s="7" t="n">
        <f aca="false">IF(OR(E112="Closed Won",E112="Closed Lost"),0,1)</f>
        <v>0</v>
      </c>
      <c r="P112" s="17" t="str">
        <f aca="false">INDEX(Accounts!$K$5:$K$336,MATCH(B112,Accounts!$A$5:$A$336,0))</f>
        <v>Unassigned</v>
      </c>
      <c r="Q112" s="17" t="str">
        <f aca="false">INDEX(Accounts!$D$5:$D$336,MATCH(B112,Accounts!$A$5:$A$336,0))</f>
        <v>Key</v>
      </c>
      <c r="R112" s="7" t="n">
        <f aca="false">INDEX(Inputs!$B$11:$B$16,MATCH(E112,Inputs!$A$11:$A$16,0))</f>
        <v>0</v>
      </c>
      <c r="S112" s="27" t="n">
        <f aca="false">IF(F112="",0,F112)*R112/100</f>
        <v>0</v>
      </c>
      <c r="T112" s="7" t="n">
        <f aca="false">Inputs!$B$4-J112</f>
        <v>126</v>
      </c>
      <c r="U112" s="7" t="n">
        <f aca="false">IF(OR(F112="",F112=0),1,0)</f>
        <v>0</v>
      </c>
      <c r="V112" s="7" t="n">
        <f aca="false">IF(K112="",1,0)</f>
        <v>0</v>
      </c>
      <c r="W112" s="7" t="n">
        <f aca="false">IF(AND(O112=1,K112&lt;&gt;"",COUNTIFS(Owners!$A$5:$A$32,K112,Owners!$E$5:$E$32,"No")&gt;0),1,0)</f>
        <v>0</v>
      </c>
      <c r="X112" s="7" t="n">
        <f aca="false">IF(AND(O112=1,I112&lt;Inputs!$B$4),1,0)</f>
        <v>0</v>
      </c>
      <c r="Y112" s="7" t="n">
        <f aca="false">IF(AND(O112=1,T112&gt;Inputs!$B$5),1,0)</f>
        <v>0</v>
      </c>
      <c r="Z112" s="7" t="n">
        <f aca="false">IF(AND(O112=1,G112&lt;&gt;R112),1,0)</f>
        <v>0</v>
      </c>
      <c r="AA112" s="7" t="n">
        <f aca="false">IF(AND(O112=1,M112=""),1,0)</f>
        <v>0</v>
      </c>
      <c r="AB112" s="7" t="n">
        <f aca="false">IF(AND(E112="Closed Lost",N112=""),1,0)</f>
        <v>0</v>
      </c>
      <c r="AC112" s="7" t="n">
        <f aca="false">SUM(U112:AB112)</f>
        <v>0</v>
      </c>
      <c r="AD112" s="7" t="n">
        <f aca="false">IF(AC112=0,1,0)</f>
        <v>1</v>
      </c>
      <c r="AE112" s="7" t="n">
        <f aca="false">IF(AND(O112=1,I112&gt;=Inputs!$B$6,I112&lt;=Inputs!$B$7),1,0)</f>
        <v>0</v>
      </c>
      <c r="AF112" s="7" t="n">
        <f aca="false">IF(AND(E112="Closed Won",I112&gt;=Inputs!$B$6,I112&lt;=Inputs!$B$4),1,0)</f>
        <v>0</v>
      </c>
      <c r="AG112" s="7" t="n">
        <f aca="false">IF(AND(O112=0,I112&gt;Inputs!$B$4-Inputs!$B$8,I112&lt;=Inputs!$B$4),1,0)</f>
        <v>1</v>
      </c>
      <c r="AH112" s="7" t="n">
        <f aca="false">I112-H112</f>
        <v>117</v>
      </c>
    </row>
    <row r="113" customFormat="false" ht="15" hidden="false" customHeight="false" outlineLevel="0" collapsed="false">
      <c r="A113" s="16" t="s">
        <v>861</v>
      </c>
      <c r="B113" s="16" t="s">
        <v>68</v>
      </c>
      <c r="C113" s="16" t="s">
        <v>862</v>
      </c>
      <c r="D113" s="16" t="s">
        <v>165</v>
      </c>
      <c r="E113" s="16" t="s">
        <v>530</v>
      </c>
      <c r="F113" s="26" t="n">
        <v>14097000</v>
      </c>
      <c r="G113" s="25" t="n">
        <v>100</v>
      </c>
      <c r="H113" s="22" t="n">
        <v>46016</v>
      </c>
      <c r="I113" s="22" t="n">
        <v>46174</v>
      </c>
      <c r="J113" s="22" t="n">
        <v>46174</v>
      </c>
      <c r="K113" s="16" t="s">
        <v>704</v>
      </c>
      <c r="L113" s="16" t="s">
        <v>584</v>
      </c>
      <c r="M113" s="16"/>
      <c r="N113" s="16"/>
      <c r="O113" s="7" t="n">
        <f aca="false">IF(OR(E113="Closed Won",E113="Closed Lost"),0,1)</f>
        <v>0</v>
      </c>
      <c r="P113" s="17" t="str">
        <f aca="false">INDEX(Accounts!$K$5:$K$336,MATCH(B113,Accounts!$A$5:$A$336,0))</f>
        <v>Financial Services</v>
      </c>
      <c r="Q113" s="17" t="str">
        <f aca="false">INDEX(Accounts!$D$5:$D$336,MATCH(B113,Accounts!$A$5:$A$336,0))</f>
        <v>Priority</v>
      </c>
      <c r="R113" s="7" t="n">
        <f aca="false">INDEX(Inputs!$B$11:$B$16,MATCH(E113,Inputs!$A$11:$A$16,0))</f>
        <v>100</v>
      </c>
      <c r="S113" s="27" t="n">
        <f aca="false">IF(F113="",0,F113)*R113/100</f>
        <v>14097000</v>
      </c>
      <c r="T113" s="7" t="n">
        <f aca="false">Inputs!$B$4-J113</f>
        <v>140</v>
      </c>
      <c r="U113" s="7" t="n">
        <f aca="false">IF(OR(F113="",F113=0),1,0)</f>
        <v>0</v>
      </c>
      <c r="V113" s="7" t="n">
        <f aca="false">IF(K113="",1,0)</f>
        <v>0</v>
      </c>
      <c r="W113" s="7" t="n">
        <f aca="false">IF(AND(O113=1,K113&lt;&gt;"",COUNTIFS(Owners!$A$5:$A$32,K113,Owners!$E$5:$E$32,"No")&gt;0),1,0)</f>
        <v>0</v>
      </c>
      <c r="X113" s="7" t="n">
        <f aca="false">IF(AND(O113=1,I113&lt;Inputs!$B$4),1,0)</f>
        <v>0</v>
      </c>
      <c r="Y113" s="7" t="n">
        <f aca="false">IF(AND(O113=1,T113&gt;Inputs!$B$5),1,0)</f>
        <v>0</v>
      </c>
      <c r="Z113" s="7" t="n">
        <f aca="false">IF(AND(O113=1,G113&lt;&gt;R113),1,0)</f>
        <v>0</v>
      </c>
      <c r="AA113" s="7" t="n">
        <f aca="false">IF(AND(O113=1,M113=""),1,0)</f>
        <v>0</v>
      </c>
      <c r="AB113" s="7" t="n">
        <f aca="false">IF(AND(E113="Closed Lost",N113=""),1,0)</f>
        <v>0</v>
      </c>
      <c r="AC113" s="7" t="n">
        <f aca="false">SUM(U113:AB113)</f>
        <v>0</v>
      </c>
      <c r="AD113" s="7" t="n">
        <f aca="false">IF(AC113=0,1,0)</f>
        <v>1</v>
      </c>
      <c r="AE113" s="7" t="n">
        <f aca="false">IF(AND(O113=1,I113&gt;=Inputs!$B$6,I113&lt;=Inputs!$B$7),1,0)</f>
        <v>0</v>
      </c>
      <c r="AF113" s="7" t="n">
        <f aca="false">IF(AND(E113="Closed Won",I113&gt;=Inputs!$B$6,I113&lt;=Inputs!$B$4),1,0)</f>
        <v>0</v>
      </c>
      <c r="AG113" s="7" t="n">
        <f aca="false">IF(AND(O113=0,I113&gt;Inputs!$B$4-Inputs!$B$8,I113&lt;=Inputs!$B$4),1,0)</f>
        <v>1</v>
      </c>
      <c r="AH113" s="7" t="n">
        <f aca="false">I113-H113</f>
        <v>158</v>
      </c>
    </row>
    <row r="114" customFormat="false" ht="15" hidden="false" customHeight="false" outlineLevel="0" collapsed="false">
      <c r="A114" s="16" t="s">
        <v>863</v>
      </c>
      <c r="B114" s="16" t="s">
        <v>79</v>
      </c>
      <c r="C114" s="16" t="s">
        <v>864</v>
      </c>
      <c r="D114" s="16" t="s">
        <v>167</v>
      </c>
      <c r="E114" s="16" t="s">
        <v>527</v>
      </c>
      <c r="F114" s="26" t="n">
        <v>6067000</v>
      </c>
      <c r="G114" s="25" t="n">
        <v>25</v>
      </c>
      <c r="H114" s="22" t="n">
        <v>46275</v>
      </c>
      <c r="I114" s="22" t="n">
        <v>46417</v>
      </c>
      <c r="J114" s="22" t="n">
        <v>46296</v>
      </c>
      <c r="K114" s="16" t="s">
        <v>654</v>
      </c>
      <c r="L114" s="16" t="s">
        <v>568</v>
      </c>
      <c r="M114" s="16" t="s">
        <v>569</v>
      </c>
      <c r="N114" s="16"/>
      <c r="O114" s="7" t="n">
        <f aca="false">IF(OR(E114="Closed Won",E114="Closed Lost"),0,1)</f>
        <v>1</v>
      </c>
      <c r="P114" s="17" t="str">
        <f aca="false">INDEX(Accounts!$K$5:$K$336,MATCH(B114,Accounts!$A$5:$A$336,0))</f>
        <v>Energy &amp; Resources</v>
      </c>
      <c r="Q114" s="17" t="str">
        <f aca="false">INDEX(Accounts!$D$5:$D$336,MATCH(B114,Accounts!$A$5:$A$336,0))</f>
        <v>Priority</v>
      </c>
      <c r="R114" s="7" t="n">
        <f aca="false">INDEX(Inputs!$B$11:$B$16,MATCH(E114,Inputs!$A$11:$A$16,0))</f>
        <v>25</v>
      </c>
      <c r="S114" s="27" t="n">
        <f aca="false">IF(F114="",0,F114)*R114/100</f>
        <v>1516750</v>
      </c>
      <c r="T114" s="7" t="n">
        <f aca="false">Inputs!$B$4-J114</f>
        <v>18</v>
      </c>
      <c r="U114" s="7" t="n">
        <f aca="false">IF(OR(F114="",F114=0),1,0)</f>
        <v>0</v>
      </c>
      <c r="V114" s="7" t="n">
        <f aca="false">IF(K114="",1,0)</f>
        <v>0</v>
      </c>
      <c r="W114" s="7" t="n">
        <f aca="false">IF(AND(O114=1,K114&lt;&gt;"",COUNTIFS(Owners!$A$5:$A$32,K114,Owners!$E$5:$E$32,"No")&gt;0),1,0)</f>
        <v>0</v>
      </c>
      <c r="X114" s="7" t="n">
        <f aca="false">IF(AND(O114=1,I114&lt;Inputs!$B$4),1,0)</f>
        <v>0</v>
      </c>
      <c r="Y114" s="7" t="n">
        <f aca="false">IF(AND(O114=1,T114&gt;Inputs!$B$5),1,0)</f>
        <v>0</v>
      </c>
      <c r="Z114" s="7" t="n">
        <f aca="false">IF(AND(O114=1,G114&lt;&gt;R114),1,0)</f>
        <v>0</v>
      </c>
      <c r="AA114" s="7" t="n">
        <f aca="false">IF(AND(O114=1,M114=""),1,0)</f>
        <v>0</v>
      </c>
      <c r="AB114" s="7" t="n">
        <f aca="false">IF(AND(E114="Closed Lost",N114=""),1,0)</f>
        <v>0</v>
      </c>
      <c r="AC114" s="7" t="n">
        <f aca="false">SUM(U114:AB114)</f>
        <v>0</v>
      </c>
      <c r="AD114" s="7" t="n">
        <f aca="false">IF(AC114=0,1,0)</f>
        <v>1</v>
      </c>
      <c r="AE114" s="7" t="n">
        <f aca="false">IF(AND(O114=1,I114&gt;=Inputs!$B$6,I114&lt;=Inputs!$B$7),1,0)</f>
        <v>1</v>
      </c>
      <c r="AF114" s="7" t="n">
        <f aca="false">IF(AND(E114="Closed Won",I114&gt;=Inputs!$B$6,I114&lt;=Inputs!$B$4),1,0)</f>
        <v>0</v>
      </c>
      <c r="AG114" s="7" t="n">
        <f aca="false">IF(AND(O114=0,I114&gt;Inputs!$B$4-Inputs!$B$8,I114&lt;=Inputs!$B$4),1,0)</f>
        <v>0</v>
      </c>
      <c r="AH114" s="7" t="n">
        <f aca="false">I114-H114</f>
        <v>142</v>
      </c>
    </row>
    <row r="115" customFormat="false" ht="15" hidden="false" customHeight="false" outlineLevel="0" collapsed="false">
      <c r="A115" s="16" t="s">
        <v>865</v>
      </c>
      <c r="B115" s="16" t="s">
        <v>74</v>
      </c>
      <c r="C115" s="16" t="s">
        <v>866</v>
      </c>
      <c r="D115" s="16" t="s">
        <v>167</v>
      </c>
      <c r="E115" s="16" t="s">
        <v>530</v>
      </c>
      <c r="F115" s="26" t="n">
        <v>800000</v>
      </c>
      <c r="G115" s="25" t="n">
        <v>100</v>
      </c>
      <c r="H115" s="22" t="n">
        <v>46033</v>
      </c>
      <c r="I115" s="22" t="n">
        <v>46126</v>
      </c>
      <c r="J115" s="22" t="n">
        <v>46126</v>
      </c>
      <c r="K115" s="16" t="s">
        <v>596</v>
      </c>
      <c r="L115" s="16" t="s">
        <v>609</v>
      </c>
      <c r="M115" s="16"/>
      <c r="N115" s="16"/>
      <c r="O115" s="7" t="n">
        <f aca="false">IF(OR(E115="Closed Won",E115="Closed Lost"),0,1)</f>
        <v>0</v>
      </c>
      <c r="P115" s="17" t="str">
        <f aca="false">INDEX(Accounts!$K$5:$K$336,MATCH(B115,Accounts!$A$5:$A$336,0))</f>
        <v>Technology, Media &amp; Telecom</v>
      </c>
      <c r="Q115" s="17" t="str">
        <f aca="false">INDEX(Accounts!$D$5:$D$336,MATCH(B115,Accounts!$A$5:$A$336,0))</f>
        <v>Priority</v>
      </c>
      <c r="R115" s="7" t="n">
        <f aca="false">INDEX(Inputs!$B$11:$B$16,MATCH(E115,Inputs!$A$11:$A$16,0))</f>
        <v>100</v>
      </c>
      <c r="S115" s="27" t="n">
        <f aca="false">IF(F115="",0,F115)*R115/100</f>
        <v>800000</v>
      </c>
      <c r="T115" s="7" t="n">
        <f aca="false">Inputs!$B$4-J115</f>
        <v>188</v>
      </c>
      <c r="U115" s="7" t="n">
        <f aca="false">IF(OR(F115="",F115=0),1,0)</f>
        <v>0</v>
      </c>
      <c r="V115" s="7" t="n">
        <f aca="false">IF(K115="",1,0)</f>
        <v>0</v>
      </c>
      <c r="W115" s="7" t="n">
        <f aca="false">IF(AND(O115=1,K115&lt;&gt;"",COUNTIFS(Owners!$A$5:$A$32,K115,Owners!$E$5:$E$32,"No")&gt;0),1,0)</f>
        <v>0</v>
      </c>
      <c r="X115" s="7" t="n">
        <f aca="false">IF(AND(O115=1,I115&lt;Inputs!$B$4),1,0)</f>
        <v>0</v>
      </c>
      <c r="Y115" s="7" t="n">
        <f aca="false">IF(AND(O115=1,T115&gt;Inputs!$B$5),1,0)</f>
        <v>0</v>
      </c>
      <c r="Z115" s="7" t="n">
        <f aca="false">IF(AND(O115=1,G115&lt;&gt;R115),1,0)</f>
        <v>0</v>
      </c>
      <c r="AA115" s="7" t="n">
        <f aca="false">IF(AND(O115=1,M115=""),1,0)</f>
        <v>0</v>
      </c>
      <c r="AB115" s="7" t="n">
        <f aca="false">IF(AND(E115="Closed Lost",N115=""),1,0)</f>
        <v>0</v>
      </c>
      <c r="AC115" s="7" t="n">
        <f aca="false">SUM(U115:AB115)</f>
        <v>0</v>
      </c>
      <c r="AD115" s="7" t="n">
        <f aca="false">IF(AC115=0,1,0)</f>
        <v>1</v>
      </c>
      <c r="AE115" s="7" t="n">
        <f aca="false">IF(AND(O115=1,I115&gt;=Inputs!$B$6,I115&lt;=Inputs!$B$7),1,0)</f>
        <v>0</v>
      </c>
      <c r="AF115" s="7" t="n">
        <f aca="false">IF(AND(E115="Closed Won",I115&gt;=Inputs!$B$6,I115&lt;=Inputs!$B$4),1,0)</f>
        <v>0</v>
      </c>
      <c r="AG115" s="7" t="n">
        <f aca="false">IF(AND(O115=0,I115&gt;Inputs!$B$4-Inputs!$B$8,I115&lt;=Inputs!$B$4),1,0)</f>
        <v>1</v>
      </c>
      <c r="AH115" s="7" t="n">
        <f aca="false">I115-H115</f>
        <v>93</v>
      </c>
    </row>
    <row r="116" customFormat="false" ht="15" hidden="false" customHeight="false" outlineLevel="0" collapsed="false">
      <c r="A116" s="16" t="s">
        <v>867</v>
      </c>
      <c r="B116" s="16" t="s">
        <v>90</v>
      </c>
      <c r="C116" s="16" t="s">
        <v>868</v>
      </c>
      <c r="D116" s="16" t="s">
        <v>165</v>
      </c>
      <c r="E116" s="16" t="s">
        <v>531</v>
      </c>
      <c r="F116" s="26" t="n">
        <v>1885000</v>
      </c>
      <c r="G116" s="25" t="n">
        <v>0</v>
      </c>
      <c r="H116" s="22" t="n">
        <v>45985</v>
      </c>
      <c r="I116" s="22" t="n">
        <v>46084</v>
      </c>
      <c r="J116" s="22" t="n">
        <v>46084</v>
      </c>
      <c r="K116" s="16" t="s">
        <v>717</v>
      </c>
      <c r="L116" s="16" t="s">
        <v>500</v>
      </c>
      <c r="M116" s="16"/>
      <c r="N116" s="16" t="s">
        <v>579</v>
      </c>
      <c r="O116" s="7" t="n">
        <f aca="false">IF(OR(E116="Closed Won",E116="Closed Lost"),0,1)</f>
        <v>0</v>
      </c>
      <c r="P116" s="17" t="str">
        <f aca="false">INDEX(Accounts!$K$5:$K$336,MATCH(B116,Accounts!$A$5:$A$336,0))</f>
        <v>Financial Services</v>
      </c>
      <c r="Q116" s="17" t="str">
        <f aca="false">INDEX(Accounts!$D$5:$D$336,MATCH(B116,Accounts!$A$5:$A$336,0))</f>
        <v>Priority</v>
      </c>
      <c r="R116" s="7" t="n">
        <f aca="false">INDEX(Inputs!$B$11:$B$16,MATCH(E116,Inputs!$A$11:$A$16,0))</f>
        <v>0</v>
      </c>
      <c r="S116" s="27" t="n">
        <f aca="false">IF(F116="",0,F116)*R116/100</f>
        <v>0</v>
      </c>
      <c r="T116" s="7" t="n">
        <f aca="false">Inputs!$B$4-J116</f>
        <v>230</v>
      </c>
      <c r="U116" s="7" t="n">
        <f aca="false">IF(OR(F116="",F116=0),1,0)</f>
        <v>0</v>
      </c>
      <c r="V116" s="7" t="n">
        <f aca="false">IF(K116="",1,0)</f>
        <v>0</v>
      </c>
      <c r="W116" s="7" t="n">
        <f aca="false">IF(AND(O116=1,K116&lt;&gt;"",COUNTIFS(Owners!$A$5:$A$32,K116,Owners!$E$5:$E$32,"No")&gt;0),1,0)</f>
        <v>0</v>
      </c>
      <c r="X116" s="7" t="n">
        <f aca="false">IF(AND(O116=1,I116&lt;Inputs!$B$4),1,0)</f>
        <v>0</v>
      </c>
      <c r="Y116" s="7" t="n">
        <f aca="false">IF(AND(O116=1,T116&gt;Inputs!$B$5),1,0)</f>
        <v>0</v>
      </c>
      <c r="Z116" s="7" t="n">
        <f aca="false">IF(AND(O116=1,G116&lt;&gt;R116),1,0)</f>
        <v>0</v>
      </c>
      <c r="AA116" s="7" t="n">
        <f aca="false">IF(AND(O116=1,M116=""),1,0)</f>
        <v>0</v>
      </c>
      <c r="AB116" s="7" t="n">
        <f aca="false">IF(AND(E116="Closed Lost",N116=""),1,0)</f>
        <v>0</v>
      </c>
      <c r="AC116" s="7" t="n">
        <f aca="false">SUM(U116:AB116)</f>
        <v>0</v>
      </c>
      <c r="AD116" s="7" t="n">
        <f aca="false">IF(AC116=0,1,0)</f>
        <v>1</v>
      </c>
      <c r="AE116" s="7" t="n">
        <f aca="false">IF(AND(O116=1,I116&gt;=Inputs!$B$6,I116&lt;=Inputs!$B$7),1,0)</f>
        <v>0</v>
      </c>
      <c r="AF116" s="7" t="n">
        <f aca="false">IF(AND(E116="Closed Won",I116&gt;=Inputs!$B$6,I116&lt;=Inputs!$B$4),1,0)</f>
        <v>0</v>
      </c>
      <c r="AG116" s="7" t="n">
        <f aca="false">IF(AND(O116=0,I116&gt;Inputs!$B$4-Inputs!$B$8,I116&lt;=Inputs!$B$4),1,0)</f>
        <v>1</v>
      </c>
      <c r="AH116" s="7" t="n">
        <f aca="false">I116-H116</f>
        <v>99</v>
      </c>
    </row>
    <row r="117" customFormat="false" ht="15" hidden="false" customHeight="false" outlineLevel="0" collapsed="false">
      <c r="A117" s="16" t="s">
        <v>869</v>
      </c>
      <c r="B117" s="16" t="s">
        <v>93</v>
      </c>
      <c r="C117" s="16" t="s">
        <v>870</v>
      </c>
      <c r="D117" s="16" t="s">
        <v>165</v>
      </c>
      <c r="E117" s="16" t="s">
        <v>531</v>
      </c>
      <c r="F117" s="26" t="n">
        <v>38211000</v>
      </c>
      <c r="G117" s="25" t="n">
        <v>0</v>
      </c>
      <c r="H117" s="22" t="n">
        <v>46057</v>
      </c>
      <c r="I117" s="22" t="n">
        <v>46146</v>
      </c>
      <c r="J117" s="22" t="n">
        <v>46146</v>
      </c>
      <c r="K117" s="16" t="s">
        <v>654</v>
      </c>
      <c r="L117" s="16" t="s">
        <v>574</v>
      </c>
      <c r="M117" s="16"/>
      <c r="N117" s="16" t="s">
        <v>597</v>
      </c>
      <c r="O117" s="7" t="n">
        <f aca="false">IF(OR(E117="Closed Won",E117="Closed Lost"),0,1)</f>
        <v>0</v>
      </c>
      <c r="P117" s="17" t="str">
        <f aca="false">INDEX(Accounts!$K$5:$K$336,MATCH(B117,Accounts!$A$5:$A$336,0))</f>
        <v>Unassigned</v>
      </c>
      <c r="Q117" s="17" t="str">
        <f aca="false">INDEX(Accounts!$D$5:$D$336,MATCH(B117,Accounts!$A$5:$A$336,0))</f>
        <v>Priority</v>
      </c>
      <c r="R117" s="7" t="n">
        <f aca="false">INDEX(Inputs!$B$11:$B$16,MATCH(E117,Inputs!$A$11:$A$16,0))</f>
        <v>0</v>
      </c>
      <c r="S117" s="27" t="n">
        <f aca="false">IF(F117="",0,F117)*R117/100</f>
        <v>0</v>
      </c>
      <c r="T117" s="7" t="n">
        <f aca="false">Inputs!$B$4-J117</f>
        <v>168</v>
      </c>
      <c r="U117" s="7" t="n">
        <f aca="false">IF(OR(F117="",F117=0),1,0)</f>
        <v>0</v>
      </c>
      <c r="V117" s="7" t="n">
        <f aca="false">IF(K117="",1,0)</f>
        <v>0</v>
      </c>
      <c r="W117" s="7" t="n">
        <f aca="false">IF(AND(O117=1,K117&lt;&gt;"",COUNTIFS(Owners!$A$5:$A$32,K117,Owners!$E$5:$E$32,"No")&gt;0),1,0)</f>
        <v>0</v>
      </c>
      <c r="X117" s="7" t="n">
        <f aca="false">IF(AND(O117=1,I117&lt;Inputs!$B$4),1,0)</f>
        <v>0</v>
      </c>
      <c r="Y117" s="7" t="n">
        <f aca="false">IF(AND(O117=1,T117&gt;Inputs!$B$5),1,0)</f>
        <v>0</v>
      </c>
      <c r="Z117" s="7" t="n">
        <f aca="false">IF(AND(O117=1,G117&lt;&gt;R117),1,0)</f>
        <v>0</v>
      </c>
      <c r="AA117" s="7" t="n">
        <f aca="false">IF(AND(O117=1,M117=""),1,0)</f>
        <v>0</v>
      </c>
      <c r="AB117" s="7" t="n">
        <f aca="false">IF(AND(E117="Closed Lost",N117=""),1,0)</f>
        <v>0</v>
      </c>
      <c r="AC117" s="7" t="n">
        <f aca="false">SUM(U117:AB117)</f>
        <v>0</v>
      </c>
      <c r="AD117" s="7" t="n">
        <f aca="false">IF(AC117=0,1,0)</f>
        <v>1</v>
      </c>
      <c r="AE117" s="7" t="n">
        <f aca="false">IF(AND(O117=1,I117&gt;=Inputs!$B$6,I117&lt;=Inputs!$B$7),1,0)</f>
        <v>0</v>
      </c>
      <c r="AF117" s="7" t="n">
        <f aca="false">IF(AND(E117="Closed Won",I117&gt;=Inputs!$B$6,I117&lt;=Inputs!$B$4),1,0)</f>
        <v>0</v>
      </c>
      <c r="AG117" s="7" t="n">
        <f aca="false">IF(AND(O117=0,I117&gt;Inputs!$B$4-Inputs!$B$8,I117&lt;=Inputs!$B$4),1,0)</f>
        <v>1</v>
      </c>
      <c r="AH117" s="7" t="n">
        <f aca="false">I117-H117</f>
        <v>89</v>
      </c>
    </row>
    <row r="118" customFormat="false" ht="15" hidden="false" customHeight="false" outlineLevel="0" collapsed="false">
      <c r="A118" s="16" t="s">
        <v>871</v>
      </c>
      <c r="B118" s="16" t="s">
        <v>73</v>
      </c>
      <c r="C118" s="16" t="s">
        <v>872</v>
      </c>
      <c r="D118" s="16" t="s">
        <v>162</v>
      </c>
      <c r="E118" s="16" t="s">
        <v>528</v>
      </c>
      <c r="F118" s="26" t="n">
        <v>10767000</v>
      </c>
      <c r="G118" s="25" t="n">
        <v>50</v>
      </c>
      <c r="H118" s="22" t="n">
        <v>46250</v>
      </c>
      <c r="I118" s="22" t="n">
        <v>46303</v>
      </c>
      <c r="J118" s="22" t="n">
        <v>46296</v>
      </c>
      <c r="K118" s="16" t="s">
        <v>640</v>
      </c>
      <c r="L118" s="16" t="s">
        <v>609</v>
      </c>
      <c r="M118" s="16" t="s">
        <v>575</v>
      </c>
      <c r="N118" s="16"/>
      <c r="O118" s="7" t="n">
        <f aca="false">IF(OR(E118="Closed Won",E118="Closed Lost"),0,1)</f>
        <v>1</v>
      </c>
      <c r="P118" s="17" t="str">
        <f aca="false">INDEX(Accounts!$K$5:$K$336,MATCH(B118,Accounts!$A$5:$A$336,0))</f>
        <v>Energy &amp; Resources</v>
      </c>
      <c r="Q118" s="17" t="str">
        <f aca="false">INDEX(Accounts!$D$5:$D$336,MATCH(B118,Accounts!$A$5:$A$336,0))</f>
        <v>Priority</v>
      </c>
      <c r="R118" s="7" t="n">
        <f aca="false">INDEX(Inputs!$B$11:$B$16,MATCH(E118,Inputs!$A$11:$A$16,0))</f>
        <v>50</v>
      </c>
      <c r="S118" s="27" t="n">
        <f aca="false">IF(F118="",0,F118)*R118/100</f>
        <v>5383500</v>
      </c>
      <c r="T118" s="7" t="n">
        <f aca="false">Inputs!$B$4-J118</f>
        <v>18</v>
      </c>
      <c r="U118" s="7" t="n">
        <f aca="false">IF(OR(F118="",F118=0),1,0)</f>
        <v>0</v>
      </c>
      <c r="V118" s="7" t="n">
        <f aca="false">IF(K118="",1,0)</f>
        <v>0</v>
      </c>
      <c r="W118" s="7" t="n">
        <f aca="false">IF(AND(O118=1,K118&lt;&gt;"",COUNTIFS(Owners!$A$5:$A$32,K118,Owners!$E$5:$E$32,"No")&gt;0),1,0)</f>
        <v>0</v>
      </c>
      <c r="X118" s="7" t="n">
        <f aca="false">IF(AND(O118=1,I118&lt;Inputs!$B$4),1,0)</f>
        <v>1</v>
      </c>
      <c r="Y118" s="7" t="n">
        <f aca="false">IF(AND(O118=1,T118&gt;Inputs!$B$5),1,0)</f>
        <v>0</v>
      </c>
      <c r="Z118" s="7" t="n">
        <f aca="false">IF(AND(O118=1,G118&lt;&gt;R118),1,0)</f>
        <v>0</v>
      </c>
      <c r="AA118" s="7" t="n">
        <f aca="false">IF(AND(O118=1,M118=""),1,0)</f>
        <v>0</v>
      </c>
      <c r="AB118" s="7" t="n">
        <f aca="false">IF(AND(E118="Closed Lost",N118=""),1,0)</f>
        <v>0</v>
      </c>
      <c r="AC118" s="7" t="n">
        <f aca="false">SUM(U118:AB118)</f>
        <v>1</v>
      </c>
      <c r="AD118" s="7" t="n">
        <f aca="false">IF(AC118=0,1,0)</f>
        <v>0</v>
      </c>
      <c r="AE118" s="7" t="n">
        <f aca="false">IF(AND(O118=1,I118&gt;=Inputs!$B$6,I118&lt;=Inputs!$B$7),1,0)</f>
        <v>1</v>
      </c>
      <c r="AF118" s="7" t="n">
        <f aca="false">IF(AND(E118="Closed Won",I118&gt;=Inputs!$B$6,I118&lt;=Inputs!$B$4),1,0)</f>
        <v>0</v>
      </c>
      <c r="AG118" s="7" t="n">
        <f aca="false">IF(AND(O118=0,I118&gt;Inputs!$B$4-Inputs!$B$8,I118&lt;=Inputs!$B$4),1,0)</f>
        <v>0</v>
      </c>
      <c r="AH118" s="7" t="n">
        <f aca="false">I118-H118</f>
        <v>53</v>
      </c>
    </row>
    <row r="119" customFormat="false" ht="15" hidden="false" customHeight="false" outlineLevel="0" collapsed="false">
      <c r="A119" s="16" t="s">
        <v>873</v>
      </c>
      <c r="B119" s="16" t="s">
        <v>753</v>
      </c>
      <c r="C119" s="16" t="s">
        <v>874</v>
      </c>
      <c r="D119" s="16" t="s">
        <v>167</v>
      </c>
      <c r="E119" s="16" t="s">
        <v>530</v>
      </c>
      <c r="F119" s="26" t="n">
        <v>2494000</v>
      </c>
      <c r="G119" s="25" t="n">
        <v>100</v>
      </c>
      <c r="H119" s="22" t="n">
        <v>46052</v>
      </c>
      <c r="I119" s="22" t="n">
        <v>46127</v>
      </c>
      <c r="J119" s="22" t="n">
        <v>46127</v>
      </c>
      <c r="K119" s="16" t="s">
        <v>654</v>
      </c>
      <c r="L119" s="16" t="s">
        <v>584</v>
      </c>
      <c r="M119" s="16"/>
      <c r="N119" s="16"/>
      <c r="O119" s="7" t="n">
        <f aca="false">IF(OR(E119="Closed Won",E119="Closed Lost"),0,1)</f>
        <v>0</v>
      </c>
      <c r="P119" s="17" t="str">
        <f aca="false">INDEX(Accounts!$K$5:$K$336,MATCH(B119,Accounts!$A$5:$A$336,0))</f>
        <v>Public Sector &amp; Development</v>
      </c>
      <c r="Q119" s="17" t="str">
        <f aca="false">INDEX(Accounts!$D$5:$D$336,MATCH(B119,Accounts!$A$5:$A$336,0))</f>
        <v>Standard</v>
      </c>
      <c r="R119" s="7" t="n">
        <f aca="false">INDEX(Inputs!$B$11:$B$16,MATCH(E119,Inputs!$A$11:$A$16,0))</f>
        <v>100</v>
      </c>
      <c r="S119" s="27" t="n">
        <f aca="false">IF(F119="",0,F119)*R119/100</f>
        <v>2494000</v>
      </c>
      <c r="T119" s="7" t="n">
        <f aca="false">Inputs!$B$4-J119</f>
        <v>187</v>
      </c>
      <c r="U119" s="7" t="n">
        <f aca="false">IF(OR(F119="",F119=0),1,0)</f>
        <v>0</v>
      </c>
      <c r="V119" s="7" t="n">
        <f aca="false">IF(K119="",1,0)</f>
        <v>0</v>
      </c>
      <c r="W119" s="7" t="n">
        <f aca="false">IF(AND(O119=1,K119&lt;&gt;"",COUNTIFS(Owners!$A$5:$A$32,K119,Owners!$E$5:$E$32,"No")&gt;0),1,0)</f>
        <v>0</v>
      </c>
      <c r="X119" s="7" t="n">
        <f aca="false">IF(AND(O119=1,I119&lt;Inputs!$B$4),1,0)</f>
        <v>0</v>
      </c>
      <c r="Y119" s="7" t="n">
        <f aca="false">IF(AND(O119=1,T119&gt;Inputs!$B$5),1,0)</f>
        <v>0</v>
      </c>
      <c r="Z119" s="7" t="n">
        <f aca="false">IF(AND(O119=1,G119&lt;&gt;R119),1,0)</f>
        <v>0</v>
      </c>
      <c r="AA119" s="7" t="n">
        <f aca="false">IF(AND(O119=1,M119=""),1,0)</f>
        <v>0</v>
      </c>
      <c r="AB119" s="7" t="n">
        <f aca="false">IF(AND(E119="Closed Lost",N119=""),1,0)</f>
        <v>0</v>
      </c>
      <c r="AC119" s="7" t="n">
        <f aca="false">SUM(U119:AB119)</f>
        <v>0</v>
      </c>
      <c r="AD119" s="7" t="n">
        <f aca="false">IF(AC119=0,1,0)</f>
        <v>1</v>
      </c>
      <c r="AE119" s="7" t="n">
        <f aca="false">IF(AND(O119=1,I119&gt;=Inputs!$B$6,I119&lt;=Inputs!$B$7),1,0)</f>
        <v>0</v>
      </c>
      <c r="AF119" s="7" t="n">
        <f aca="false">IF(AND(E119="Closed Won",I119&gt;=Inputs!$B$6,I119&lt;=Inputs!$B$4),1,0)</f>
        <v>0</v>
      </c>
      <c r="AG119" s="7" t="n">
        <f aca="false">IF(AND(O119=0,I119&gt;Inputs!$B$4-Inputs!$B$8,I119&lt;=Inputs!$B$4),1,0)</f>
        <v>1</v>
      </c>
      <c r="AH119" s="7" t="n">
        <f aca="false">I119-H119</f>
        <v>75</v>
      </c>
    </row>
    <row r="120" customFormat="false" ht="15" hidden="false" customHeight="false" outlineLevel="0" collapsed="false">
      <c r="A120" s="16" t="s">
        <v>875</v>
      </c>
      <c r="B120" s="16" t="s">
        <v>394</v>
      </c>
      <c r="C120" s="16" t="s">
        <v>876</v>
      </c>
      <c r="D120" s="16" t="s">
        <v>167</v>
      </c>
      <c r="E120" s="16" t="s">
        <v>527</v>
      </c>
      <c r="F120" s="26" t="n">
        <v>2410000</v>
      </c>
      <c r="G120" s="25" t="n">
        <v>25</v>
      </c>
      <c r="H120" s="22" t="n">
        <v>46306</v>
      </c>
      <c r="I120" s="22" t="n">
        <v>46323</v>
      </c>
      <c r="J120" s="22" t="n">
        <v>46298</v>
      </c>
      <c r="K120" s="16" t="s">
        <v>765</v>
      </c>
      <c r="L120" s="16" t="s">
        <v>584</v>
      </c>
      <c r="M120" s="16" t="s">
        <v>613</v>
      </c>
      <c r="N120" s="16"/>
      <c r="O120" s="7" t="n">
        <f aca="false">IF(OR(E120="Closed Won",E120="Closed Lost"),0,1)</f>
        <v>1</v>
      </c>
      <c r="P120" s="17" t="str">
        <f aca="false">INDEX(Accounts!$K$5:$K$336,MATCH(B120,Accounts!$A$5:$A$336,0))</f>
        <v>Energy &amp; Resources</v>
      </c>
      <c r="Q120" s="17" t="str">
        <f aca="false">INDEX(Accounts!$D$5:$D$336,MATCH(B120,Accounts!$A$5:$A$336,0))</f>
        <v>Key</v>
      </c>
      <c r="R120" s="7" t="n">
        <f aca="false">INDEX(Inputs!$B$11:$B$16,MATCH(E120,Inputs!$A$11:$A$16,0))</f>
        <v>25</v>
      </c>
      <c r="S120" s="27" t="n">
        <f aca="false">IF(F120="",0,F120)*R120/100</f>
        <v>602500</v>
      </c>
      <c r="T120" s="7" t="n">
        <f aca="false">Inputs!$B$4-J120</f>
        <v>16</v>
      </c>
      <c r="U120" s="7" t="n">
        <f aca="false">IF(OR(F120="",F120=0),1,0)</f>
        <v>0</v>
      </c>
      <c r="V120" s="7" t="n">
        <f aca="false">IF(K120="",1,0)</f>
        <v>0</v>
      </c>
      <c r="W120" s="7" t="n">
        <f aca="false">IF(AND(O120=1,K120&lt;&gt;"",COUNTIFS(Owners!$A$5:$A$32,K120,Owners!$E$5:$E$32,"No")&gt;0),1,0)</f>
        <v>0</v>
      </c>
      <c r="X120" s="7" t="n">
        <f aca="false">IF(AND(O120=1,I120&lt;Inputs!$B$4),1,0)</f>
        <v>0</v>
      </c>
      <c r="Y120" s="7" t="n">
        <f aca="false">IF(AND(O120=1,T120&gt;Inputs!$B$5),1,0)</f>
        <v>0</v>
      </c>
      <c r="Z120" s="7" t="n">
        <f aca="false">IF(AND(O120=1,G120&lt;&gt;R120),1,0)</f>
        <v>0</v>
      </c>
      <c r="AA120" s="7" t="n">
        <f aca="false">IF(AND(O120=1,M120=""),1,0)</f>
        <v>0</v>
      </c>
      <c r="AB120" s="7" t="n">
        <f aca="false">IF(AND(E120="Closed Lost",N120=""),1,0)</f>
        <v>0</v>
      </c>
      <c r="AC120" s="7" t="n">
        <f aca="false">SUM(U120:AB120)</f>
        <v>0</v>
      </c>
      <c r="AD120" s="7" t="n">
        <f aca="false">IF(AC120=0,1,0)</f>
        <v>1</v>
      </c>
      <c r="AE120" s="7" t="n">
        <f aca="false">IF(AND(O120=1,I120&gt;=Inputs!$B$6,I120&lt;=Inputs!$B$7),1,0)</f>
        <v>1</v>
      </c>
      <c r="AF120" s="7" t="n">
        <f aca="false">IF(AND(E120="Closed Won",I120&gt;=Inputs!$B$6,I120&lt;=Inputs!$B$4),1,0)</f>
        <v>0</v>
      </c>
      <c r="AG120" s="7" t="n">
        <f aca="false">IF(AND(O120=0,I120&gt;Inputs!$B$4-Inputs!$B$8,I120&lt;=Inputs!$B$4),1,0)</f>
        <v>0</v>
      </c>
      <c r="AH120" s="7" t="n">
        <f aca="false">I120-H120</f>
        <v>17</v>
      </c>
    </row>
    <row r="121" customFormat="false" ht="15" hidden="false" customHeight="false" outlineLevel="0" collapsed="false">
      <c r="A121" s="16" t="s">
        <v>877</v>
      </c>
      <c r="B121" s="16" t="s">
        <v>878</v>
      </c>
      <c r="C121" s="16" t="s">
        <v>879</v>
      </c>
      <c r="D121" s="16" t="s">
        <v>165</v>
      </c>
      <c r="E121" s="16" t="s">
        <v>530</v>
      </c>
      <c r="F121" s="26" t="n">
        <v>15254000</v>
      </c>
      <c r="G121" s="25" t="n">
        <v>100</v>
      </c>
      <c r="H121" s="22" t="n">
        <v>46053</v>
      </c>
      <c r="I121" s="22" t="n">
        <v>46247</v>
      </c>
      <c r="J121" s="22" t="n">
        <v>46247</v>
      </c>
      <c r="K121" s="16" t="s">
        <v>880</v>
      </c>
      <c r="L121" s="16" t="s">
        <v>584</v>
      </c>
      <c r="M121" s="16"/>
      <c r="N121" s="16"/>
      <c r="O121" s="7" t="n">
        <f aca="false">IF(OR(E121="Closed Won",E121="Closed Lost"),0,1)</f>
        <v>0</v>
      </c>
      <c r="P121" s="17" t="str">
        <f aca="false">INDEX(Accounts!$K$5:$K$336,MATCH(B121,Accounts!$A$5:$A$336,0))</f>
        <v>Agribusiness</v>
      </c>
      <c r="Q121" s="17" t="str">
        <f aca="false">INDEX(Accounts!$D$5:$D$336,MATCH(B121,Accounts!$A$5:$A$336,0))</f>
        <v>Standard</v>
      </c>
      <c r="R121" s="7" t="n">
        <f aca="false">INDEX(Inputs!$B$11:$B$16,MATCH(E121,Inputs!$A$11:$A$16,0))</f>
        <v>100</v>
      </c>
      <c r="S121" s="27" t="n">
        <f aca="false">IF(F121="",0,F121)*R121/100</f>
        <v>15254000</v>
      </c>
      <c r="T121" s="7" t="n">
        <f aca="false">Inputs!$B$4-J121</f>
        <v>67</v>
      </c>
      <c r="U121" s="7" t="n">
        <f aca="false">IF(OR(F121="",F121=0),1,0)</f>
        <v>0</v>
      </c>
      <c r="V121" s="7" t="n">
        <f aca="false">IF(K121="",1,0)</f>
        <v>0</v>
      </c>
      <c r="W121" s="7" t="n">
        <f aca="false">IF(AND(O121=1,K121&lt;&gt;"",COUNTIFS(Owners!$A$5:$A$32,K121,Owners!$E$5:$E$32,"No")&gt;0),1,0)</f>
        <v>0</v>
      </c>
      <c r="X121" s="7" t="n">
        <f aca="false">IF(AND(O121=1,I121&lt;Inputs!$B$4),1,0)</f>
        <v>0</v>
      </c>
      <c r="Y121" s="7" t="n">
        <f aca="false">IF(AND(O121=1,T121&gt;Inputs!$B$5),1,0)</f>
        <v>0</v>
      </c>
      <c r="Z121" s="7" t="n">
        <f aca="false">IF(AND(O121=1,G121&lt;&gt;R121),1,0)</f>
        <v>0</v>
      </c>
      <c r="AA121" s="7" t="n">
        <f aca="false">IF(AND(O121=1,M121=""),1,0)</f>
        <v>0</v>
      </c>
      <c r="AB121" s="7" t="n">
        <f aca="false">IF(AND(E121="Closed Lost",N121=""),1,0)</f>
        <v>0</v>
      </c>
      <c r="AC121" s="7" t="n">
        <f aca="false">SUM(U121:AB121)</f>
        <v>0</v>
      </c>
      <c r="AD121" s="7" t="n">
        <f aca="false">IF(AC121=0,1,0)</f>
        <v>1</v>
      </c>
      <c r="AE121" s="7" t="n">
        <f aca="false">IF(AND(O121=1,I121&gt;=Inputs!$B$6,I121&lt;=Inputs!$B$7),1,0)</f>
        <v>0</v>
      </c>
      <c r="AF121" s="7" t="n">
        <f aca="false">IF(AND(E121="Closed Won",I121&gt;=Inputs!$B$6,I121&lt;=Inputs!$B$4),1,0)</f>
        <v>1</v>
      </c>
      <c r="AG121" s="7" t="n">
        <f aca="false">IF(AND(O121=0,I121&gt;Inputs!$B$4-Inputs!$B$8,I121&lt;=Inputs!$B$4),1,0)</f>
        <v>1</v>
      </c>
      <c r="AH121" s="7" t="n">
        <f aca="false">I121-H121</f>
        <v>194</v>
      </c>
    </row>
    <row r="122" customFormat="false" ht="15" hidden="false" customHeight="false" outlineLevel="0" collapsed="false">
      <c r="A122" s="16" t="s">
        <v>881</v>
      </c>
      <c r="B122" s="16" t="s">
        <v>61</v>
      </c>
      <c r="C122" s="16" t="s">
        <v>882</v>
      </c>
      <c r="D122" s="16" t="s">
        <v>165</v>
      </c>
      <c r="E122" s="16" t="s">
        <v>531</v>
      </c>
      <c r="F122" s="26" t="n">
        <v>19148000</v>
      </c>
      <c r="G122" s="25" t="n">
        <v>0</v>
      </c>
      <c r="H122" s="22" t="n">
        <v>45934</v>
      </c>
      <c r="I122" s="22" t="n">
        <v>46105</v>
      </c>
      <c r="J122" s="22" t="n">
        <v>46105</v>
      </c>
      <c r="K122" s="16" t="s">
        <v>567</v>
      </c>
      <c r="L122" s="16" t="s">
        <v>584</v>
      </c>
      <c r="M122" s="16"/>
      <c r="N122" s="16" t="s">
        <v>713</v>
      </c>
      <c r="O122" s="7" t="n">
        <f aca="false">IF(OR(E122="Closed Won",E122="Closed Lost"),0,1)</f>
        <v>0</v>
      </c>
      <c r="P122" s="17" t="str">
        <f aca="false">INDEX(Accounts!$K$5:$K$336,MATCH(B122,Accounts!$A$5:$A$336,0))</f>
        <v>Agribusiness</v>
      </c>
      <c r="Q122" s="17" t="str">
        <f aca="false">INDEX(Accounts!$D$5:$D$336,MATCH(B122,Accounts!$A$5:$A$336,0))</f>
        <v>Priority</v>
      </c>
      <c r="R122" s="7" t="n">
        <f aca="false">INDEX(Inputs!$B$11:$B$16,MATCH(E122,Inputs!$A$11:$A$16,0))</f>
        <v>0</v>
      </c>
      <c r="S122" s="27" t="n">
        <f aca="false">IF(F122="",0,F122)*R122/100</f>
        <v>0</v>
      </c>
      <c r="T122" s="7" t="n">
        <f aca="false">Inputs!$B$4-J122</f>
        <v>209</v>
      </c>
      <c r="U122" s="7" t="n">
        <f aca="false">IF(OR(F122="",F122=0),1,0)</f>
        <v>0</v>
      </c>
      <c r="V122" s="7" t="n">
        <f aca="false">IF(K122="",1,0)</f>
        <v>0</v>
      </c>
      <c r="W122" s="7" t="n">
        <f aca="false">IF(AND(O122=1,K122&lt;&gt;"",COUNTIFS(Owners!$A$5:$A$32,K122,Owners!$E$5:$E$32,"No")&gt;0),1,0)</f>
        <v>0</v>
      </c>
      <c r="X122" s="7" t="n">
        <f aca="false">IF(AND(O122=1,I122&lt;Inputs!$B$4),1,0)</f>
        <v>0</v>
      </c>
      <c r="Y122" s="7" t="n">
        <f aca="false">IF(AND(O122=1,T122&gt;Inputs!$B$5),1,0)</f>
        <v>0</v>
      </c>
      <c r="Z122" s="7" t="n">
        <f aca="false">IF(AND(O122=1,G122&lt;&gt;R122),1,0)</f>
        <v>0</v>
      </c>
      <c r="AA122" s="7" t="n">
        <f aca="false">IF(AND(O122=1,M122=""),1,0)</f>
        <v>0</v>
      </c>
      <c r="AB122" s="7" t="n">
        <f aca="false">IF(AND(E122="Closed Lost",N122=""),1,0)</f>
        <v>0</v>
      </c>
      <c r="AC122" s="7" t="n">
        <f aca="false">SUM(U122:AB122)</f>
        <v>0</v>
      </c>
      <c r="AD122" s="7" t="n">
        <f aca="false">IF(AC122=0,1,0)</f>
        <v>1</v>
      </c>
      <c r="AE122" s="7" t="n">
        <f aca="false">IF(AND(O122=1,I122&gt;=Inputs!$B$6,I122&lt;=Inputs!$B$7),1,0)</f>
        <v>0</v>
      </c>
      <c r="AF122" s="7" t="n">
        <f aca="false">IF(AND(E122="Closed Won",I122&gt;=Inputs!$B$6,I122&lt;=Inputs!$B$4),1,0)</f>
        <v>0</v>
      </c>
      <c r="AG122" s="7" t="n">
        <f aca="false">IF(AND(O122=0,I122&gt;Inputs!$B$4-Inputs!$B$8,I122&lt;=Inputs!$B$4),1,0)</f>
        <v>1</v>
      </c>
      <c r="AH122" s="7" t="n">
        <f aca="false">I122-H122</f>
        <v>171</v>
      </c>
    </row>
    <row r="123" customFormat="false" ht="15" hidden="false" customHeight="false" outlineLevel="0" collapsed="false">
      <c r="A123" s="16" t="s">
        <v>883</v>
      </c>
      <c r="B123" s="16" t="s">
        <v>687</v>
      </c>
      <c r="C123" s="16" t="s">
        <v>884</v>
      </c>
      <c r="D123" s="16" t="s">
        <v>165</v>
      </c>
      <c r="E123" s="16" t="s">
        <v>526</v>
      </c>
      <c r="F123" s="26" t="n">
        <v>29286000</v>
      </c>
      <c r="G123" s="25" t="n">
        <v>10</v>
      </c>
      <c r="H123" s="22" t="n">
        <v>46273</v>
      </c>
      <c r="I123" s="22" t="n">
        <v>46288</v>
      </c>
      <c r="J123" s="22" t="n">
        <v>46277</v>
      </c>
      <c r="K123" s="16" t="s">
        <v>663</v>
      </c>
      <c r="L123" s="16" t="s">
        <v>584</v>
      </c>
      <c r="M123" s="16" t="s">
        <v>569</v>
      </c>
      <c r="N123" s="16"/>
      <c r="O123" s="7" t="n">
        <f aca="false">IF(OR(E123="Closed Won",E123="Closed Lost"),0,1)</f>
        <v>1</v>
      </c>
      <c r="P123" s="17" t="str">
        <f aca="false">INDEX(Accounts!$K$5:$K$336,MATCH(B123,Accounts!$A$5:$A$336,0))</f>
        <v>Consumer &amp; Retail</v>
      </c>
      <c r="Q123" s="17" t="str">
        <f aca="false">INDEX(Accounts!$D$5:$D$336,MATCH(B123,Accounts!$A$5:$A$336,0))</f>
        <v>Key</v>
      </c>
      <c r="R123" s="7" t="n">
        <f aca="false">INDEX(Inputs!$B$11:$B$16,MATCH(E123,Inputs!$A$11:$A$16,0))</f>
        <v>10</v>
      </c>
      <c r="S123" s="27" t="n">
        <f aca="false">IF(F123="",0,F123)*R123/100</f>
        <v>2928600</v>
      </c>
      <c r="T123" s="7" t="n">
        <f aca="false">Inputs!$B$4-J123</f>
        <v>37</v>
      </c>
      <c r="U123" s="7" t="n">
        <f aca="false">IF(OR(F123="",F123=0),1,0)</f>
        <v>0</v>
      </c>
      <c r="V123" s="7" t="n">
        <f aca="false">IF(K123="",1,0)</f>
        <v>0</v>
      </c>
      <c r="W123" s="7" t="n">
        <f aca="false">IF(AND(O123=1,K123&lt;&gt;"",COUNTIFS(Owners!$A$5:$A$32,K123,Owners!$E$5:$E$32,"No")&gt;0),1,0)</f>
        <v>0</v>
      </c>
      <c r="X123" s="7" t="n">
        <f aca="false">IF(AND(O123=1,I123&lt;Inputs!$B$4),1,0)</f>
        <v>1</v>
      </c>
      <c r="Y123" s="7" t="n">
        <f aca="false">IF(AND(O123=1,T123&gt;Inputs!$B$5),1,0)</f>
        <v>0</v>
      </c>
      <c r="Z123" s="7" t="n">
        <f aca="false">IF(AND(O123=1,G123&lt;&gt;R123),1,0)</f>
        <v>0</v>
      </c>
      <c r="AA123" s="7" t="n">
        <f aca="false">IF(AND(O123=1,M123=""),1,0)</f>
        <v>0</v>
      </c>
      <c r="AB123" s="7" t="n">
        <f aca="false">IF(AND(E123="Closed Lost",N123=""),1,0)</f>
        <v>0</v>
      </c>
      <c r="AC123" s="7" t="n">
        <f aca="false">SUM(U123:AB123)</f>
        <v>1</v>
      </c>
      <c r="AD123" s="7" t="n">
        <f aca="false">IF(AC123=0,1,0)</f>
        <v>0</v>
      </c>
      <c r="AE123" s="7" t="n">
        <f aca="false">IF(AND(O123=1,I123&gt;=Inputs!$B$6,I123&lt;=Inputs!$B$7),1,0)</f>
        <v>1</v>
      </c>
      <c r="AF123" s="7" t="n">
        <f aca="false">IF(AND(E123="Closed Won",I123&gt;=Inputs!$B$6,I123&lt;=Inputs!$B$4),1,0)</f>
        <v>0</v>
      </c>
      <c r="AG123" s="7" t="n">
        <f aca="false">IF(AND(O123=0,I123&gt;Inputs!$B$4-Inputs!$B$8,I123&lt;=Inputs!$B$4),1,0)</f>
        <v>0</v>
      </c>
      <c r="AH123" s="7" t="n">
        <f aca="false">I123-H123</f>
        <v>15</v>
      </c>
    </row>
    <row r="124" customFormat="false" ht="15" hidden="false" customHeight="false" outlineLevel="0" collapsed="false">
      <c r="A124" s="16" t="s">
        <v>885</v>
      </c>
      <c r="B124" s="16" t="s">
        <v>886</v>
      </c>
      <c r="C124" s="16" t="s">
        <v>887</v>
      </c>
      <c r="D124" s="16" t="s">
        <v>167</v>
      </c>
      <c r="E124" s="16" t="s">
        <v>531</v>
      </c>
      <c r="F124" s="26" t="n">
        <v>8011000</v>
      </c>
      <c r="G124" s="25" t="n">
        <v>0</v>
      </c>
      <c r="H124" s="22" t="n">
        <v>46007</v>
      </c>
      <c r="I124" s="22" t="n">
        <v>46075</v>
      </c>
      <c r="J124" s="22" t="n">
        <v>46075</v>
      </c>
      <c r="K124" s="16" t="s">
        <v>666</v>
      </c>
      <c r="L124" s="16" t="s">
        <v>592</v>
      </c>
      <c r="M124" s="16"/>
      <c r="N124" s="16" t="s">
        <v>579</v>
      </c>
      <c r="O124" s="7" t="n">
        <f aca="false">IF(OR(E124="Closed Won",E124="Closed Lost"),0,1)</f>
        <v>0</v>
      </c>
      <c r="P124" s="17" t="str">
        <f aca="false">INDEX(Accounts!$K$5:$K$336,MATCH(B124,Accounts!$A$5:$A$336,0))</f>
        <v>Agribusiness</v>
      </c>
      <c r="Q124" s="17" t="str">
        <f aca="false">INDEX(Accounts!$D$5:$D$336,MATCH(B124,Accounts!$A$5:$A$336,0))</f>
        <v>Standard</v>
      </c>
      <c r="R124" s="7" t="n">
        <f aca="false">INDEX(Inputs!$B$11:$B$16,MATCH(E124,Inputs!$A$11:$A$16,0))</f>
        <v>0</v>
      </c>
      <c r="S124" s="27" t="n">
        <f aca="false">IF(F124="",0,F124)*R124/100</f>
        <v>0</v>
      </c>
      <c r="T124" s="7" t="n">
        <f aca="false">Inputs!$B$4-J124</f>
        <v>239</v>
      </c>
      <c r="U124" s="7" t="n">
        <f aca="false">IF(OR(F124="",F124=0),1,0)</f>
        <v>0</v>
      </c>
      <c r="V124" s="7" t="n">
        <f aca="false">IF(K124="",1,0)</f>
        <v>0</v>
      </c>
      <c r="W124" s="7" t="n">
        <f aca="false">IF(AND(O124=1,K124&lt;&gt;"",COUNTIFS(Owners!$A$5:$A$32,K124,Owners!$E$5:$E$32,"No")&gt;0),1,0)</f>
        <v>0</v>
      </c>
      <c r="X124" s="7" t="n">
        <f aca="false">IF(AND(O124=1,I124&lt;Inputs!$B$4),1,0)</f>
        <v>0</v>
      </c>
      <c r="Y124" s="7" t="n">
        <f aca="false">IF(AND(O124=1,T124&gt;Inputs!$B$5),1,0)</f>
        <v>0</v>
      </c>
      <c r="Z124" s="7" t="n">
        <f aca="false">IF(AND(O124=1,G124&lt;&gt;R124),1,0)</f>
        <v>0</v>
      </c>
      <c r="AA124" s="7" t="n">
        <f aca="false">IF(AND(O124=1,M124=""),1,0)</f>
        <v>0</v>
      </c>
      <c r="AB124" s="7" t="n">
        <f aca="false">IF(AND(E124="Closed Lost",N124=""),1,0)</f>
        <v>0</v>
      </c>
      <c r="AC124" s="7" t="n">
        <f aca="false">SUM(U124:AB124)</f>
        <v>0</v>
      </c>
      <c r="AD124" s="7" t="n">
        <f aca="false">IF(AC124=0,1,0)</f>
        <v>1</v>
      </c>
      <c r="AE124" s="7" t="n">
        <f aca="false">IF(AND(O124=1,I124&gt;=Inputs!$B$6,I124&lt;=Inputs!$B$7),1,0)</f>
        <v>0</v>
      </c>
      <c r="AF124" s="7" t="n">
        <f aca="false">IF(AND(E124="Closed Won",I124&gt;=Inputs!$B$6,I124&lt;=Inputs!$B$4),1,0)</f>
        <v>0</v>
      </c>
      <c r="AG124" s="7" t="n">
        <f aca="false">IF(AND(O124=0,I124&gt;Inputs!$B$4-Inputs!$B$8,I124&lt;=Inputs!$B$4),1,0)</f>
        <v>1</v>
      </c>
      <c r="AH124" s="7" t="n">
        <f aca="false">I124-H124</f>
        <v>68</v>
      </c>
    </row>
    <row r="125" customFormat="false" ht="15" hidden="false" customHeight="false" outlineLevel="0" collapsed="false">
      <c r="A125" s="16" t="s">
        <v>888</v>
      </c>
      <c r="B125" s="16" t="s">
        <v>220</v>
      </c>
      <c r="C125" s="16" t="s">
        <v>889</v>
      </c>
      <c r="D125" s="16" t="s">
        <v>162</v>
      </c>
      <c r="E125" s="16" t="s">
        <v>530</v>
      </c>
      <c r="F125" s="26" t="n">
        <v>18066000</v>
      </c>
      <c r="G125" s="25" t="n">
        <v>100</v>
      </c>
      <c r="H125" s="22" t="n">
        <v>45965</v>
      </c>
      <c r="I125" s="22" t="n">
        <v>46042</v>
      </c>
      <c r="J125" s="22" t="n">
        <v>46042</v>
      </c>
      <c r="K125" s="16" t="s">
        <v>880</v>
      </c>
      <c r="L125" s="16" t="s">
        <v>584</v>
      </c>
      <c r="M125" s="16"/>
      <c r="N125" s="16"/>
      <c r="O125" s="7" t="n">
        <f aca="false">IF(OR(E125="Closed Won",E125="Closed Lost"),0,1)</f>
        <v>0</v>
      </c>
      <c r="P125" s="17" t="str">
        <f aca="false">INDEX(Accounts!$K$5:$K$336,MATCH(B125,Accounts!$A$5:$A$336,0))</f>
        <v>Consumer &amp; Retail</v>
      </c>
      <c r="Q125" s="17" t="str">
        <f aca="false">INDEX(Accounts!$D$5:$D$336,MATCH(B125,Accounts!$A$5:$A$336,0))</f>
        <v>Key</v>
      </c>
      <c r="R125" s="7" t="n">
        <f aca="false">INDEX(Inputs!$B$11:$B$16,MATCH(E125,Inputs!$A$11:$A$16,0))</f>
        <v>100</v>
      </c>
      <c r="S125" s="27" t="n">
        <f aca="false">IF(F125="",0,F125)*R125/100</f>
        <v>18066000</v>
      </c>
      <c r="T125" s="7" t="n">
        <f aca="false">Inputs!$B$4-J125</f>
        <v>272</v>
      </c>
      <c r="U125" s="7" t="n">
        <f aca="false">IF(OR(F125="",F125=0),1,0)</f>
        <v>0</v>
      </c>
      <c r="V125" s="7" t="n">
        <f aca="false">IF(K125="",1,0)</f>
        <v>0</v>
      </c>
      <c r="W125" s="7" t="n">
        <f aca="false">IF(AND(O125=1,K125&lt;&gt;"",COUNTIFS(Owners!$A$5:$A$32,K125,Owners!$E$5:$E$32,"No")&gt;0),1,0)</f>
        <v>0</v>
      </c>
      <c r="X125" s="7" t="n">
        <f aca="false">IF(AND(O125=1,I125&lt;Inputs!$B$4),1,0)</f>
        <v>0</v>
      </c>
      <c r="Y125" s="7" t="n">
        <f aca="false">IF(AND(O125=1,T125&gt;Inputs!$B$5),1,0)</f>
        <v>0</v>
      </c>
      <c r="Z125" s="7" t="n">
        <f aca="false">IF(AND(O125=1,G125&lt;&gt;R125),1,0)</f>
        <v>0</v>
      </c>
      <c r="AA125" s="7" t="n">
        <f aca="false">IF(AND(O125=1,M125=""),1,0)</f>
        <v>0</v>
      </c>
      <c r="AB125" s="7" t="n">
        <f aca="false">IF(AND(E125="Closed Lost",N125=""),1,0)</f>
        <v>0</v>
      </c>
      <c r="AC125" s="7" t="n">
        <f aca="false">SUM(U125:AB125)</f>
        <v>0</v>
      </c>
      <c r="AD125" s="7" t="n">
        <f aca="false">IF(AC125=0,1,0)</f>
        <v>1</v>
      </c>
      <c r="AE125" s="7" t="n">
        <f aca="false">IF(AND(O125=1,I125&gt;=Inputs!$B$6,I125&lt;=Inputs!$B$7),1,0)</f>
        <v>0</v>
      </c>
      <c r="AF125" s="7" t="n">
        <f aca="false">IF(AND(E125="Closed Won",I125&gt;=Inputs!$B$6,I125&lt;=Inputs!$B$4),1,0)</f>
        <v>0</v>
      </c>
      <c r="AG125" s="7" t="n">
        <f aca="false">IF(AND(O125=0,I125&gt;Inputs!$B$4-Inputs!$B$8,I125&lt;=Inputs!$B$4),1,0)</f>
        <v>1</v>
      </c>
      <c r="AH125" s="7" t="n">
        <f aca="false">I125-H125</f>
        <v>77</v>
      </c>
    </row>
    <row r="126" customFormat="false" ht="15" hidden="false" customHeight="false" outlineLevel="0" collapsed="false">
      <c r="A126" s="16" t="s">
        <v>890</v>
      </c>
      <c r="B126" s="16" t="s">
        <v>437</v>
      </c>
      <c r="C126" s="16" t="s">
        <v>891</v>
      </c>
      <c r="D126" s="16" t="s">
        <v>165</v>
      </c>
      <c r="E126" s="16" t="s">
        <v>529</v>
      </c>
      <c r="F126" s="26" t="n">
        <v>45629000</v>
      </c>
      <c r="G126" s="25" t="n">
        <v>75</v>
      </c>
      <c r="H126" s="22" t="n">
        <v>46074</v>
      </c>
      <c r="I126" s="22" t="n">
        <v>46501</v>
      </c>
      <c r="J126" s="22" t="n">
        <v>46303</v>
      </c>
      <c r="K126" s="16" t="s">
        <v>666</v>
      </c>
      <c r="L126" s="16" t="s">
        <v>592</v>
      </c>
      <c r="M126" s="16" t="s">
        <v>575</v>
      </c>
      <c r="N126" s="16"/>
      <c r="O126" s="7" t="n">
        <f aca="false">IF(OR(E126="Closed Won",E126="Closed Lost"),0,1)</f>
        <v>1</v>
      </c>
      <c r="P126" s="17" t="str">
        <f aca="false">INDEX(Accounts!$K$5:$K$336,MATCH(B126,Accounts!$A$5:$A$336,0))</f>
        <v>Agribusiness</v>
      </c>
      <c r="Q126" s="17" t="str">
        <f aca="false">INDEX(Accounts!$D$5:$D$336,MATCH(B126,Accounts!$A$5:$A$336,0))</f>
        <v>Standard</v>
      </c>
      <c r="R126" s="7" t="n">
        <f aca="false">INDEX(Inputs!$B$11:$B$16,MATCH(E126,Inputs!$A$11:$A$16,0))</f>
        <v>75</v>
      </c>
      <c r="S126" s="27" t="n">
        <f aca="false">IF(F126="",0,F126)*R126/100</f>
        <v>34221750</v>
      </c>
      <c r="T126" s="7" t="n">
        <f aca="false">Inputs!$B$4-J126</f>
        <v>11</v>
      </c>
      <c r="U126" s="7" t="n">
        <f aca="false">IF(OR(F126="",F126=0),1,0)</f>
        <v>0</v>
      </c>
      <c r="V126" s="7" t="n">
        <f aca="false">IF(K126="",1,0)</f>
        <v>0</v>
      </c>
      <c r="W126" s="7" t="n">
        <f aca="false">IF(AND(O126=1,K126&lt;&gt;"",COUNTIFS(Owners!$A$5:$A$32,K126,Owners!$E$5:$E$32,"No")&gt;0),1,0)</f>
        <v>0</v>
      </c>
      <c r="X126" s="7" t="n">
        <f aca="false">IF(AND(O126=1,I126&lt;Inputs!$B$4),1,0)</f>
        <v>0</v>
      </c>
      <c r="Y126" s="7" t="n">
        <f aca="false">IF(AND(O126=1,T126&gt;Inputs!$B$5),1,0)</f>
        <v>0</v>
      </c>
      <c r="Z126" s="7" t="n">
        <f aca="false">IF(AND(O126=1,G126&lt;&gt;R126),1,0)</f>
        <v>0</v>
      </c>
      <c r="AA126" s="7" t="n">
        <f aca="false">IF(AND(O126=1,M126=""),1,0)</f>
        <v>0</v>
      </c>
      <c r="AB126" s="7" t="n">
        <f aca="false">IF(AND(E126="Closed Lost",N126=""),1,0)</f>
        <v>0</v>
      </c>
      <c r="AC126" s="7" t="n">
        <f aca="false">SUM(U126:AB126)</f>
        <v>0</v>
      </c>
      <c r="AD126" s="7" t="n">
        <f aca="false">IF(AC126=0,1,0)</f>
        <v>1</v>
      </c>
      <c r="AE126" s="7" t="n">
        <f aca="false">IF(AND(O126=1,I126&gt;=Inputs!$B$6,I126&lt;=Inputs!$B$7),1,0)</f>
        <v>1</v>
      </c>
      <c r="AF126" s="7" t="n">
        <f aca="false">IF(AND(E126="Closed Won",I126&gt;=Inputs!$B$6,I126&lt;=Inputs!$B$4),1,0)</f>
        <v>0</v>
      </c>
      <c r="AG126" s="7" t="n">
        <f aca="false">IF(AND(O126=0,I126&gt;Inputs!$B$4-Inputs!$B$8,I126&lt;=Inputs!$B$4),1,0)</f>
        <v>0</v>
      </c>
      <c r="AH126" s="7" t="n">
        <f aca="false">I126-H126</f>
        <v>427</v>
      </c>
    </row>
    <row r="127" customFormat="false" ht="15" hidden="false" customHeight="false" outlineLevel="0" collapsed="false">
      <c r="A127" s="16" t="s">
        <v>892</v>
      </c>
      <c r="B127" s="16" t="s">
        <v>70</v>
      </c>
      <c r="C127" s="16" t="s">
        <v>893</v>
      </c>
      <c r="D127" s="16" t="s">
        <v>165</v>
      </c>
      <c r="E127" s="16" t="s">
        <v>531</v>
      </c>
      <c r="F127" s="26" t="n">
        <v>18727000</v>
      </c>
      <c r="G127" s="25" t="n">
        <v>0</v>
      </c>
      <c r="H127" s="22" t="n">
        <v>45949</v>
      </c>
      <c r="I127" s="22" t="n">
        <v>46164</v>
      </c>
      <c r="J127" s="22" t="n">
        <v>46164</v>
      </c>
      <c r="K127" s="16" t="s">
        <v>567</v>
      </c>
      <c r="L127" s="16" t="s">
        <v>584</v>
      </c>
      <c r="M127" s="16"/>
      <c r="N127" s="16" t="s">
        <v>579</v>
      </c>
      <c r="O127" s="7" t="n">
        <f aca="false">IF(OR(E127="Closed Won",E127="Closed Lost"),0,1)</f>
        <v>0</v>
      </c>
      <c r="P127" s="17" t="str">
        <f aca="false">INDEX(Accounts!$K$5:$K$336,MATCH(B127,Accounts!$A$5:$A$336,0))</f>
        <v>Consumer &amp; Retail</v>
      </c>
      <c r="Q127" s="17" t="str">
        <f aca="false">INDEX(Accounts!$D$5:$D$336,MATCH(B127,Accounts!$A$5:$A$336,0))</f>
        <v>Priority</v>
      </c>
      <c r="R127" s="7" t="n">
        <f aca="false">INDEX(Inputs!$B$11:$B$16,MATCH(E127,Inputs!$A$11:$A$16,0))</f>
        <v>0</v>
      </c>
      <c r="S127" s="27" t="n">
        <f aca="false">IF(F127="",0,F127)*R127/100</f>
        <v>0</v>
      </c>
      <c r="T127" s="7" t="n">
        <f aca="false">Inputs!$B$4-J127</f>
        <v>150</v>
      </c>
      <c r="U127" s="7" t="n">
        <f aca="false">IF(OR(F127="",F127=0),1,0)</f>
        <v>0</v>
      </c>
      <c r="V127" s="7" t="n">
        <f aca="false">IF(K127="",1,0)</f>
        <v>0</v>
      </c>
      <c r="W127" s="7" t="n">
        <f aca="false">IF(AND(O127=1,K127&lt;&gt;"",COUNTIFS(Owners!$A$5:$A$32,K127,Owners!$E$5:$E$32,"No")&gt;0),1,0)</f>
        <v>0</v>
      </c>
      <c r="X127" s="7" t="n">
        <f aca="false">IF(AND(O127=1,I127&lt;Inputs!$B$4),1,0)</f>
        <v>0</v>
      </c>
      <c r="Y127" s="7" t="n">
        <f aca="false">IF(AND(O127=1,T127&gt;Inputs!$B$5),1,0)</f>
        <v>0</v>
      </c>
      <c r="Z127" s="7" t="n">
        <f aca="false">IF(AND(O127=1,G127&lt;&gt;R127),1,0)</f>
        <v>0</v>
      </c>
      <c r="AA127" s="7" t="n">
        <f aca="false">IF(AND(O127=1,M127=""),1,0)</f>
        <v>0</v>
      </c>
      <c r="AB127" s="7" t="n">
        <f aca="false">IF(AND(E127="Closed Lost",N127=""),1,0)</f>
        <v>0</v>
      </c>
      <c r="AC127" s="7" t="n">
        <f aca="false">SUM(U127:AB127)</f>
        <v>0</v>
      </c>
      <c r="AD127" s="7" t="n">
        <f aca="false">IF(AC127=0,1,0)</f>
        <v>1</v>
      </c>
      <c r="AE127" s="7" t="n">
        <f aca="false">IF(AND(O127=1,I127&gt;=Inputs!$B$6,I127&lt;=Inputs!$B$7),1,0)</f>
        <v>0</v>
      </c>
      <c r="AF127" s="7" t="n">
        <f aca="false">IF(AND(E127="Closed Won",I127&gt;=Inputs!$B$6,I127&lt;=Inputs!$B$4),1,0)</f>
        <v>0</v>
      </c>
      <c r="AG127" s="7" t="n">
        <f aca="false">IF(AND(O127=0,I127&gt;Inputs!$B$4-Inputs!$B$8,I127&lt;=Inputs!$B$4),1,0)</f>
        <v>1</v>
      </c>
      <c r="AH127" s="7" t="n">
        <f aca="false">I127-H127</f>
        <v>215</v>
      </c>
    </row>
    <row r="128" customFormat="false" ht="15" hidden="false" customHeight="false" outlineLevel="0" collapsed="false">
      <c r="A128" s="16" t="s">
        <v>894</v>
      </c>
      <c r="B128" s="16" t="s">
        <v>82</v>
      </c>
      <c r="C128" s="16" t="s">
        <v>895</v>
      </c>
      <c r="D128" s="16" t="s">
        <v>167</v>
      </c>
      <c r="E128" s="16" t="s">
        <v>530</v>
      </c>
      <c r="F128" s="26" t="n">
        <v>20898000</v>
      </c>
      <c r="G128" s="25" t="n">
        <v>100</v>
      </c>
      <c r="H128" s="22" t="n">
        <v>46189</v>
      </c>
      <c r="I128" s="22" t="n">
        <v>46282</v>
      </c>
      <c r="J128" s="22" t="n">
        <v>46282</v>
      </c>
      <c r="K128" s="16" t="s">
        <v>633</v>
      </c>
      <c r="L128" s="16" t="s">
        <v>592</v>
      </c>
      <c r="M128" s="16"/>
      <c r="N128" s="16"/>
      <c r="O128" s="7" t="n">
        <f aca="false">IF(OR(E128="Closed Won",E128="Closed Lost"),0,1)</f>
        <v>0</v>
      </c>
      <c r="P128" s="17" t="str">
        <f aca="false">INDEX(Accounts!$K$5:$K$336,MATCH(B128,Accounts!$A$5:$A$336,0))</f>
        <v>Public Sector &amp; Development</v>
      </c>
      <c r="Q128" s="17" t="str">
        <f aca="false">INDEX(Accounts!$D$5:$D$336,MATCH(B128,Accounts!$A$5:$A$336,0))</f>
        <v>Priority</v>
      </c>
      <c r="R128" s="7" t="n">
        <f aca="false">INDEX(Inputs!$B$11:$B$16,MATCH(E128,Inputs!$A$11:$A$16,0))</f>
        <v>100</v>
      </c>
      <c r="S128" s="27" t="n">
        <f aca="false">IF(F128="",0,F128)*R128/100</f>
        <v>20898000</v>
      </c>
      <c r="T128" s="7" t="n">
        <f aca="false">Inputs!$B$4-J128</f>
        <v>32</v>
      </c>
      <c r="U128" s="7" t="n">
        <f aca="false">IF(OR(F128="",F128=0),1,0)</f>
        <v>0</v>
      </c>
      <c r="V128" s="7" t="n">
        <f aca="false">IF(K128="",1,0)</f>
        <v>0</v>
      </c>
      <c r="W128" s="7" t="n">
        <f aca="false">IF(AND(O128=1,K128&lt;&gt;"",COUNTIFS(Owners!$A$5:$A$32,K128,Owners!$E$5:$E$32,"No")&gt;0),1,0)</f>
        <v>0</v>
      </c>
      <c r="X128" s="7" t="n">
        <f aca="false">IF(AND(O128=1,I128&lt;Inputs!$B$4),1,0)</f>
        <v>0</v>
      </c>
      <c r="Y128" s="7" t="n">
        <f aca="false">IF(AND(O128=1,T128&gt;Inputs!$B$5),1,0)</f>
        <v>0</v>
      </c>
      <c r="Z128" s="7" t="n">
        <f aca="false">IF(AND(O128=1,G128&lt;&gt;R128),1,0)</f>
        <v>0</v>
      </c>
      <c r="AA128" s="7" t="n">
        <f aca="false">IF(AND(O128=1,M128=""),1,0)</f>
        <v>0</v>
      </c>
      <c r="AB128" s="7" t="n">
        <f aca="false">IF(AND(E128="Closed Lost",N128=""),1,0)</f>
        <v>0</v>
      </c>
      <c r="AC128" s="7" t="n">
        <f aca="false">SUM(U128:AB128)</f>
        <v>0</v>
      </c>
      <c r="AD128" s="7" t="n">
        <f aca="false">IF(AC128=0,1,0)</f>
        <v>1</v>
      </c>
      <c r="AE128" s="7" t="n">
        <f aca="false">IF(AND(O128=1,I128&gt;=Inputs!$B$6,I128&lt;=Inputs!$B$7),1,0)</f>
        <v>0</v>
      </c>
      <c r="AF128" s="7" t="n">
        <f aca="false">IF(AND(E128="Closed Won",I128&gt;=Inputs!$B$6,I128&lt;=Inputs!$B$4),1,0)</f>
        <v>1</v>
      </c>
      <c r="AG128" s="7" t="n">
        <f aca="false">IF(AND(O128=0,I128&gt;Inputs!$B$4-Inputs!$B$8,I128&lt;=Inputs!$B$4),1,0)</f>
        <v>1</v>
      </c>
      <c r="AH128" s="7" t="n">
        <f aca="false">I128-H128</f>
        <v>93</v>
      </c>
    </row>
    <row r="129" customFormat="false" ht="15" hidden="false" customHeight="false" outlineLevel="0" collapsed="false">
      <c r="A129" s="16" t="s">
        <v>896</v>
      </c>
      <c r="B129" s="16" t="s">
        <v>394</v>
      </c>
      <c r="C129" s="16" t="s">
        <v>876</v>
      </c>
      <c r="D129" s="16" t="s">
        <v>167</v>
      </c>
      <c r="E129" s="16" t="s">
        <v>530</v>
      </c>
      <c r="F129" s="26" t="n">
        <v>104092000</v>
      </c>
      <c r="G129" s="25" t="n">
        <v>100</v>
      </c>
      <c r="H129" s="22" t="n">
        <v>46211</v>
      </c>
      <c r="I129" s="22" t="n">
        <v>46291</v>
      </c>
      <c r="J129" s="22" t="n">
        <v>46291</v>
      </c>
      <c r="K129" s="16" t="s">
        <v>765</v>
      </c>
      <c r="L129" s="16" t="s">
        <v>609</v>
      </c>
      <c r="M129" s="16"/>
      <c r="N129" s="16"/>
      <c r="O129" s="7" t="n">
        <f aca="false">IF(OR(E129="Closed Won",E129="Closed Lost"),0,1)</f>
        <v>0</v>
      </c>
      <c r="P129" s="17" t="str">
        <f aca="false">INDEX(Accounts!$K$5:$K$336,MATCH(B129,Accounts!$A$5:$A$336,0))</f>
        <v>Energy &amp; Resources</v>
      </c>
      <c r="Q129" s="17" t="str">
        <f aca="false">INDEX(Accounts!$D$5:$D$336,MATCH(B129,Accounts!$A$5:$A$336,0))</f>
        <v>Key</v>
      </c>
      <c r="R129" s="7" t="n">
        <f aca="false">INDEX(Inputs!$B$11:$B$16,MATCH(E129,Inputs!$A$11:$A$16,0))</f>
        <v>100</v>
      </c>
      <c r="S129" s="27" t="n">
        <f aca="false">IF(F129="",0,F129)*R129/100</f>
        <v>104092000</v>
      </c>
      <c r="T129" s="7" t="n">
        <f aca="false">Inputs!$B$4-J129</f>
        <v>23</v>
      </c>
      <c r="U129" s="7" t="n">
        <f aca="false">IF(OR(F129="",F129=0),1,0)</f>
        <v>0</v>
      </c>
      <c r="V129" s="7" t="n">
        <f aca="false">IF(K129="",1,0)</f>
        <v>0</v>
      </c>
      <c r="W129" s="7" t="n">
        <f aca="false">IF(AND(O129=1,K129&lt;&gt;"",COUNTIFS(Owners!$A$5:$A$32,K129,Owners!$E$5:$E$32,"No")&gt;0),1,0)</f>
        <v>0</v>
      </c>
      <c r="X129" s="7" t="n">
        <f aca="false">IF(AND(O129=1,I129&lt;Inputs!$B$4),1,0)</f>
        <v>0</v>
      </c>
      <c r="Y129" s="7" t="n">
        <f aca="false">IF(AND(O129=1,T129&gt;Inputs!$B$5),1,0)</f>
        <v>0</v>
      </c>
      <c r="Z129" s="7" t="n">
        <f aca="false">IF(AND(O129=1,G129&lt;&gt;R129),1,0)</f>
        <v>0</v>
      </c>
      <c r="AA129" s="7" t="n">
        <f aca="false">IF(AND(O129=1,M129=""),1,0)</f>
        <v>0</v>
      </c>
      <c r="AB129" s="7" t="n">
        <f aca="false">IF(AND(E129="Closed Lost",N129=""),1,0)</f>
        <v>0</v>
      </c>
      <c r="AC129" s="7" t="n">
        <f aca="false">SUM(U129:AB129)</f>
        <v>0</v>
      </c>
      <c r="AD129" s="7" t="n">
        <f aca="false">IF(AC129=0,1,0)</f>
        <v>1</v>
      </c>
      <c r="AE129" s="7" t="n">
        <f aca="false">IF(AND(O129=1,I129&gt;=Inputs!$B$6,I129&lt;=Inputs!$B$7),1,0)</f>
        <v>0</v>
      </c>
      <c r="AF129" s="7" t="n">
        <f aca="false">IF(AND(E129="Closed Won",I129&gt;=Inputs!$B$6,I129&lt;=Inputs!$B$4),1,0)</f>
        <v>1</v>
      </c>
      <c r="AG129" s="7" t="n">
        <f aca="false">IF(AND(O129=0,I129&gt;Inputs!$B$4-Inputs!$B$8,I129&lt;=Inputs!$B$4),1,0)</f>
        <v>1</v>
      </c>
      <c r="AH129" s="7" t="n">
        <f aca="false">I129-H129</f>
        <v>80</v>
      </c>
    </row>
    <row r="130" customFormat="false" ht="15" hidden="false" customHeight="false" outlineLevel="0" collapsed="false">
      <c r="A130" s="16" t="s">
        <v>897</v>
      </c>
      <c r="B130" s="16" t="s">
        <v>164</v>
      </c>
      <c r="C130" s="16" t="s">
        <v>898</v>
      </c>
      <c r="D130" s="16" t="s">
        <v>162</v>
      </c>
      <c r="E130" s="16" t="s">
        <v>530</v>
      </c>
      <c r="F130" s="26" t="n">
        <v>7147000</v>
      </c>
      <c r="G130" s="25" t="n">
        <v>100</v>
      </c>
      <c r="H130" s="22" t="n">
        <v>45983</v>
      </c>
      <c r="I130" s="22" t="n">
        <v>46218</v>
      </c>
      <c r="J130" s="22" t="n">
        <v>46218</v>
      </c>
      <c r="K130" s="16" t="s">
        <v>654</v>
      </c>
      <c r="L130" s="16" t="s">
        <v>500</v>
      </c>
      <c r="M130" s="16"/>
      <c r="N130" s="16"/>
      <c r="O130" s="7" t="n">
        <f aca="false">IF(OR(E130="Closed Won",E130="Closed Lost"),0,1)</f>
        <v>0</v>
      </c>
      <c r="P130" s="17" t="str">
        <f aca="false">INDEX(Accounts!$K$5:$K$336,MATCH(B130,Accounts!$A$5:$A$336,0))</f>
        <v>Financial Services</v>
      </c>
      <c r="Q130" s="17" t="str">
        <f aca="false">INDEX(Accounts!$D$5:$D$336,MATCH(B130,Accounts!$A$5:$A$336,0))</f>
        <v>Standard</v>
      </c>
      <c r="R130" s="7" t="n">
        <f aca="false">INDEX(Inputs!$B$11:$B$16,MATCH(E130,Inputs!$A$11:$A$16,0))</f>
        <v>100</v>
      </c>
      <c r="S130" s="27" t="n">
        <f aca="false">IF(F130="",0,F130)*R130/100</f>
        <v>7147000</v>
      </c>
      <c r="T130" s="7" t="n">
        <f aca="false">Inputs!$B$4-J130</f>
        <v>96</v>
      </c>
      <c r="U130" s="7" t="n">
        <f aca="false">IF(OR(F130="",F130=0),1,0)</f>
        <v>0</v>
      </c>
      <c r="V130" s="7" t="n">
        <f aca="false">IF(K130="",1,0)</f>
        <v>0</v>
      </c>
      <c r="W130" s="7" t="n">
        <f aca="false">IF(AND(O130=1,K130&lt;&gt;"",COUNTIFS(Owners!$A$5:$A$32,K130,Owners!$E$5:$E$32,"No")&gt;0),1,0)</f>
        <v>0</v>
      </c>
      <c r="X130" s="7" t="n">
        <f aca="false">IF(AND(O130=1,I130&lt;Inputs!$B$4),1,0)</f>
        <v>0</v>
      </c>
      <c r="Y130" s="7" t="n">
        <f aca="false">IF(AND(O130=1,T130&gt;Inputs!$B$5),1,0)</f>
        <v>0</v>
      </c>
      <c r="Z130" s="7" t="n">
        <f aca="false">IF(AND(O130=1,G130&lt;&gt;R130),1,0)</f>
        <v>0</v>
      </c>
      <c r="AA130" s="7" t="n">
        <f aca="false">IF(AND(O130=1,M130=""),1,0)</f>
        <v>0</v>
      </c>
      <c r="AB130" s="7" t="n">
        <f aca="false">IF(AND(E130="Closed Lost",N130=""),1,0)</f>
        <v>0</v>
      </c>
      <c r="AC130" s="7" t="n">
        <f aca="false">SUM(U130:AB130)</f>
        <v>0</v>
      </c>
      <c r="AD130" s="7" t="n">
        <f aca="false">IF(AC130=0,1,0)</f>
        <v>1</v>
      </c>
      <c r="AE130" s="7" t="n">
        <f aca="false">IF(AND(O130=1,I130&gt;=Inputs!$B$6,I130&lt;=Inputs!$B$7),1,0)</f>
        <v>0</v>
      </c>
      <c r="AF130" s="7" t="n">
        <f aca="false">IF(AND(E130="Closed Won",I130&gt;=Inputs!$B$6,I130&lt;=Inputs!$B$4),1,0)</f>
        <v>1</v>
      </c>
      <c r="AG130" s="7" t="n">
        <f aca="false">IF(AND(O130=0,I130&gt;Inputs!$B$4-Inputs!$B$8,I130&lt;=Inputs!$B$4),1,0)</f>
        <v>1</v>
      </c>
      <c r="AH130" s="7" t="n">
        <f aca="false">I130-H130</f>
        <v>235</v>
      </c>
    </row>
    <row r="131" customFormat="false" ht="15" hidden="false" customHeight="false" outlineLevel="0" collapsed="false">
      <c r="A131" s="16" t="s">
        <v>899</v>
      </c>
      <c r="B131" s="16" t="s">
        <v>484</v>
      </c>
      <c r="C131" s="16" t="s">
        <v>900</v>
      </c>
      <c r="D131" s="16" t="s">
        <v>158</v>
      </c>
      <c r="E131" s="16" t="s">
        <v>528</v>
      </c>
      <c r="F131" s="26" t="n">
        <v>22076000</v>
      </c>
      <c r="G131" s="25" t="n">
        <v>50</v>
      </c>
      <c r="H131" s="22" t="n">
        <v>46161</v>
      </c>
      <c r="I131" s="22" t="n">
        <v>46454</v>
      </c>
      <c r="J131" s="22" t="n">
        <v>46272</v>
      </c>
      <c r="K131" s="16" t="s">
        <v>831</v>
      </c>
      <c r="L131" s="16" t="s">
        <v>592</v>
      </c>
      <c r="M131" s="16" t="s">
        <v>613</v>
      </c>
      <c r="N131" s="16"/>
      <c r="O131" s="7" t="n">
        <f aca="false">IF(OR(E131="Closed Won",E131="Closed Lost"),0,1)</f>
        <v>1</v>
      </c>
      <c r="P131" s="17" t="str">
        <f aca="false">INDEX(Accounts!$K$5:$K$336,MATCH(B131,Accounts!$A$5:$A$336,0))</f>
        <v>Energy &amp; Resources</v>
      </c>
      <c r="Q131" s="17" t="str">
        <f aca="false">INDEX(Accounts!$D$5:$D$336,MATCH(B131,Accounts!$A$5:$A$336,0))</f>
        <v>Standard</v>
      </c>
      <c r="R131" s="7" t="n">
        <f aca="false">INDEX(Inputs!$B$11:$B$16,MATCH(E131,Inputs!$A$11:$A$16,0))</f>
        <v>50</v>
      </c>
      <c r="S131" s="27" t="n">
        <f aca="false">IF(F131="",0,F131)*R131/100</f>
        <v>11038000</v>
      </c>
      <c r="T131" s="7" t="n">
        <f aca="false">Inputs!$B$4-J131</f>
        <v>42</v>
      </c>
      <c r="U131" s="7" t="n">
        <f aca="false">IF(OR(F131="",F131=0),1,0)</f>
        <v>0</v>
      </c>
      <c r="V131" s="7" t="n">
        <f aca="false">IF(K131="",1,0)</f>
        <v>0</v>
      </c>
      <c r="W131" s="7" t="n">
        <f aca="false">IF(AND(O131=1,K131&lt;&gt;"",COUNTIFS(Owners!$A$5:$A$32,K131,Owners!$E$5:$E$32,"No")&gt;0),1,0)</f>
        <v>0</v>
      </c>
      <c r="X131" s="7" t="n">
        <f aca="false">IF(AND(O131=1,I131&lt;Inputs!$B$4),1,0)</f>
        <v>0</v>
      </c>
      <c r="Y131" s="7" t="n">
        <f aca="false">IF(AND(O131=1,T131&gt;Inputs!$B$5),1,0)</f>
        <v>0</v>
      </c>
      <c r="Z131" s="7" t="n">
        <f aca="false">IF(AND(O131=1,G131&lt;&gt;R131),1,0)</f>
        <v>0</v>
      </c>
      <c r="AA131" s="7" t="n">
        <f aca="false">IF(AND(O131=1,M131=""),1,0)</f>
        <v>0</v>
      </c>
      <c r="AB131" s="7" t="n">
        <f aca="false">IF(AND(E131="Closed Lost",N131=""),1,0)</f>
        <v>0</v>
      </c>
      <c r="AC131" s="7" t="n">
        <f aca="false">SUM(U131:AB131)</f>
        <v>0</v>
      </c>
      <c r="AD131" s="7" t="n">
        <f aca="false">IF(AC131=0,1,0)</f>
        <v>1</v>
      </c>
      <c r="AE131" s="7" t="n">
        <f aca="false">IF(AND(O131=1,I131&gt;=Inputs!$B$6,I131&lt;=Inputs!$B$7),1,0)</f>
        <v>1</v>
      </c>
      <c r="AF131" s="7" t="n">
        <f aca="false">IF(AND(E131="Closed Won",I131&gt;=Inputs!$B$6,I131&lt;=Inputs!$B$4),1,0)</f>
        <v>0</v>
      </c>
      <c r="AG131" s="7" t="n">
        <f aca="false">IF(AND(O131=0,I131&gt;Inputs!$B$4-Inputs!$B$8,I131&lt;=Inputs!$B$4),1,0)</f>
        <v>0</v>
      </c>
      <c r="AH131" s="7" t="n">
        <f aca="false">I131-H131</f>
        <v>293</v>
      </c>
    </row>
    <row r="132" customFormat="false" ht="15" hidden="false" customHeight="false" outlineLevel="0" collapsed="false">
      <c r="A132" s="16" t="s">
        <v>901</v>
      </c>
      <c r="B132" s="16" t="s">
        <v>58</v>
      </c>
      <c r="C132" s="16" t="s">
        <v>902</v>
      </c>
      <c r="D132" s="16" t="s">
        <v>167</v>
      </c>
      <c r="E132" s="16" t="s">
        <v>531</v>
      </c>
      <c r="F132" s="26" t="n">
        <v>25017000</v>
      </c>
      <c r="G132" s="25" t="n">
        <v>0</v>
      </c>
      <c r="H132" s="22" t="n">
        <v>46103</v>
      </c>
      <c r="I132" s="22" t="n">
        <v>46173</v>
      </c>
      <c r="J132" s="22" t="n">
        <v>46173</v>
      </c>
      <c r="K132" s="16" t="s">
        <v>654</v>
      </c>
      <c r="L132" s="16" t="s">
        <v>500</v>
      </c>
      <c r="M132" s="16"/>
      <c r="N132" s="16" t="s">
        <v>697</v>
      </c>
      <c r="O132" s="7" t="n">
        <f aca="false">IF(OR(E132="Closed Won",E132="Closed Lost"),0,1)</f>
        <v>0</v>
      </c>
      <c r="P132" s="17" t="str">
        <f aca="false">INDEX(Accounts!$K$5:$K$336,MATCH(B132,Accounts!$A$5:$A$336,0))</f>
        <v>Financial Services</v>
      </c>
      <c r="Q132" s="17" t="str">
        <f aca="false">INDEX(Accounts!$D$5:$D$336,MATCH(B132,Accounts!$A$5:$A$336,0))</f>
        <v>Priority</v>
      </c>
      <c r="R132" s="7" t="n">
        <f aca="false">INDEX(Inputs!$B$11:$B$16,MATCH(E132,Inputs!$A$11:$A$16,0))</f>
        <v>0</v>
      </c>
      <c r="S132" s="27" t="n">
        <f aca="false">IF(F132="",0,F132)*R132/100</f>
        <v>0</v>
      </c>
      <c r="T132" s="7" t="n">
        <f aca="false">Inputs!$B$4-J132</f>
        <v>141</v>
      </c>
      <c r="U132" s="7" t="n">
        <f aca="false">IF(OR(F132="",F132=0),1,0)</f>
        <v>0</v>
      </c>
      <c r="V132" s="7" t="n">
        <f aca="false">IF(K132="",1,0)</f>
        <v>0</v>
      </c>
      <c r="W132" s="7" t="n">
        <f aca="false">IF(AND(O132=1,K132&lt;&gt;"",COUNTIFS(Owners!$A$5:$A$32,K132,Owners!$E$5:$E$32,"No")&gt;0),1,0)</f>
        <v>0</v>
      </c>
      <c r="X132" s="7" t="n">
        <f aca="false">IF(AND(O132=1,I132&lt;Inputs!$B$4),1,0)</f>
        <v>0</v>
      </c>
      <c r="Y132" s="7" t="n">
        <f aca="false">IF(AND(O132=1,T132&gt;Inputs!$B$5),1,0)</f>
        <v>0</v>
      </c>
      <c r="Z132" s="7" t="n">
        <f aca="false">IF(AND(O132=1,G132&lt;&gt;R132),1,0)</f>
        <v>0</v>
      </c>
      <c r="AA132" s="7" t="n">
        <f aca="false">IF(AND(O132=1,M132=""),1,0)</f>
        <v>0</v>
      </c>
      <c r="AB132" s="7" t="n">
        <f aca="false">IF(AND(E132="Closed Lost",N132=""),1,0)</f>
        <v>0</v>
      </c>
      <c r="AC132" s="7" t="n">
        <f aca="false">SUM(U132:AB132)</f>
        <v>0</v>
      </c>
      <c r="AD132" s="7" t="n">
        <f aca="false">IF(AC132=0,1,0)</f>
        <v>1</v>
      </c>
      <c r="AE132" s="7" t="n">
        <f aca="false">IF(AND(O132=1,I132&gt;=Inputs!$B$6,I132&lt;=Inputs!$B$7),1,0)</f>
        <v>0</v>
      </c>
      <c r="AF132" s="7" t="n">
        <f aca="false">IF(AND(E132="Closed Won",I132&gt;=Inputs!$B$6,I132&lt;=Inputs!$B$4),1,0)</f>
        <v>0</v>
      </c>
      <c r="AG132" s="7" t="n">
        <f aca="false">IF(AND(O132=0,I132&gt;Inputs!$B$4-Inputs!$B$8,I132&lt;=Inputs!$B$4),1,0)</f>
        <v>1</v>
      </c>
      <c r="AH132" s="7" t="n">
        <f aca="false">I132-H132</f>
        <v>70</v>
      </c>
    </row>
    <row r="133" customFormat="false" ht="15" hidden="false" customHeight="false" outlineLevel="0" collapsed="false">
      <c r="A133" s="16" t="s">
        <v>903</v>
      </c>
      <c r="B133" s="16" t="s">
        <v>480</v>
      </c>
      <c r="C133" s="16" t="s">
        <v>904</v>
      </c>
      <c r="D133" s="16" t="s">
        <v>165</v>
      </c>
      <c r="E133" s="16" t="s">
        <v>531</v>
      </c>
      <c r="F133" s="26" t="n">
        <v>143339000</v>
      </c>
      <c r="G133" s="25" t="n">
        <v>0</v>
      </c>
      <c r="H133" s="22" t="n">
        <v>46206</v>
      </c>
      <c r="I133" s="22" t="n">
        <v>46286</v>
      </c>
      <c r="J133" s="22" t="n">
        <v>46286</v>
      </c>
      <c r="K133" s="16" t="s">
        <v>637</v>
      </c>
      <c r="L133" s="16" t="s">
        <v>609</v>
      </c>
      <c r="M133" s="16"/>
      <c r="N133" s="16" t="s">
        <v>713</v>
      </c>
      <c r="O133" s="7" t="n">
        <f aca="false">IF(OR(E133="Closed Won",E133="Closed Lost"),0,1)</f>
        <v>0</v>
      </c>
      <c r="P133" s="17" t="str">
        <f aca="false">INDEX(Accounts!$K$5:$K$336,MATCH(B133,Accounts!$A$5:$A$336,0))</f>
        <v>Public Sector &amp; Development</v>
      </c>
      <c r="Q133" s="17" t="str">
        <f aca="false">INDEX(Accounts!$D$5:$D$336,MATCH(B133,Accounts!$A$5:$A$336,0))</f>
        <v>Standard</v>
      </c>
      <c r="R133" s="7" t="n">
        <f aca="false">INDEX(Inputs!$B$11:$B$16,MATCH(E133,Inputs!$A$11:$A$16,0))</f>
        <v>0</v>
      </c>
      <c r="S133" s="27" t="n">
        <f aca="false">IF(F133="",0,F133)*R133/100</f>
        <v>0</v>
      </c>
      <c r="T133" s="7" t="n">
        <f aca="false">Inputs!$B$4-J133</f>
        <v>28</v>
      </c>
      <c r="U133" s="7" t="n">
        <f aca="false">IF(OR(F133="",F133=0),1,0)</f>
        <v>0</v>
      </c>
      <c r="V133" s="7" t="n">
        <f aca="false">IF(K133="",1,0)</f>
        <v>0</v>
      </c>
      <c r="W133" s="7" t="n">
        <f aca="false">IF(AND(O133=1,K133&lt;&gt;"",COUNTIFS(Owners!$A$5:$A$32,K133,Owners!$E$5:$E$32,"No")&gt;0),1,0)</f>
        <v>0</v>
      </c>
      <c r="X133" s="7" t="n">
        <f aca="false">IF(AND(O133=1,I133&lt;Inputs!$B$4),1,0)</f>
        <v>0</v>
      </c>
      <c r="Y133" s="7" t="n">
        <f aca="false">IF(AND(O133=1,T133&gt;Inputs!$B$5),1,0)</f>
        <v>0</v>
      </c>
      <c r="Z133" s="7" t="n">
        <f aca="false">IF(AND(O133=1,G133&lt;&gt;R133),1,0)</f>
        <v>0</v>
      </c>
      <c r="AA133" s="7" t="n">
        <f aca="false">IF(AND(O133=1,M133=""),1,0)</f>
        <v>0</v>
      </c>
      <c r="AB133" s="7" t="n">
        <f aca="false">IF(AND(E133="Closed Lost",N133=""),1,0)</f>
        <v>0</v>
      </c>
      <c r="AC133" s="7" t="n">
        <f aca="false">SUM(U133:AB133)</f>
        <v>0</v>
      </c>
      <c r="AD133" s="7" t="n">
        <f aca="false">IF(AC133=0,1,0)</f>
        <v>1</v>
      </c>
      <c r="AE133" s="7" t="n">
        <f aca="false">IF(AND(O133=1,I133&gt;=Inputs!$B$6,I133&lt;=Inputs!$B$7),1,0)</f>
        <v>0</v>
      </c>
      <c r="AF133" s="7" t="n">
        <f aca="false">IF(AND(E133="Closed Won",I133&gt;=Inputs!$B$6,I133&lt;=Inputs!$B$4),1,0)</f>
        <v>0</v>
      </c>
      <c r="AG133" s="7" t="n">
        <f aca="false">IF(AND(O133=0,I133&gt;Inputs!$B$4-Inputs!$B$8,I133&lt;=Inputs!$B$4),1,0)</f>
        <v>1</v>
      </c>
      <c r="AH133" s="7" t="n">
        <f aca="false">I133-H133</f>
        <v>80</v>
      </c>
    </row>
    <row r="134" customFormat="false" ht="15" hidden="false" customHeight="false" outlineLevel="0" collapsed="false">
      <c r="A134" s="16" t="s">
        <v>905</v>
      </c>
      <c r="B134" s="16" t="s">
        <v>906</v>
      </c>
      <c r="C134" s="16" t="s">
        <v>907</v>
      </c>
      <c r="D134" s="16" t="s">
        <v>167</v>
      </c>
      <c r="E134" s="16" t="s">
        <v>531</v>
      </c>
      <c r="F134" s="26" t="n">
        <v>3771000</v>
      </c>
      <c r="G134" s="25" t="n">
        <v>0</v>
      </c>
      <c r="H134" s="22" t="n">
        <v>46104</v>
      </c>
      <c r="I134" s="22" t="n">
        <v>46179</v>
      </c>
      <c r="J134" s="22" t="n">
        <v>46179</v>
      </c>
      <c r="K134" s="16" t="s">
        <v>596</v>
      </c>
      <c r="L134" s="16" t="s">
        <v>584</v>
      </c>
      <c r="M134" s="16"/>
      <c r="N134" s="16"/>
      <c r="O134" s="7" t="n">
        <f aca="false">IF(OR(E134="Closed Won",E134="Closed Lost"),0,1)</f>
        <v>0</v>
      </c>
      <c r="P134" s="17" t="str">
        <f aca="false">INDEX(Accounts!$K$5:$K$336,MATCH(B134,Accounts!$A$5:$A$336,0))</f>
        <v>Public Sector &amp; Development</v>
      </c>
      <c r="Q134" s="17" t="str">
        <f aca="false">INDEX(Accounts!$D$5:$D$336,MATCH(B134,Accounts!$A$5:$A$336,0))</f>
        <v>Key</v>
      </c>
      <c r="R134" s="7" t="n">
        <f aca="false">INDEX(Inputs!$B$11:$B$16,MATCH(E134,Inputs!$A$11:$A$16,0))</f>
        <v>0</v>
      </c>
      <c r="S134" s="27" t="n">
        <f aca="false">IF(F134="",0,F134)*R134/100</f>
        <v>0</v>
      </c>
      <c r="T134" s="7" t="n">
        <f aca="false">Inputs!$B$4-J134</f>
        <v>135</v>
      </c>
      <c r="U134" s="7" t="n">
        <f aca="false">IF(OR(F134="",F134=0),1,0)</f>
        <v>0</v>
      </c>
      <c r="V134" s="7" t="n">
        <f aca="false">IF(K134="",1,0)</f>
        <v>0</v>
      </c>
      <c r="W134" s="7" t="n">
        <f aca="false">IF(AND(O134=1,K134&lt;&gt;"",COUNTIFS(Owners!$A$5:$A$32,K134,Owners!$E$5:$E$32,"No")&gt;0),1,0)</f>
        <v>0</v>
      </c>
      <c r="X134" s="7" t="n">
        <f aca="false">IF(AND(O134=1,I134&lt;Inputs!$B$4),1,0)</f>
        <v>0</v>
      </c>
      <c r="Y134" s="7" t="n">
        <f aca="false">IF(AND(O134=1,T134&gt;Inputs!$B$5),1,0)</f>
        <v>0</v>
      </c>
      <c r="Z134" s="7" t="n">
        <f aca="false">IF(AND(O134=1,G134&lt;&gt;R134),1,0)</f>
        <v>0</v>
      </c>
      <c r="AA134" s="7" t="n">
        <f aca="false">IF(AND(O134=1,M134=""),1,0)</f>
        <v>0</v>
      </c>
      <c r="AB134" s="7" t="n">
        <f aca="false">IF(AND(E134="Closed Lost",N134=""),1,0)</f>
        <v>1</v>
      </c>
      <c r="AC134" s="7" t="n">
        <f aca="false">SUM(U134:AB134)</f>
        <v>1</v>
      </c>
      <c r="AD134" s="7" t="n">
        <f aca="false">IF(AC134=0,1,0)</f>
        <v>0</v>
      </c>
      <c r="AE134" s="7" t="n">
        <f aca="false">IF(AND(O134=1,I134&gt;=Inputs!$B$6,I134&lt;=Inputs!$B$7),1,0)</f>
        <v>0</v>
      </c>
      <c r="AF134" s="7" t="n">
        <f aca="false">IF(AND(E134="Closed Won",I134&gt;=Inputs!$B$6,I134&lt;=Inputs!$B$4),1,0)</f>
        <v>0</v>
      </c>
      <c r="AG134" s="7" t="n">
        <f aca="false">IF(AND(O134=0,I134&gt;Inputs!$B$4-Inputs!$B$8,I134&lt;=Inputs!$B$4),1,0)</f>
        <v>1</v>
      </c>
      <c r="AH134" s="7" t="n">
        <f aca="false">I134-H134</f>
        <v>75</v>
      </c>
    </row>
    <row r="135" customFormat="false" ht="15" hidden="false" customHeight="false" outlineLevel="0" collapsed="false">
      <c r="A135" s="16" t="s">
        <v>908</v>
      </c>
      <c r="B135" s="16" t="s">
        <v>644</v>
      </c>
      <c r="C135" s="16" t="s">
        <v>909</v>
      </c>
      <c r="D135" s="16" t="s">
        <v>177</v>
      </c>
      <c r="E135" s="16" t="s">
        <v>531</v>
      </c>
      <c r="F135" s="26" t="n">
        <v>5293000</v>
      </c>
      <c r="G135" s="25" t="n">
        <v>0</v>
      </c>
      <c r="H135" s="22" t="n">
        <v>46089</v>
      </c>
      <c r="I135" s="22" t="n">
        <v>46278</v>
      </c>
      <c r="J135" s="22" t="n">
        <v>46278</v>
      </c>
      <c r="K135" s="16" t="s">
        <v>646</v>
      </c>
      <c r="L135" s="16" t="s">
        <v>584</v>
      </c>
      <c r="M135" s="16"/>
      <c r="N135" s="16" t="s">
        <v>697</v>
      </c>
      <c r="O135" s="7" t="n">
        <f aca="false">IF(OR(E135="Closed Won",E135="Closed Lost"),0,1)</f>
        <v>0</v>
      </c>
      <c r="P135" s="17" t="str">
        <f aca="false">INDEX(Accounts!$K$5:$K$336,MATCH(B135,Accounts!$A$5:$A$336,0))</f>
        <v>Consumer &amp; Retail</v>
      </c>
      <c r="Q135" s="17" t="str">
        <f aca="false">INDEX(Accounts!$D$5:$D$336,MATCH(B135,Accounts!$A$5:$A$336,0))</f>
        <v>Key</v>
      </c>
      <c r="R135" s="7" t="n">
        <f aca="false">INDEX(Inputs!$B$11:$B$16,MATCH(E135,Inputs!$A$11:$A$16,0))</f>
        <v>0</v>
      </c>
      <c r="S135" s="27" t="n">
        <f aca="false">IF(F135="",0,F135)*R135/100</f>
        <v>0</v>
      </c>
      <c r="T135" s="7" t="n">
        <f aca="false">Inputs!$B$4-J135</f>
        <v>36</v>
      </c>
      <c r="U135" s="7" t="n">
        <f aca="false">IF(OR(F135="",F135=0),1,0)</f>
        <v>0</v>
      </c>
      <c r="V135" s="7" t="n">
        <f aca="false">IF(K135="",1,0)</f>
        <v>0</v>
      </c>
      <c r="W135" s="7" t="n">
        <f aca="false">IF(AND(O135=1,K135&lt;&gt;"",COUNTIFS(Owners!$A$5:$A$32,K135,Owners!$E$5:$E$32,"No")&gt;0),1,0)</f>
        <v>0</v>
      </c>
      <c r="X135" s="7" t="n">
        <f aca="false">IF(AND(O135=1,I135&lt;Inputs!$B$4),1,0)</f>
        <v>0</v>
      </c>
      <c r="Y135" s="7" t="n">
        <f aca="false">IF(AND(O135=1,T135&gt;Inputs!$B$5),1,0)</f>
        <v>0</v>
      </c>
      <c r="Z135" s="7" t="n">
        <f aca="false">IF(AND(O135=1,G135&lt;&gt;R135),1,0)</f>
        <v>0</v>
      </c>
      <c r="AA135" s="7" t="n">
        <f aca="false">IF(AND(O135=1,M135=""),1,0)</f>
        <v>0</v>
      </c>
      <c r="AB135" s="7" t="n">
        <f aca="false">IF(AND(E135="Closed Lost",N135=""),1,0)</f>
        <v>0</v>
      </c>
      <c r="AC135" s="7" t="n">
        <f aca="false">SUM(U135:AB135)</f>
        <v>0</v>
      </c>
      <c r="AD135" s="7" t="n">
        <f aca="false">IF(AC135=0,1,0)</f>
        <v>1</v>
      </c>
      <c r="AE135" s="7" t="n">
        <f aca="false">IF(AND(O135=1,I135&gt;=Inputs!$B$6,I135&lt;=Inputs!$B$7),1,0)</f>
        <v>0</v>
      </c>
      <c r="AF135" s="7" t="n">
        <f aca="false">IF(AND(E135="Closed Won",I135&gt;=Inputs!$B$6,I135&lt;=Inputs!$B$4),1,0)</f>
        <v>0</v>
      </c>
      <c r="AG135" s="7" t="n">
        <f aca="false">IF(AND(O135=0,I135&gt;Inputs!$B$4-Inputs!$B$8,I135&lt;=Inputs!$B$4),1,0)</f>
        <v>1</v>
      </c>
      <c r="AH135" s="7" t="n">
        <f aca="false">I135-H135</f>
        <v>189</v>
      </c>
    </row>
    <row r="136" customFormat="false" ht="15" hidden="false" customHeight="false" outlineLevel="0" collapsed="false">
      <c r="A136" s="16" t="s">
        <v>910</v>
      </c>
      <c r="B136" s="16" t="s">
        <v>76</v>
      </c>
      <c r="C136" s="16" t="s">
        <v>911</v>
      </c>
      <c r="D136" s="16" t="s">
        <v>167</v>
      </c>
      <c r="E136" s="16" t="s">
        <v>531</v>
      </c>
      <c r="F136" s="26"/>
      <c r="G136" s="25" t="n">
        <v>0</v>
      </c>
      <c r="H136" s="22" t="n">
        <v>46163</v>
      </c>
      <c r="I136" s="22" t="n">
        <v>46309</v>
      </c>
      <c r="J136" s="22" t="n">
        <v>46309</v>
      </c>
      <c r="K136" s="16" t="s">
        <v>685</v>
      </c>
      <c r="L136" s="16" t="s">
        <v>568</v>
      </c>
      <c r="M136" s="16"/>
      <c r="N136" s="16"/>
      <c r="O136" s="7" t="n">
        <f aca="false">IF(OR(E136="Closed Won",E136="Closed Lost"),0,1)</f>
        <v>0</v>
      </c>
      <c r="P136" s="17" t="str">
        <f aca="false">INDEX(Accounts!$K$5:$K$336,MATCH(B136,Accounts!$A$5:$A$336,0))</f>
        <v>Real Estate &amp; Infrastructure</v>
      </c>
      <c r="Q136" s="17" t="str">
        <f aca="false">INDEX(Accounts!$D$5:$D$336,MATCH(B136,Accounts!$A$5:$A$336,0))</f>
        <v>Priority</v>
      </c>
      <c r="R136" s="7" t="n">
        <f aca="false">INDEX(Inputs!$B$11:$B$16,MATCH(E136,Inputs!$A$11:$A$16,0))</f>
        <v>0</v>
      </c>
      <c r="S136" s="27" t="n">
        <f aca="false">IF(F136="",0,F136)*R136/100</f>
        <v>0</v>
      </c>
      <c r="T136" s="7" t="n">
        <f aca="false">Inputs!$B$4-J136</f>
        <v>5</v>
      </c>
      <c r="U136" s="7" t="n">
        <f aca="false">IF(OR(F136="",F136=0),1,0)</f>
        <v>1</v>
      </c>
      <c r="V136" s="7" t="n">
        <f aca="false">IF(K136="",1,0)</f>
        <v>0</v>
      </c>
      <c r="W136" s="7" t="n">
        <f aca="false">IF(AND(O136=1,K136&lt;&gt;"",COUNTIFS(Owners!$A$5:$A$32,K136,Owners!$E$5:$E$32,"No")&gt;0),1,0)</f>
        <v>0</v>
      </c>
      <c r="X136" s="7" t="n">
        <f aca="false">IF(AND(O136=1,I136&lt;Inputs!$B$4),1,0)</f>
        <v>0</v>
      </c>
      <c r="Y136" s="7" t="n">
        <f aca="false">IF(AND(O136=1,T136&gt;Inputs!$B$5),1,0)</f>
        <v>0</v>
      </c>
      <c r="Z136" s="7" t="n">
        <f aca="false">IF(AND(O136=1,G136&lt;&gt;R136),1,0)</f>
        <v>0</v>
      </c>
      <c r="AA136" s="7" t="n">
        <f aca="false">IF(AND(O136=1,M136=""),1,0)</f>
        <v>0</v>
      </c>
      <c r="AB136" s="7" t="n">
        <f aca="false">IF(AND(E136="Closed Lost",N136=""),1,0)</f>
        <v>1</v>
      </c>
      <c r="AC136" s="7" t="n">
        <f aca="false">SUM(U136:AB136)</f>
        <v>2</v>
      </c>
      <c r="AD136" s="7" t="n">
        <f aca="false">IF(AC136=0,1,0)</f>
        <v>0</v>
      </c>
      <c r="AE136" s="7" t="n">
        <f aca="false">IF(AND(O136=1,I136&gt;=Inputs!$B$6,I136&lt;=Inputs!$B$7),1,0)</f>
        <v>0</v>
      </c>
      <c r="AF136" s="7" t="n">
        <f aca="false">IF(AND(E136="Closed Won",I136&gt;=Inputs!$B$6,I136&lt;=Inputs!$B$4),1,0)</f>
        <v>0</v>
      </c>
      <c r="AG136" s="7" t="n">
        <f aca="false">IF(AND(O136=0,I136&gt;Inputs!$B$4-Inputs!$B$8,I136&lt;=Inputs!$B$4),1,0)</f>
        <v>1</v>
      </c>
      <c r="AH136" s="7" t="n">
        <f aca="false">I136-H136</f>
        <v>146</v>
      </c>
    </row>
    <row r="137" customFormat="false" ht="15" hidden="false" customHeight="false" outlineLevel="0" collapsed="false">
      <c r="A137" s="16" t="s">
        <v>912</v>
      </c>
      <c r="B137" s="16" t="s">
        <v>361</v>
      </c>
      <c r="C137" s="16" t="s">
        <v>913</v>
      </c>
      <c r="D137" s="16" t="s">
        <v>167</v>
      </c>
      <c r="E137" s="16" t="s">
        <v>531</v>
      </c>
      <c r="F137" s="26" t="n">
        <v>4945000</v>
      </c>
      <c r="G137" s="25" t="n">
        <v>0</v>
      </c>
      <c r="H137" s="22" t="n">
        <v>46098</v>
      </c>
      <c r="I137" s="22" t="n">
        <v>46273</v>
      </c>
      <c r="J137" s="22" t="n">
        <v>46273</v>
      </c>
      <c r="K137" s="16"/>
      <c r="L137" s="16" t="s">
        <v>500</v>
      </c>
      <c r="M137" s="16"/>
      <c r="N137" s="16" t="s">
        <v>713</v>
      </c>
      <c r="O137" s="7" t="n">
        <f aca="false">IF(OR(E137="Closed Won",E137="Closed Lost"),0,1)</f>
        <v>0</v>
      </c>
      <c r="P137" s="17" t="str">
        <f aca="false">INDEX(Accounts!$K$5:$K$336,MATCH(B137,Accounts!$A$5:$A$336,0))</f>
        <v>Technology, Media &amp; Telecom</v>
      </c>
      <c r="Q137" s="17" t="str">
        <f aca="false">INDEX(Accounts!$D$5:$D$336,MATCH(B137,Accounts!$A$5:$A$336,0))</f>
        <v>Key</v>
      </c>
      <c r="R137" s="7" t="n">
        <f aca="false">INDEX(Inputs!$B$11:$B$16,MATCH(E137,Inputs!$A$11:$A$16,0))</f>
        <v>0</v>
      </c>
      <c r="S137" s="27" t="n">
        <f aca="false">IF(F137="",0,F137)*R137/100</f>
        <v>0</v>
      </c>
      <c r="T137" s="7" t="n">
        <f aca="false">Inputs!$B$4-J137</f>
        <v>41</v>
      </c>
      <c r="U137" s="7" t="n">
        <f aca="false">IF(OR(F137="",F137=0),1,0)</f>
        <v>0</v>
      </c>
      <c r="V137" s="7" t="n">
        <f aca="false">IF(K137="",1,0)</f>
        <v>1</v>
      </c>
      <c r="W137" s="7" t="n">
        <f aca="false">IF(AND(O137=1,K137&lt;&gt;"",COUNTIFS(Owners!$A$5:$A$32,K137,Owners!$E$5:$E$32,"No")&gt;0),1,0)</f>
        <v>0</v>
      </c>
      <c r="X137" s="7" t="n">
        <f aca="false">IF(AND(O137=1,I137&lt;Inputs!$B$4),1,0)</f>
        <v>0</v>
      </c>
      <c r="Y137" s="7" t="n">
        <f aca="false">IF(AND(O137=1,T137&gt;Inputs!$B$5),1,0)</f>
        <v>0</v>
      </c>
      <c r="Z137" s="7" t="n">
        <f aca="false">IF(AND(O137=1,G137&lt;&gt;R137),1,0)</f>
        <v>0</v>
      </c>
      <c r="AA137" s="7" t="n">
        <f aca="false">IF(AND(O137=1,M137=""),1,0)</f>
        <v>0</v>
      </c>
      <c r="AB137" s="7" t="n">
        <f aca="false">IF(AND(E137="Closed Lost",N137=""),1,0)</f>
        <v>0</v>
      </c>
      <c r="AC137" s="7" t="n">
        <f aca="false">SUM(U137:AB137)</f>
        <v>1</v>
      </c>
      <c r="AD137" s="7" t="n">
        <f aca="false">IF(AC137=0,1,0)</f>
        <v>0</v>
      </c>
      <c r="AE137" s="7" t="n">
        <f aca="false">IF(AND(O137=1,I137&gt;=Inputs!$B$6,I137&lt;=Inputs!$B$7),1,0)</f>
        <v>0</v>
      </c>
      <c r="AF137" s="7" t="n">
        <f aca="false">IF(AND(E137="Closed Won",I137&gt;=Inputs!$B$6,I137&lt;=Inputs!$B$4),1,0)</f>
        <v>0</v>
      </c>
      <c r="AG137" s="7" t="n">
        <f aca="false">IF(AND(O137=0,I137&gt;Inputs!$B$4-Inputs!$B$8,I137&lt;=Inputs!$B$4),1,0)</f>
        <v>1</v>
      </c>
      <c r="AH137" s="7" t="n">
        <f aca="false">I137-H137</f>
        <v>175</v>
      </c>
    </row>
    <row r="138" customFormat="false" ht="15" hidden="false" customHeight="false" outlineLevel="0" collapsed="false">
      <c r="A138" s="16" t="s">
        <v>914</v>
      </c>
      <c r="B138" s="16" t="s">
        <v>681</v>
      </c>
      <c r="C138" s="16" t="s">
        <v>915</v>
      </c>
      <c r="D138" s="16" t="s">
        <v>158</v>
      </c>
      <c r="E138" s="16" t="s">
        <v>531</v>
      </c>
      <c r="F138" s="26" t="n">
        <v>28588000</v>
      </c>
      <c r="G138" s="25" t="n">
        <v>0</v>
      </c>
      <c r="H138" s="22" t="n">
        <v>46112</v>
      </c>
      <c r="I138" s="22" t="n">
        <v>46193</v>
      </c>
      <c r="J138" s="22" t="n">
        <v>46193</v>
      </c>
      <c r="K138" s="16" t="s">
        <v>573</v>
      </c>
      <c r="L138" s="16" t="s">
        <v>584</v>
      </c>
      <c r="M138" s="16"/>
      <c r="N138" s="16"/>
      <c r="O138" s="7" t="n">
        <f aca="false">IF(OR(E138="Closed Won",E138="Closed Lost"),0,1)</f>
        <v>0</v>
      </c>
      <c r="P138" s="17" t="str">
        <f aca="false">INDEX(Accounts!$K$5:$K$336,MATCH(B138,Accounts!$A$5:$A$336,0))</f>
        <v>Real Estate &amp; Infrastructure</v>
      </c>
      <c r="Q138" s="17" t="str">
        <f aca="false">INDEX(Accounts!$D$5:$D$336,MATCH(B138,Accounts!$A$5:$A$336,0))</f>
        <v>Key</v>
      </c>
      <c r="R138" s="7" t="n">
        <f aca="false">INDEX(Inputs!$B$11:$B$16,MATCH(E138,Inputs!$A$11:$A$16,0))</f>
        <v>0</v>
      </c>
      <c r="S138" s="27" t="n">
        <f aca="false">IF(F138="",0,F138)*R138/100</f>
        <v>0</v>
      </c>
      <c r="T138" s="7" t="n">
        <f aca="false">Inputs!$B$4-J138</f>
        <v>121</v>
      </c>
      <c r="U138" s="7" t="n">
        <f aca="false">IF(OR(F138="",F138=0),1,0)</f>
        <v>0</v>
      </c>
      <c r="V138" s="7" t="n">
        <f aca="false">IF(K138="",1,0)</f>
        <v>0</v>
      </c>
      <c r="W138" s="7" t="n">
        <f aca="false">IF(AND(O138=1,K138&lt;&gt;"",COUNTIFS(Owners!$A$5:$A$32,K138,Owners!$E$5:$E$32,"No")&gt;0),1,0)</f>
        <v>0</v>
      </c>
      <c r="X138" s="7" t="n">
        <f aca="false">IF(AND(O138=1,I138&lt;Inputs!$B$4),1,0)</f>
        <v>0</v>
      </c>
      <c r="Y138" s="7" t="n">
        <f aca="false">IF(AND(O138=1,T138&gt;Inputs!$B$5),1,0)</f>
        <v>0</v>
      </c>
      <c r="Z138" s="7" t="n">
        <f aca="false">IF(AND(O138=1,G138&lt;&gt;R138),1,0)</f>
        <v>0</v>
      </c>
      <c r="AA138" s="7" t="n">
        <f aca="false">IF(AND(O138=1,M138=""),1,0)</f>
        <v>0</v>
      </c>
      <c r="AB138" s="7" t="n">
        <f aca="false">IF(AND(E138="Closed Lost",N138=""),1,0)</f>
        <v>1</v>
      </c>
      <c r="AC138" s="7" t="n">
        <f aca="false">SUM(U138:AB138)</f>
        <v>1</v>
      </c>
      <c r="AD138" s="7" t="n">
        <f aca="false">IF(AC138=0,1,0)</f>
        <v>0</v>
      </c>
      <c r="AE138" s="7" t="n">
        <f aca="false">IF(AND(O138=1,I138&gt;=Inputs!$B$6,I138&lt;=Inputs!$B$7),1,0)</f>
        <v>0</v>
      </c>
      <c r="AF138" s="7" t="n">
        <f aca="false">IF(AND(E138="Closed Won",I138&gt;=Inputs!$B$6,I138&lt;=Inputs!$B$4),1,0)</f>
        <v>0</v>
      </c>
      <c r="AG138" s="7" t="n">
        <f aca="false">IF(AND(O138=0,I138&gt;Inputs!$B$4-Inputs!$B$8,I138&lt;=Inputs!$B$4),1,0)</f>
        <v>1</v>
      </c>
      <c r="AH138" s="7" t="n">
        <f aca="false">I138-H138</f>
        <v>81</v>
      </c>
    </row>
    <row r="139" customFormat="false" ht="15" hidden="false" customHeight="false" outlineLevel="0" collapsed="false">
      <c r="A139" s="16" t="s">
        <v>916</v>
      </c>
      <c r="B139" s="16" t="s">
        <v>61</v>
      </c>
      <c r="C139" s="16" t="s">
        <v>917</v>
      </c>
      <c r="D139" s="16" t="s">
        <v>167</v>
      </c>
      <c r="E139" s="16" t="s">
        <v>531</v>
      </c>
      <c r="F139" s="26" t="n">
        <v>4806000</v>
      </c>
      <c r="G139" s="25" t="n">
        <v>0</v>
      </c>
      <c r="H139" s="22" t="n">
        <v>45908</v>
      </c>
      <c r="I139" s="22" t="n">
        <v>46101</v>
      </c>
      <c r="J139" s="22" t="n">
        <v>46101</v>
      </c>
      <c r="K139" s="16" t="s">
        <v>704</v>
      </c>
      <c r="L139" s="16" t="s">
        <v>584</v>
      </c>
      <c r="M139" s="16"/>
      <c r="N139" s="16"/>
      <c r="O139" s="7" t="n">
        <f aca="false">IF(OR(E139="Closed Won",E139="Closed Lost"),0,1)</f>
        <v>0</v>
      </c>
      <c r="P139" s="17" t="str">
        <f aca="false">INDEX(Accounts!$K$5:$K$336,MATCH(B139,Accounts!$A$5:$A$336,0))</f>
        <v>Agribusiness</v>
      </c>
      <c r="Q139" s="17" t="str">
        <f aca="false">INDEX(Accounts!$D$5:$D$336,MATCH(B139,Accounts!$A$5:$A$336,0))</f>
        <v>Priority</v>
      </c>
      <c r="R139" s="7" t="n">
        <f aca="false">INDEX(Inputs!$B$11:$B$16,MATCH(E139,Inputs!$A$11:$A$16,0))</f>
        <v>0</v>
      </c>
      <c r="S139" s="27" t="n">
        <f aca="false">IF(F139="",0,F139)*R139/100</f>
        <v>0</v>
      </c>
      <c r="T139" s="7" t="n">
        <f aca="false">Inputs!$B$4-J139</f>
        <v>213</v>
      </c>
      <c r="U139" s="7" t="n">
        <f aca="false">IF(OR(F139="",F139=0),1,0)</f>
        <v>0</v>
      </c>
      <c r="V139" s="7" t="n">
        <f aca="false">IF(K139="",1,0)</f>
        <v>0</v>
      </c>
      <c r="W139" s="7" t="n">
        <f aca="false">IF(AND(O139=1,K139&lt;&gt;"",COUNTIFS(Owners!$A$5:$A$32,K139,Owners!$E$5:$E$32,"No")&gt;0),1,0)</f>
        <v>0</v>
      </c>
      <c r="X139" s="7" t="n">
        <f aca="false">IF(AND(O139=1,I139&lt;Inputs!$B$4),1,0)</f>
        <v>0</v>
      </c>
      <c r="Y139" s="7" t="n">
        <f aca="false">IF(AND(O139=1,T139&gt;Inputs!$B$5),1,0)</f>
        <v>0</v>
      </c>
      <c r="Z139" s="7" t="n">
        <f aca="false">IF(AND(O139=1,G139&lt;&gt;R139),1,0)</f>
        <v>0</v>
      </c>
      <c r="AA139" s="7" t="n">
        <f aca="false">IF(AND(O139=1,M139=""),1,0)</f>
        <v>0</v>
      </c>
      <c r="AB139" s="7" t="n">
        <f aca="false">IF(AND(E139="Closed Lost",N139=""),1,0)</f>
        <v>1</v>
      </c>
      <c r="AC139" s="7" t="n">
        <f aca="false">SUM(U139:AB139)</f>
        <v>1</v>
      </c>
      <c r="AD139" s="7" t="n">
        <f aca="false">IF(AC139=0,1,0)</f>
        <v>0</v>
      </c>
      <c r="AE139" s="7" t="n">
        <f aca="false">IF(AND(O139=1,I139&gt;=Inputs!$B$6,I139&lt;=Inputs!$B$7),1,0)</f>
        <v>0</v>
      </c>
      <c r="AF139" s="7" t="n">
        <f aca="false">IF(AND(E139="Closed Won",I139&gt;=Inputs!$B$6,I139&lt;=Inputs!$B$4),1,0)</f>
        <v>0</v>
      </c>
      <c r="AG139" s="7" t="n">
        <f aca="false">IF(AND(O139=0,I139&gt;Inputs!$B$4-Inputs!$B$8,I139&lt;=Inputs!$B$4),1,0)</f>
        <v>1</v>
      </c>
      <c r="AH139" s="7" t="n">
        <f aca="false">I139-H139</f>
        <v>193</v>
      </c>
    </row>
    <row r="140" customFormat="false" ht="15" hidden="false" customHeight="false" outlineLevel="0" collapsed="false">
      <c r="A140" s="16" t="s">
        <v>918</v>
      </c>
      <c r="B140" s="16" t="s">
        <v>919</v>
      </c>
      <c r="C140" s="16" t="s">
        <v>920</v>
      </c>
      <c r="D140" s="16" t="s">
        <v>167</v>
      </c>
      <c r="E140" s="16" t="s">
        <v>530</v>
      </c>
      <c r="F140" s="26" t="n">
        <v>10953000</v>
      </c>
      <c r="G140" s="25" t="n">
        <v>100</v>
      </c>
      <c r="H140" s="22" t="n">
        <v>46199</v>
      </c>
      <c r="I140" s="22" t="n">
        <v>46309</v>
      </c>
      <c r="J140" s="22" t="n">
        <v>46309</v>
      </c>
      <c r="K140" s="16" t="s">
        <v>654</v>
      </c>
      <c r="L140" s="16" t="s">
        <v>500</v>
      </c>
      <c r="M140" s="16"/>
      <c r="N140" s="16"/>
      <c r="O140" s="7" t="n">
        <f aca="false">IF(OR(E140="Closed Won",E140="Closed Lost"),0,1)</f>
        <v>0</v>
      </c>
      <c r="P140" s="17" t="str">
        <f aca="false">INDEX(Accounts!$K$5:$K$336,MATCH(B140,Accounts!$A$5:$A$336,0))</f>
        <v>Financial Services</v>
      </c>
      <c r="Q140" s="17" t="str">
        <f aca="false">INDEX(Accounts!$D$5:$D$336,MATCH(B140,Accounts!$A$5:$A$336,0))</f>
        <v>Standard</v>
      </c>
      <c r="R140" s="7" t="n">
        <f aca="false">INDEX(Inputs!$B$11:$B$16,MATCH(E140,Inputs!$A$11:$A$16,0))</f>
        <v>100</v>
      </c>
      <c r="S140" s="27" t="n">
        <f aca="false">IF(F140="",0,F140)*R140/100</f>
        <v>10953000</v>
      </c>
      <c r="T140" s="7" t="n">
        <f aca="false">Inputs!$B$4-J140</f>
        <v>5</v>
      </c>
      <c r="U140" s="7" t="n">
        <f aca="false">IF(OR(F140="",F140=0),1,0)</f>
        <v>0</v>
      </c>
      <c r="V140" s="7" t="n">
        <f aca="false">IF(K140="",1,0)</f>
        <v>0</v>
      </c>
      <c r="W140" s="7" t="n">
        <f aca="false">IF(AND(O140=1,K140&lt;&gt;"",COUNTIFS(Owners!$A$5:$A$32,K140,Owners!$E$5:$E$32,"No")&gt;0),1,0)</f>
        <v>0</v>
      </c>
      <c r="X140" s="7" t="n">
        <f aca="false">IF(AND(O140=1,I140&lt;Inputs!$B$4),1,0)</f>
        <v>0</v>
      </c>
      <c r="Y140" s="7" t="n">
        <f aca="false">IF(AND(O140=1,T140&gt;Inputs!$B$5),1,0)</f>
        <v>0</v>
      </c>
      <c r="Z140" s="7" t="n">
        <f aca="false">IF(AND(O140=1,G140&lt;&gt;R140),1,0)</f>
        <v>0</v>
      </c>
      <c r="AA140" s="7" t="n">
        <f aca="false">IF(AND(O140=1,M140=""),1,0)</f>
        <v>0</v>
      </c>
      <c r="AB140" s="7" t="n">
        <f aca="false">IF(AND(E140="Closed Lost",N140=""),1,0)</f>
        <v>0</v>
      </c>
      <c r="AC140" s="7" t="n">
        <f aca="false">SUM(U140:AB140)</f>
        <v>0</v>
      </c>
      <c r="AD140" s="7" t="n">
        <f aca="false">IF(AC140=0,1,0)</f>
        <v>1</v>
      </c>
      <c r="AE140" s="7" t="n">
        <f aca="false">IF(AND(O140=1,I140&gt;=Inputs!$B$6,I140&lt;=Inputs!$B$7),1,0)</f>
        <v>0</v>
      </c>
      <c r="AF140" s="7" t="n">
        <f aca="false">IF(AND(E140="Closed Won",I140&gt;=Inputs!$B$6,I140&lt;=Inputs!$B$4),1,0)</f>
        <v>1</v>
      </c>
      <c r="AG140" s="7" t="n">
        <f aca="false">IF(AND(O140=0,I140&gt;Inputs!$B$4-Inputs!$B$8,I140&lt;=Inputs!$B$4),1,0)</f>
        <v>1</v>
      </c>
      <c r="AH140" s="7" t="n">
        <f aca="false">I140-H140</f>
        <v>110</v>
      </c>
    </row>
    <row r="141" customFormat="false" ht="15" hidden="false" customHeight="false" outlineLevel="0" collapsed="false">
      <c r="A141" s="16" t="s">
        <v>921</v>
      </c>
      <c r="B141" s="16" t="s">
        <v>94</v>
      </c>
      <c r="C141" s="16" t="s">
        <v>922</v>
      </c>
      <c r="D141" s="16" t="s">
        <v>165</v>
      </c>
      <c r="E141" s="16" t="s">
        <v>531</v>
      </c>
      <c r="F141" s="26" t="n">
        <v>15028000</v>
      </c>
      <c r="G141" s="25" t="n">
        <v>0</v>
      </c>
      <c r="H141" s="22" t="n">
        <v>46182</v>
      </c>
      <c r="I141" s="22" t="n">
        <v>46306</v>
      </c>
      <c r="J141" s="22" t="n">
        <v>46306</v>
      </c>
      <c r="K141" s="16" t="s">
        <v>640</v>
      </c>
      <c r="L141" s="16" t="s">
        <v>592</v>
      </c>
      <c r="M141" s="16"/>
      <c r="N141" s="16" t="s">
        <v>597</v>
      </c>
      <c r="O141" s="7" t="n">
        <f aca="false">IF(OR(E141="Closed Won",E141="Closed Lost"),0,1)</f>
        <v>0</v>
      </c>
      <c r="P141" s="17" t="str">
        <f aca="false">INDEX(Accounts!$K$5:$K$336,MATCH(B141,Accounts!$A$5:$A$336,0))</f>
        <v>Technology, Media &amp; Telecom</v>
      </c>
      <c r="Q141" s="17" t="str">
        <f aca="false">INDEX(Accounts!$D$5:$D$336,MATCH(B141,Accounts!$A$5:$A$336,0))</f>
        <v>Priority</v>
      </c>
      <c r="R141" s="7" t="n">
        <f aca="false">INDEX(Inputs!$B$11:$B$16,MATCH(E141,Inputs!$A$11:$A$16,0))</f>
        <v>0</v>
      </c>
      <c r="S141" s="27" t="n">
        <f aca="false">IF(F141="",0,F141)*R141/100</f>
        <v>0</v>
      </c>
      <c r="T141" s="7" t="n">
        <f aca="false">Inputs!$B$4-J141</f>
        <v>8</v>
      </c>
      <c r="U141" s="7" t="n">
        <f aca="false">IF(OR(F141="",F141=0),1,0)</f>
        <v>0</v>
      </c>
      <c r="V141" s="7" t="n">
        <f aca="false">IF(K141="",1,0)</f>
        <v>0</v>
      </c>
      <c r="W141" s="7" t="n">
        <f aca="false">IF(AND(O141=1,K141&lt;&gt;"",COUNTIFS(Owners!$A$5:$A$32,K141,Owners!$E$5:$E$32,"No")&gt;0),1,0)</f>
        <v>0</v>
      </c>
      <c r="X141" s="7" t="n">
        <f aca="false">IF(AND(O141=1,I141&lt;Inputs!$B$4),1,0)</f>
        <v>0</v>
      </c>
      <c r="Y141" s="7" t="n">
        <f aca="false">IF(AND(O141=1,T141&gt;Inputs!$B$5),1,0)</f>
        <v>0</v>
      </c>
      <c r="Z141" s="7" t="n">
        <f aca="false">IF(AND(O141=1,G141&lt;&gt;R141),1,0)</f>
        <v>0</v>
      </c>
      <c r="AA141" s="7" t="n">
        <f aca="false">IF(AND(O141=1,M141=""),1,0)</f>
        <v>0</v>
      </c>
      <c r="AB141" s="7" t="n">
        <f aca="false">IF(AND(E141="Closed Lost",N141=""),1,0)</f>
        <v>0</v>
      </c>
      <c r="AC141" s="7" t="n">
        <f aca="false">SUM(U141:AB141)</f>
        <v>0</v>
      </c>
      <c r="AD141" s="7" t="n">
        <f aca="false">IF(AC141=0,1,0)</f>
        <v>1</v>
      </c>
      <c r="AE141" s="7" t="n">
        <f aca="false">IF(AND(O141=1,I141&gt;=Inputs!$B$6,I141&lt;=Inputs!$B$7),1,0)</f>
        <v>0</v>
      </c>
      <c r="AF141" s="7" t="n">
        <f aca="false">IF(AND(E141="Closed Won",I141&gt;=Inputs!$B$6,I141&lt;=Inputs!$B$4),1,0)</f>
        <v>0</v>
      </c>
      <c r="AG141" s="7" t="n">
        <f aca="false">IF(AND(O141=0,I141&gt;Inputs!$B$4-Inputs!$B$8,I141&lt;=Inputs!$B$4),1,0)</f>
        <v>1</v>
      </c>
      <c r="AH141" s="7" t="n">
        <f aca="false">I141-H141</f>
        <v>124</v>
      </c>
    </row>
    <row r="142" customFormat="false" ht="15" hidden="false" customHeight="false" outlineLevel="0" collapsed="false">
      <c r="A142" s="16" t="s">
        <v>923</v>
      </c>
      <c r="B142" s="16" t="s">
        <v>80</v>
      </c>
      <c r="C142" s="16" t="s">
        <v>924</v>
      </c>
      <c r="D142" s="16" t="s">
        <v>165</v>
      </c>
      <c r="E142" s="16" t="s">
        <v>531</v>
      </c>
      <c r="F142" s="26" t="n">
        <v>24974000</v>
      </c>
      <c r="G142" s="25" t="n">
        <v>0</v>
      </c>
      <c r="H142" s="22" t="n">
        <v>45961</v>
      </c>
      <c r="I142" s="22" t="n">
        <v>46150</v>
      </c>
      <c r="J142" s="22" t="n">
        <v>46150</v>
      </c>
      <c r="K142" s="16" t="s">
        <v>640</v>
      </c>
      <c r="L142" s="16" t="s">
        <v>500</v>
      </c>
      <c r="M142" s="16"/>
      <c r="N142" s="16" t="s">
        <v>579</v>
      </c>
      <c r="O142" s="7" t="n">
        <f aca="false">IF(OR(E142="Closed Won",E142="Closed Lost"),0,1)</f>
        <v>0</v>
      </c>
      <c r="P142" s="17" t="str">
        <f aca="false">INDEX(Accounts!$K$5:$K$336,MATCH(B142,Accounts!$A$5:$A$336,0))</f>
        <v>Public Sector &amp; Development</v>
      </c>
      <c r="Q142" s="17" t="str">
        <f aca="false">INDEX(Accounts!$D$5:$D$336,MATCH(B142,Accounts!$A$5:$A$336,0))</f>
        <v>Priority</v>
      </c>
      <c r="R142" s="7" t="n">
        <f aca="false">INDEX(Inputs!$B$11:$B$16,MATCH(E142,Inputs!$A$11:$A$16,0))</f>
        <v>0</v>
      </c>
      <c r="S142" s="27" t="n">
        <f aca="false">IF(F142="",0,F142)*R142/100</f>
        <v>0</v>
      </c>
      <c r="T142" s="7" t="n">
        <f aca="false">Inputs!$B$4-J142</f>
        <v>164</v>
      </c>
      <c r="U142" s="7" t="n">
        <f aca="false">IF(OR(F142="",F142=0),1,0)</f>
        <v>0</v>
      </c>
      <c r="V142" s="7" t="n">
        <f aca="false">IF(K142="",1,0)</f>
        <v>0</v>
      </c>
      <c r="W142" s="7" t="n">
        <f aca="false">IF(AND(O142=1,K142&lt;&gt;"",COUNTIFS(Owners!$A$5:$A$32,K142,Owners!$E$5:$E$32,"No")&gt;0),1,0)</f>
        <v>0</v>
      </c>
      <c r="X142" s="7" t="n">
        <f aca="false">IF(AND(O142=1,I142&lt;Inputs!$B$4),1,0)</f>
        <v>0</v>
      </c>
      <c r="Y142" s="7" t="n">
        <f aca="false">IF(AND(O142=1,T142&gt;Inputs!$B$5),1,0)</f>
        <v>0</v>
      </c>
      <c r="Z142" s="7" t="n">
        <f aca="false">IF(AND(O142=1,G142&lt;&gt;R142),1,0)</f>
        <v>0</v>
      </c>
      <c r="AA142" s="7" t="n">
        <f aca="false">IF(AND(O142=1,M142=""),1,0)</f>
        <v>0</v>
      </c>
      <c r="AB142" s="7" t="n">
        <f aca="false">IF(AND(E142="Closed Lost",N142=""),1,0)</f>
        <v>0</v>
      </c>
      <c r="AC142" s="7" t="n">
        <f aca="false">SUM(U142:AB142)</f>
        <v>0</v>
      </c>
      <c r="AD142" s="7" t="n">
        <f aca="false">IF(AC142=0,1,0)</f>
        <v>1</v>
      </c>
      <c r="AE142" s="7" t="n">
        <f aca="false">IF(AND(O142=1,I142&gt;=Inputs!$B$6,I142&lt;=Inputs!$B$7),1,0)</f>
        <v>0</v>
      </c>
      <c r="AF142" s="7" t="n">
        <f aca="false">IF(AND(E142="Closed Won",I142&gt;=Inputs!$B$6,I142&lt;=Inputs!$B$4),1,0)</f>
        <v>0</v>
      </c>
      <c r="AG142" s="7" t="n">
        <f aca="false">IF(AND(O142=0,I142&gt;Inputs!$B$4-Inputs!$B$8,I142&lt;=Inputs!$B$4),1,0)</f>
        <v>1</v>
      </c>
      <c r="AH142" s="7" t="n">
        <f aca="false">I142-H142</f>
        <v>189</v>
      </c>
    </row>
    <row r="143" customFormat="false" ht="15" hidden="false" customHeight="false" outlineLevel="0" collapsed="false">
      <c r="A143" s="16" t="s">
        <v>925</v>
      </c>
      <c r="B143" s="16" t="s">
        <v>62</v>
      </c>
      <c r="C143" s="16" t="s">
        <v>926</v>
      </c>
      <c r="D143" s="16" t="s">
        <v>162</v>
      </c>
      <c r="E143" s="16" t="s">
        <v>531</v>
      </c>
      <c r="F143" s="26" t="n">
        <v>36068000</v>
      </c>
      <c r="G143" s="25" t="n">
        <v>0</v>
      </c>
      <c r="H143" s="22" t="n">
        <v>45982</v>
      </c>
      <c r="I143" s="22" t="n">
        <v>46241</v>
      </c>
      <c r="J143" s="22" t="n">
        <v>46241</v>
      </c>
      <c r="K143" s="16" t="s">
        <v>704</v>
      </c>
      <c r="L143" s="16" t="s">
        <v>592</v>
      </c>
      <c r="M143" s="16"/>
      <c r="N143" s="16" t="s">
        <v>579</v>
      </c>
      <c r="O143" s="7" t="n">
        <f aca="false">IF(OR(E143="Closed Won",E143="Closed Lost"),0,1)</f>
        <v>0</v>
      </c>
      <c r="P143" s="17" t="str">
        <f aca="false">INDEX(Accounts!$K$5:$K$336,MATCH(B143,Accounts!$A$5:$A$336,0))</f>
        <v>Financial Services</v>
      </c>
      <c r="Q143" s="17" t="str">
        <f aca="false">INDEX(Accounts!$D$5:$D$336,MATCH(B143,Accounts!$A$5:$A$336,0))</f>
        <v>Priority</v>
      </c>
      <c r="R143" s="7" t="n">
        <f aca="false">INDEX(Inputs!$B$11:$B$16,MATCH(E143,Inputs!$A$11:$A$16,0))</f>
        <v>0</v>
      </c>
      <c r="S143" s="27" t="n">
        <f aca="false">IF(F143="",0,F143)*R143/100</f>
        <v>0</v>
      </c>
      <c r="T143" s="7" t="n">
        <f aca="false">Inputs!$B$4-J143</f>
        <v>73</v>
      </c>
      <c r="U143" s="7" t="n">
        <f aca="false">IF(OR(F143="",F143=0),1,0)</f>
        <v>0</v>
      </c>
      <c r="V143" s="7" t="n">
        <f aca="false">IF(K143="",1,0)</f>
        <v>0</v>
      </c>
      <c r="W143" s="7" t="n">
        <f aca="false">IF(AND(O143=1,K143&lt;&gt;"",COUNTIFS(Owners!$A$5:$A$32,K143,Owners!$E$5:$E$32,"No")&gt;0),1,0)</f>
        <v>0</v>
      </c>
      <c r="X143" s="7" t="n">
        <f aca="false">IF(AND(O143=1,I143&lt;Inputs!$B$4),1,0)</f>
        <v>0</v>
      </c>
      <c r="Y143" s="7" t="n">
        <f aca="false">IF(AND(O143=1,T143&gt;Inputs!$B$5),1,0)</f>
        <v>0</v>
      </c>
      <c r="Z143" s="7" t="n">
        <f aca="false">IF(AND(O143=1,G143&lt;&gt;R143),1,0)</f>
        <v>0</v>
      </c>
      <c r="AA143" s="7" t="n">
        <f aca="false">IF(AND(O143=1,M143=""),1,0)</f>
        <v>0</v>
      </c>
      <c r="AB143" s="7" t="n">
        <f aca="false">IF(AND(E143="Closed Lost",N143=""),1,0)</f>
        <v>0</v>
      </c>
      <c r="AC143" s="7" t="n">
        <f aca="false">SUM(U143:AB143)</f>
        <v>0</v>
      </c>
      <c r="AD143" s="7" t="n">
        <f aca="false">IF(AC143=0,1,0)</f>
        <v>1</v>
      </c>
      <c r="AE143" s="7" t="n">
        <f aca="false">IF(AND(O143=1,I143&gt;=Inputs!$B$6,I143&lt;=Inputs!$B$7),1,0)</f>
        <v>0</v>
      </c>
      <c r="AF143" s="7" t="n">
        <f aca="false">IF(AND(E143="Closed Won",I143&gt;=Inputs!$B$6,I143&lt;=Inputs!$B$4),1,0)</f>
        <v>0</v>
      </c>
      <c r="AG143" s="7" t="n">
        <f aca="false">IF(AND(O143=0,I143&gt;Inputs!$B$4-Inputs!$B$8,I143&lt;=Inputs!$B$4),1,0)</f>
        <v>1</v>
      </c>
      <c r="AH143" s="7" t="n">
        <f aca="false">I143-H143</f>
        <v>259</v>
      </c>
    </row>
    <row r="144" customFormat="false" ht="15" hidden="false" customHeight="false" outlineLevel="0" collapsed="false">
      <c r="A144" s="16" t="s">
        <v>927</v>
      </c>
      <c r="B144" s="16" t="s">
        <v>448</v>
      </c>
      <c r="C144" s="16" t="s">
        <v>928</v>
      </c>
      <c r="D144" s="16" t="s">
        <v>158</v>
      </c>
      <c r="E144" s="16" t="s">
        <v>531</v>
      </c>
      <c r="F144" s="26" t="n">
        <v>8677000</v>
      </c>
      <c r="G144" s="25" t="n">
        <v>0</v>
      </c>
      <c r="H144" s="22" t="n">
        <v>45999</v>
      </c>
      <c r="I144" s="22" t="n">
        <v>46288</v>
      </c>
      <c r="J144" s="22" t="n">
        <v>46288</v>
      </c>
      <c r="K144" s="16" t="s">
        <v>860</v>
      </c>
      <c r="L144" s="16" t="s">
        <v>574</v>
      </c>
      <c r="M144" s="16"/>
      <c r="N144" s="16" t="s">
        <v>713</v>
      </c>
      <c r="O144" s="7" t="n">
        <f aca="false">IF(OR(E144="Closed Won",E144="Closed Lost"),0,1)</f>
        <v>0</v>
      </c>
      <c r="P144" s="17" t="str">
        <f aca="false">INDEX(Accounts!$K$5:$K$336,MATCH(B144,Accounts!$A$5:$A$336,0))</f>
        <v>Technology, Media &amp; Telecom</v>
      </c>
      <c r="Q144" s="17" t="str">
        <f aca="false">INDEX(Accounts!$D$5:$D$336,MATCH(B144,Accounts!$A$5:$A$336,0))</f>
        <v>Key</v>
      </c>
      <c r="R144" s="7" t="n">
        <f aca="false">INDEX(Inputs!$B$11:$B$16,MATCH(E144,Inputs!$A$11:$A$16,0))</f>
        <v>0</v>
      </c>
      <c r="S144" s="27" t="n">
        <f aca="false">IF(F144="",0,F144)*R144/100</f>
        <v>0</v>
      </c>
      <c r="T144" s="7" t="n">
        <f aca="false">Inputs!$B$4-J144</f>
        <v>26</v>
      </c>
      <c r="U144" s="7" t="n">
        <f aca="false">IF(OR(F144="",F144=0),1,0)</f>
        <v>0</v>
      </c>
      <c r="V144" s="7" t="n">
        <f aca="false">IF(K144="",1,0)</f>
        <v>0</v>
      </c>
      <c r="W144" s="7" t="n">
        <f aca="false">IF(AND(O144=1,K144&lt;&gt;"",COUNTIFS(Owners!$A$5:$A$32,K144,Owners!$E$5:$E$32,"No")&gt;0),1,0)</f>
        <v>0</v>
      </c>
      <c r="X144" s="7" t="n">
        <f aca="false">IF(AND(O144=1,I144&lt;Inputs!$B$4),1,0)</f>
        <v>0</v>
      </c>
      <c r="Y144" s="7" t="n">
        <f aca="false">IF(AND(O144=1,T144&gt;Inputs!$B$5),1,0)</f>
        <v>0</v>
      </c>
      <c r="Z144" s="7" t="n">
        <f aca="false">IF(AND(O144=1,G144&lt;&gt;R144),1,0)</f>
        <v>0</v>
      </c>
      <c r="AA144" s="7" t="n">
        <f aca="false">IF(AND(O144=1,M144=""),1,0)</f>
        <v>0</v>
      </c>
      <c r="AB144" s="7" t="n">
        <f aca="false">IF(AND(E144="Closed Lost",N144=""),1,0)</f>
        <v>0</v>
      </c>
      <c r="AC144" s="7" t="n">
        <f aca="false">SUM(U144:AB144)</f>
        <v>0</v>
      </c>
      <c r="AD144" s="7" t="n">
        <f aca="false">IF(AC144=0,1,0)</f>
        <v>1</v>
      </c>
      <c r="AE144" s="7" t="n">
        <f aca="false">IF(AND(O144=1,I144&gt;=Inputs!$B$6,I144&lt;=Inputs!$B$7),1,0)</f>
        <v>0</v>
      </c>
      <c r="AF144" s="7" t="n">
        <f aca="false">IF(AND(E144="Closed Won",I144&gt;=Inputs!$B$6,I144&lt;=Inputs!$B$4),1,0)</f>
        <v>0</v>
      </c>
      <c r="AG144" s="7" t="n">
        <f aca="false">IF(AND(O144=0,I144&gt;Inputs!$B$4-Inputs!$B$8,I144&lt;=Inputs!$B$4),1,0)</f>
        <v>1</v>
      </c>
      <c r="AH144" s="7" t="n">
        <f aca="false">I144-H144</f>
        <v>289</v>
      </c>
    </row>
    <row r="145" customFormat="false" ht="15" hidden="false" customHeight="false" outlineLevel="0" collapsed="false">
      <c r="A145" s="16" t="s">
        <v>929</v>
      </c>
      <c r="B145" s="16" t="s">
        <v>847</v>
      </c>
      <c r="C145" s="16" t="s">
        <v>930</v>
      </c>
      <c r="D145" s="16" t="s">
        <v>158</v>
      </c>
      <c r="E145" s="16" t="s">
        <v>527</v>
      </c>
      <c r="F145" s="26"/>
      <c r="G145" s="25" t="n">
        <v>25</v>
      </c>
      <c r="H145" s="22" t="n">
        <v>46076</v>
      </c>
      <c r="I145" s="22" t="n">
        <v>46516</v>
      </c>
      <c r="J145" s="22" t="n">
        <v>46293</v>
      </c>
      <c r="K145" s="16" t="s">
        <v>640</v>
      </c>
      <c r="L145" s="16" t="s">
        <v>574</v>
      </c>
      <c r="M145" s="16" t="s">
        <v>601</v>
      </c>
      <c r="N145" s="16"/>
      <c r="O145" s="7" t="n">
        <f aca="false">IF(OR(E145="Closed Won",E145="Closed Lost"),0,1)</f>
        <v>1</v>
      </c>
      <c r="P145" s="17" t="str">
        <f aca="false">INDEX(Accounts!$K$5:$K$336,MATCH(B145,Accounts!$A$5:$A$336,0))</f>
        <v>Public Sector &amp; Development</v>
      </c>
      <c r="Q145" s="17" t="str">
        <f aca="false">INDEX(Accounts!$D$5:$D$336,MATCH(B145,Accounts!$A$5:$A$336,0))</f>
        <v>Standard</v>
      </c>
      <c r="R145" s="7" t="n">
        <f aca="false">INDEX(Inputs!$B$11:$B$16,MATCH(E145,Inputs!$A$11:$A$16,0))</f>
        <v>25</v>
      </c>
      <c r="S145" s="27" t="n">
        <f aca="false">IF(F145="",0,F145)*R145/100</f>
        <v>0</v>
      </c>
      <c r="T145" s="7" t="n">
        <f aca="false">Inputs!$B$4-J145</f>
        <v>21</v>
      </c>
      <c r="U145" s="7" t="n">
        <f aca="false">IF(OR(F145="",F145=0),1,0)</f>
        <v>1</v>
      </c>
      <c r="V145" s="7" t="n">
        <f aca="false">IF(K145="",1,0)</f>
        <v>0</v>
      </c>
      <c r="W145" s="7" t="n">
        <f aca="false">IF(AND(O145=1,K145&lt;&gt;"",COUNTIFS(Owners!$A$5:$A$32,K145,Owners!$E$5:$E$32,"No")&gt;0),1,0)</f>
        <v>0</v>
      </c>
      <c r="X145" s="7" t="n">
        <f aca="false">IF(AND(O145=1,I145&lt;Inputs!$B$4),1,0)</f>
        <v>0</v>
      </c>
      <c r="Y145" s="7" t="n">
        <f aca="false">IF(AND(O145=1,T145&gt;Inputs!$B$5),1,0)</f>
        <v>0</v>
      </c>
      <c r="Z145" s="7" t="n">
        <f aca="false">IF(AND(O145=1,G145&lt;&gt;R145),1,0)</f>
        <v>0</v>
      </c>
      <c r="AA145" s="7" t="n">
        <f aca="false">IF(AND(O145=1,M145=""),1,0)</f>
        <v>0</v>
      </c>
      <c r="AB145" s="7" t="n">
        <f aca="false">IF(AND(E145="Closed Lost",N145=""),1,0)</f>
        <v>0</v>
      </c>
      <c r="AC145" s="7" t="n">
        <f aca="false">SUM(U145:AB145)</f>
        <v>1</v>
      </c>
      <c r="AD145" s="7" t="n">
        <f aca="false">IF(AC145=0,1,0)</f>
        <v>0</v>
      </c>
      <c r="AE145" s="7" t="n">
        <f aca="false">IF(AND(O145=1,I145&gt;=Inputs!$B$6,I145&lt;=Inputs!$B$7),1,0)</f>
        <v>1</v>
      </c>
      <c r="AF145" s="7" t="n">
        <f aca="false">IF(AND(E145="Closed Won",I145&gt;=Inputs!$B$6,I145&lt;=Inputs!$B$4),1,0)</f>
        <v>0</v>
      </c>
      <c r="AG145" s="7" t="n">
        <f aca="false">IF(AND(O145=0,I145&gt;Inputs!$B$4-Inputs!$B$8,I145&lt;=Inputs!$B$4),1,0)</f>
        <v>0</v>
      </c>
      <c r="AH145" s="7" t="n">
        <f aca="false">I145-H145</f>
        <v>440</v>
      </c>
    </row>
    <row r="146" customFormat="false" ht="15" hidden="false" customHeight="false" outlineLevel="0" collapsed="false">
      <c r="A146" s="16" t="s">
        <v>931</v>
      </c>
      <c r="B146" s="16" t="s">
        <v>399</v>
      </c>
      <c r="C146" s="16" t="s">
        <v>932</v>
      </c>
      <c r="D146" s="16" t="s">
        <v>158</v>
      </c>
      <c r="E146" s="16" t="s">
        <v>529</v>
      </c>
      <c r="F146" s="26" t="n">
        <v>17988000</v>
      </c>
      <c r="G146" s="25" t="n">
        <v>75</v>
      </c>
      <c r="H146" s="22" t="n">
        <v>46118</v>
      </c>
      <c r="I146" s="22" t="n">
        <v>46529</v>
      </c>
      <c r="J146" s="22" t="n">
        <v>46219</v>
      </c>
      <c r="K146" s="16" t="s">
        <v>765</v>
      </c>
      <c r="L146" s="16" t="s">
        <v>584</v>
      </c>
      <c r="M146" s="16" t="s">
        <v>575</v>
      </c>
      <c r="N146" s="16"/>
      <c r="O146" s="7" t="n">
        <f aca="false">IF(OR(E146="Closed Won",E146="Closed Lost"),0,1)</f>
        <v>1</v>
      </c>
      <c r="P146" s="17" t="str">
        <f aca="false">INDEX(Accounts!$K$5:$K$336,MATCH(B146,Accounts!$A$5:$A$336,0))</f>
        <v>Technology, Media &amp; Telecom</v>
      </c>
      <c r="Q146" s="17" t="str">
        <f aca="false">INDEX(Accounts!$D$5:$D$336,MATCH(B146,Accounts!$A$5:$A$336,0))</f>
        <v>Standard</v>
      </c>
      <c r="R146" s="7" t="n">
        <f aca="false">INDEX(Inputs!$B$11:$B$16,MATCH(E146,Inputs!$A$11:$A$16,0))</f>
        <v>75</v>
      </c>
      <c r="S146" s="27" t="n">
        <f aca="false">IF(F146="",0,F146)*R146/100</f>
        <v>13491000</v>
      </c>
      <c r="T146" s="7" t="n">
        <f aca="false">Inputs!$B$4-J146</f>
        <v>95</v>
      </c>
      <c r="U146" s="7" t="n">
        <f aca="false">IF(OR(F146="",F146=0),1,0)</f>
        <v>0</v>
      </c>
      <c r="V146" s="7" t="n">
        <f aca="false">IF(K146="",1,0)</f>
        <v>0</v>
      </c>
      <c r="W146" s="7" t="n">
        <f aca="false">IF(AND(O146=1,K146&lt;&gt;"",COUNTIFS(Owners!$A$5:$A$32,K146,Owners!$E$5:$E$32,"No")&gt;0),1,0)</f>
        <v>0</v>
      </c>
      <c r="X146" s="7" t="n">
        <f aca="false">IF(AND(O146=1,I146&lt;Inputs!$B$4),1,0)</f>
        <v>0</v>
      </c>
      <c r="Y146" s="7" t="n">
        <f aca="false">IF(AND(O146=1,T146&gt;Inputs!$B$5),1,0)</f>
        <v>1</v>
      </c>
      <c r="Z146" s="7" t="n">
        <f aca="false">IF(AND(O146=1,G146&lt;&gt;R146),1,0)</f>
        <v>0</v>
      </c>
      <c r="AA146" s="7" t="n">
        <f aca="false">IF(AND(O146=1,M146=""),1,0)</f>
        <v>0</v>
      </c>
      <c r="AB146" s="7" t="n">
        <f aca="false">IF(AND(E146="Closed Lost",N146=""),1,0)</f>
        <v>0</v>
      </c>
      <c r="AC146" s="7" t="n">
        <f aca="false">SUM(U146:AB146)</f>
        <v>1</v>
      </c>
      <c r="AD146" s="7" t="n">
        <f aca="false">IF(AC146=0,1,0)</f>
        <v>0</v>
      </c>
      <c r="AE146" s="7" t="n">
        <f aca="false">IF(AND(O146=1,I146&gt;=Inputs!$B$6,I146&lt;=Inputs!$B$7),1,0)</f>
        <v>1</v>
      </c>
      <c r="AF146" s="7" t="n">
        <f aca="false">IF(AND(E146="Closed Won",I146&gt;=Inputs!$B$6,I146&lt;=Inputs!$B$4),1,0)</f>
        <v>0</v>
      </c>
      <c r="AG146" s="7" t="n">
        <f aca="false">IF(AND(O146=0,I146&gt;Inputs!$B$4-Inputs!$B$8,I146&lt;=Inputs!$B$4),1,0)</f>
        <v>0</v>
      </c>
      <c r="AH146" s="7" t="n">
        <f aca="false">I146-H146</f>
        <v>411</v>
      </c>
    </row>
    <row r="147" customFormat="false" ht="15" hidden="false" customHeight="false" outlineLevel="0" collapsed="false">
      <c r="A147" s="16" t="s">
        <v>933</v>
      </c>
      <c r="B147" s="16" t="s">
        <v>493</v>
      </c>
      <c r="C147" s="16" t="s">
        <v>934</v>
      </c>
      <c r="D147" s="16" t="s">
        <v>167</v>
      </c>
      <c r="E147" s="16" t="s">
        <v>530</v>
      </c>
      <c r="F147" s="26" t="n">
        <v>12332000</v>
      </c>
      <c r="G147" s="25" t="n">
        <v>100</v>
      </c>
      <c r="H147" s="22" t="n">
        <v>46090</v>
      </c>
      <c r="I147" s="22" t="n">
        <v>46153</v>
      </c>
      <c r="J147" s="22" t="n">
        <v>46153</v>
      </c>
      <c r="K147" s="16" t="s">
        <v>596</v>
      </c>
      <c r="L147" s="16" t="s">
        <v>568</v>
      </c>
      <c r="M147" s="16"/>
      <c r="N147" s="16"/>
      <c r="O147" s="7" t="n">
        <f aca="false">IF(OR(E147="Closed Won",E147="Closed Lost"),0,1)</f>
        <v>0</v>
      </c>
      <c r="P147" s="17" t="str">
        <f aca="false">INDEX(Accounts!$K$5:$K$336,MATCH(B147,Accounts!$A$5:$A$336,0))</f>
        <v>Technology, Media &amp; Telecom</v>
      </c>
      <c r="Q147" s="17" t="str">
        <f aca="false">INDEX(Accounts!$D$5:$D$336,MATCH(B147,Accounts!$A$5:$A$336,0))</f>
        <v>Standard</v>
      </c>
      <c r="R147" s="7" t="n">
        <f aca="false">INDEX(Inputs!$B$11:$B$16,MATCH(E147,Inputs!$A$11:$A$16,0))</f>
        <v>100</v>
      </c>
      <c r="S147" s="27" t="n">
        <f aca="false">IF(F147="",0,F147)*R147/100</f>
        <v>12332000</v>
      </c>
      <c r="T147" s="7" t="n">
        <f aca="false">Inputs!$B$4-J147</f>
        <v>161</v>
      </c>
      <c r="U147" s="7" t="n">
        <f aca="false">IF(OR(F147="",F147=0),1,0)</f>
        <v>0</v>
      </c>
      <c r="V147" s="7" t="n">
        <f aca="false">IF(K147="",1,0)</f>
        <v>0</v>
      </c>
      <c r="W147" s="7" t="n">
        <f aca="false">IF(AND(O147=1,K147&lt;&gt;"",COUNTIFS(Owners!$A$5:$A$32,K147,Owners!$E$5:$E$32,"No")&gt;0),1,0)</f>
        <v>0</v>
      </c>
      <c r="X147" s="7" t="n">
        <f aca="false">IF(AND(O147=1,I147&lt;Inputs!$B$4),1,0)</f>
        <v>0</v>
      </c>
      <c r="Y147" s="7" t="n">
        <f aca="false">IF(AND(O147=1,T147&gt;Inputs!$B$5),1,0)</f>
        <v>0</v>
      </c>
      <c r="Z147" s="7" t="n">
        <f aca="false">IF(AND(O147=1,G147&lt;&gt;R147),1,0)</f>
        <v>0</v>
      </c>
      <c r="AA147" s="7" t="n">
        <f aca="false">IF(AND(O147=1,M147=""),1,0)</f>
        <v>0</v>
      </c>
      <c r="AB147" s="7" t="n">
        <f aca="false">IF(AND(E147="Closed Lost",N147=""),1,0)</f>
        <v>0</v>
      </c>
      <c r="AC147" s="7" t="n">
        <f aca="false">SUM(U147:AB147)</f>
        <v>0</v>
      </c>
      <c r="AD147" s="7" t="n">
        <f aca="false">IF(AC147=0,1,0)</f>
        <v>1</v>
      </c>
      <c r="AE147" s="7" t="n">
        <f aca="false">IF(AND(O147=1,I147&gt;=Inputs!$B$6,I147&lt;=Inputs!$B$7),1,0)</f>
        <v>0</v>
      </c>
      <c r="AF147" s="7" t="n">
        <f aca="false">IF(AND(E147="Closed Won",I147&gt;=Inputs!$B$6,I147&lt;=Inputs!$B$4),1,0)</f>
        <v>0</v>
      </c>
      <c r="AG147" s="7" t="n">
        <f aca="false">IF(AND(O147=0,I147&gt;Inputs!$B$4-Inputs!$B$8,I147&lt;=Inputs!$B$4),1,0)</f>
        <v>1</v>
      </c>
      <c r="AH147" s="7" t="n">
        <f aca="false">I147-H147</f>
        <v>63</v>
      </c>
    </row>
    <row r="148" customFormat="false" ht="15" hidden="false" customHeight="false" outlineLevel="0" collapsed="false">
      <c r="A148" s="16" t="s">
        <v>935</v>
      </c>
      <c r="B148" s="16" t="s">
        <v>936</v>
      </c>
      <c r="C148" s="16" t="s">
        <v>937</v>
      </c>
      <c r="D148" s="16" t="s">
        <v>165</v>
      </c>
      <c r="E148" s="16" t="s">
        <v>526</v>
      </c>
      <c r="F148" s="26" t="n">
        <v>5499000</v>
      </c>
      <c r="G148" s="25" t="n">
        <v>10</v>
      </c>
      <c r="H148" s="22" t="n">
        <v>46205</v>
      </c>
      <c r="I148" s="22" t="n">
        <v>46320</v>
      </c>
      <c r="J148" s="22" t="n">
        <v>46297</v>
      </c>
      <c r="K148" s="16" t="s">
        <v>600</v>
      </c>
      <c r="L148" s="16" t="s">
        <v>500</v>
      </c>
      <c r="M148" s="16" t="s">
        <v>619</v>
      </c>
      <c r="N148" s="16"/>
      <c r="O148" s="7" t="n">
        <f aca="false">IF(OR(E148="Closed Won",E148="Closed Lost"),0,1)</f>
        <v>1</v>
      </c>
      <c r="P148" s="17" t="str">
        <f aca="false">INDEX(Accounts!$K$5:$K$336,MATCH(B148,Accounts!$A$5:$A$336,0))</f>
        <v>Real Estate &amp; Infrastructure</v>
      </c>
      <c r="Q148" s="17" t="str">
        <f aca="false">INDEX(Accounts!$D$5:$D$336,MATCH(B148,Accounts!$A$5:$A$336,0))</f>
        <v>Standard</v>
      </c>
      <c r="R148" s="7" t="n">
        <f aca="false">INDEX(Inputs!$B$11:$B$16,MATCH(E148,Inputs!$A$11:$A$16,0))</f>
        <v>10</v>
      </c>
      <c r="S148" s="27" t="n">
        <f aca="false">IF(F148="",0,F148)*R148/100</f>
        <v>549900</v>
      </c>
      <c r="T148" s="7" t="n">
        <f aca="false">Inputs!$B$4-J148</f>
        <v>17</v>
      </c>
      <c r="U148" s="7" t="n">
        <f aca="false">IF(OR(F148="",F148=0),1,0)</f>
        <v>0</v>
      </c>
      <c r="V148" s="7" t="n">
        <f aca="false">IF(K148="",1,0)</f>
        <v>0</v>
      </c>
      <c r="W148" s="7" t="n">
        <f aca="false">IF(AND(O148=1,K148&lt;&gt;"",COUNTIFS(Owners!$A$5:$A$32,K148,Owners!$E$5:$E$32,"No")&gt;0),1,0)</f>
        <v>0</v>
      </c>
      <c r="X148" s="7" t="n">
        <f aca="false">IF(AND(O148=1,I148&lt;Inputs!$B$4),1,0)</f>
        <v>0</v>
      </c>
      <c r="Y148" s="7" t="n">
        <f aca="false">IF(AND(O148=1,T148&gt;Inputs!$B$5),1,0)</f>
        <v>0</v>
      </c>
      <c r="Z148" s="7" t="n">
        <f aca="false">IF(AND(O148=1,G148&lt;&gt;R148),1,0)</f>
        <v>0</v>
      </c>
      <c r="AA148" s="7" t="n">
        <f aca="false">IF(AND(O148=1,M148=""),1,0)</f>
        <v>0</v>
      </c>
      <c r="AB148" s="7" t="n">
        <f aca="false">IF(AND(E148="Closed Lost",N148=""),1,0)</f>
        <v>0</v>
      </c>
      <c r="AC148" s="7" t="n">
        <f aca="false">SUM(U148:AB148)</f>
        <v>0</v>
      </c>
      <c r="AD148" s="7" t="n">
        <f aca="false">IF(AC148=0,1,0)</f>
        <v>1</v>
      </c>
      <c r="AE148" s="7" t="n">
        <f aca="false">IF(AND(O148=1,I148&gt;=Inputs!$B$6,I148&lt;=Inputs!$B$7),1,0)</f>
        <v>1</v>
      </c>
      <c r="AF148" s="7" t="n">
        <f aca="false">IF(AND(E148="Closed Won",I148&gt;=Inputs!$B$6,I148&lt;=Inputs!$B$4),1,0)</f>
        <v>0</v>
      </c>
      <c r="AG148" s="7" t="n">
        <f aca="false">IF(AND(O148=0,I148&gt;Inputs!$B$4-Inputs!$B$8,I148&lt;=Inputs!$B$4),1,0)</f>
        <v>0</v>
      </c>
      <c r="AH148" s="7" t="n">
        <f aca="false">I148-H148</f>
        <v>115</v>
      </c>
    </row>
    <row r="149" customFormat="false" ht="15" hidden="false" customHeight="false" outlineLevel="0" collapsed="false">
      <c r="A149" s="16" t="s">
        <v>938</v>
      </c>
      <c r="B149" s="16" t="s">
        <v>939</v>
      </c>
      <c r="C149" s="16" t="s">
        <v>940</v>
      </c>
      <c r="D149" s="16" t="s">
        <v>165</v>
      </c>
      <c r="E149" s="16" t="s">
        <v>530</v>
      </c>
      <c r="F149" s="26" t="n">
        <v>46747000</v>
      </c>
      <c r="G149" s="25" t="n">
        <v>100</v>
      </c>
      <c r="H149" s="22" t="n">
        <v>46128</v>
      </c>
      <c r="I149" s="22" t="n">
        <v>46223</v>
      </c>
      <c r="J149" s="22" t="n">
        <v>46223</v>
      </c>
      <c r="K149" s="16" t="s">
        <v>677</v>
      </c>
      <c r="L149" s="16" t="s">
        <v>584</v>
      </c>
      <c r="M149" s="16"/>
      <c r="N149" s="16"/>
      <c r="O149" s="7" t="n">
        <f aca="false">IF(OR(E149="Closed Won",E149="Closed Lost"),0,1)</f>
        <v>0</v>
      </c>
      <c r="P149" s="17" t="str">
        <f aca="false">INDEX(Accounts!$K$5:$K$336,MATCH(B149,Accounts!$A$5:$A$336,0))</f>
        <v>Financial Services</v>
      </c>
      <c r="Q149" s="17" t="str">
        <f aca="false">INDEX(Accounts!$D$5:$D$336,MATCH(B149,Accounts!$A$5:$A$336,0))</f>
        <v>Standard</v>
      </c>
      <c r="R149" s="7" t="n">
        <f aca="false">INDEX(Inputs!$B$11:$B$16,MATCH(E149,Inputs!$A$11:$A$16,0))</f>
        <v>100</v>
      </c>
      <c r="S149" s="27" t="n">
        <f aca="false">IF(F149="",0,F149)*R149/100</f>
        <v>46747000</v>
      </c>
      <c r="T149" s="7" t="n">
        <f aca="false">Inputs!$B$4-J149</f>
        <v>91</v>
      </c>
      <c r="U149" s="7" t="n">
        <f aca="false">IF(OR(F149="",F149=0),1,0)</f>
        <v>0</v>
      </c>
      <c r="V149" s="7" t="n">
        <f aca="false">IF(K149="",1,0)</f>
        <v>0</v>
      </c>
      <c r="W149" s="7" t="n">
        <f aca="false">IF(AND(O149=1,K149&lt;&gt;"",COUNTIFS(Owners!$A$5:$A$32,K149,Owners!$E$5:$E$32,"No")&gt;0),1,0)</f>
        <v>0</v>
      </c>
      <c r="X149" s="7" t="n">
        <f aca="false">IF(AND(O149=1,I149&lt;Inputs!$B$4),1,0)</f>
        <v>0</v>
      </c>
      <c r="Y149" s="7" t="n">
        <f aca="false">IF(AND(O149=1,T149&gt;Inputs!$B$5),1,0)</f>
        <v>0</v>
      </c>
      <c r="Z149" s="7" t="n">
        <f aca="false">IF(AND(O149=1,G149&lt;&gt;R149),1,0)</f>
        <v>0</v>
      </c>
      <c r="AA149" s="7" t="n">
        <f aca="false">IF(AND(O149=1,M149=""),1,0)</f>
        <v>0</v>
      </c>
      <c r="AB149" s="7" t="n">
        <f aca="false">IF(AND(E149="Closed Lost",N149=""),1,0)</f>
        <v>0</v>
      </c>
      <c r="AC149" s="7" t="n">
        <f aca="false">SUM(U149:AB149)</f>
        <v>0</v>
      </c>
      <c r="AD149" s="7" t="n">
        <f aca="false">IF(AC149=0,1,0)</f>
        <v>1</v>
      </c>
      <c r="AE149" s="7" t="n">
        <f aca="false">IF(AND(O149=1,I149&gt;=Inputs!$B$6,I149&lt;=Inputs!$B$7),1,0)</f>
        <v>0</v>
      </c>
      <c r="AF149" s="7" t="n">
        <f aca="false">IF(AND(E149="Closed Won",I149&gt;=Inputs!$B$6,I149&lt;=Inputs!$B$4),1,0)</f>
        <v>1</v>
      </c>
      <c r="AG149" s="7" t="n">
        <f aca="false">IF(AND(O149=0,I149&gt;Inputs!$B$4-Inputs!$B$8,I149&lt;=Inputs!$B$4),1,0)</f>
        <v>1</v>
      </c>
      <c r="AH149" s="7" t="n">
        <f aca="false">I149-H149</f>
        <v>95</v>
      </c>
    </row>
    <row r="150" customFormat="false" ht="15" hidden="false" customHeight="false" outlineLevel="0" collapsed="false">
      <c r="A150" s="16" t="s">
        <v>941</v>
      </c>
      <c r="B150" s="16" t="s">
        <v>942</v>
      </c>
      <c r="C150" s="16" t="s">
        <v>943</v>
      </c>
      <c r="D150" s="16" t="s">
        <v>165</v>
      </c>
      <c r="E150" s="16" t="s">
        <v>530</v>
      </c>
      <c r="F150" s="26" t="n">
        <v>9569000</v>
      </c>
      <c r="G150" s="25" t="n">
        <v>100</v>
      </c>
      <c r="H150" s="22" t="n">
        <v>45954</v>
      </c>
      <c r="I150" s="22" t="n">
        <v>46170</v>
      </c>
      <c r="J150" s="22" t="n">
        <v>46170</v>
      </c>
      <c r="K150" s="16" t="s">
        <v>567</v>
      </c>
      <c r="L150" s="16" t="s">
        <v>592</v>
      </c>
      <c r="M150" s="16"/>
      <c r="N150" s="16"/>
      <c r="O150" s="7" t="n">
        <f aca="false">IF(OR(E150="Closed Won",E150="Closed Lost"),0,1)</f>
        <v>0</v>
      </c>
      <c r="P150" s="17" t="str">
        <f aca="false">INDEX(Accounts!$K$5:$K$336,MATCH(B150,Accounts!$A$5:$A$336,0))</f>
        <v>Energy &amp; Resources</v>
      </c>
      <c r="Q150" s="17" t="str">
        <f aca="false">INDEX(Accounts!$D$5:$D$336,MATCH(B150,Accounts!$A$5:$A$336,0))</f>
        <v>Standard</v>
      </c>
      <c r="R150" s="7" t="n">
        <f aca="false">INDEX(Inputs!$B$11:$B$16,MATCH(E150,Inputs!$A$11:$A$16,0))</f>
        <v>100</v>
      </c>
      <c r="S150" s="27" t="n">
        <f aca="false">IF(F150="",0,F150)*R150/100</f>
        <v>9569000</v>
      </c>
      <c r="T150" s="7" t="n">
        <f aca="false">Inputs!$B$4-J150</f>
        <v>144</v>
      </c>
      <c r="U150" s="7" t="n">
        <f aca="false">IF(OR(F150="",F150=0),1,0)</f>
        <v>0</v>
      </c>
      <c r="V150" s="7" t="n">
        <f aca="false">IF(K150="",1,0)</f>
        <v>0</v>
      </c>
      <c r="W150" s="7" t="n">
        <f aca="false">IF(AND(O150=1,K150&lt;&gt;"",COUNTIFS(Owners!$A$5:$A$32,K150,Owners!$E$5:$E$32,"No")&gt;0),1,0)</f>
        <v>0</v>
      </c>
      <c r="X150" s="7" t="n">
        <f aca="false">IF(AND(O150=1,I150&lt;Inputs!$B$4),1,0)</f>
        <v>0</v>
      </c>
      <c r="Y150" s="7" t="n">
        <f aca="false">IF(AND(O150=1,T150&gt;Inputs!$B$5),1,0)</f>
        <v>0</v>
      </c>
      <c r="Z150" s="7" t="n">
        <f aca="false">IF(AND(O150=1,G150&lt;&gt;R150),1,0)</f>
        <v>0</v>
      </c>
      <c r="AA150" s="7" t="n">
        <f aca="false">IF(AND(O150=1,M150=""),1,0)</f>
        <v>0</v>
      </c>
      <c r="AB150" s="7" t="n">
        <f aca="false">IF(AND(E150="Closed Lost",N150=""),1,0)</f>
        <v>0</v>
      </c>
      <c r="AC150" s="7" t="n">
        <f aca="false">SUM(U150:AB150)</f>
        <v>0</v>
      </c>
      <c r="AD150" s="7" t="n">
        <f aca="false">IF(AC150=0,1,0)</f>
        <v>1</v>
      </c>
      <c r="AE150" s="7" t="n">
        <f aca="false">IF(AND(O150=1,I150&gt;=Inputs!$B$6,I150&lt;=Inputs!$B$7),1,0)</f>
        <v>0</v>
      </c>
      <c r="AF150" s="7" t="n">
        <f aca="false">IF(AND(E150="Closed Won",I150&gt;=Inputs!$B$6,I150&lt;=Inputs!$B$4),1,0)</f>
        <v>0</v>
      </c>
      <c r="AG150" s="7" t="n">
        <f aca="false">IF(AND(O150=0,I150&gt;Inputs!$B$4-Inputs!$B$8,I150&lt;=Inputs!$B$4),1,0)</f>
        <v>1</v>
      </c>
      <c r="AH150" s="7" t="n">
        <f aca="false">I150-H150</f>
        <v>216</v>
      </c>
    </row>
    <row r="151" customFormat="false" ht="15" hidden="false" customHeight="false" outlineLevel="0" collapsed="false">
      <c r="A151" s="16" t="s">
        <v>944</v>
      </c>
      <c r="B151" s="16" t="s">
        <v>945</v>
      </c>
      <c r="C151" s="16" t="s">
        <v>946</v>
      </c>
      <c r="D151" s="16" t="s">
        <v>177</v>
      </c>
      <c r="E151" s="16" t="s">
        <v>530</v>
      </c>
      <c r="F151" s="26" t="n">
        <v>5918000</v>
      </c>
      <c r="G151" s="25" t="n">
        <v>100</v>
      </c>
      <c r="H151" s="22" t="n">
        <v>46209</v>
      </c>
      <c r="I151" s="22" t="n">
        <v>46302</v>
      </c>
      <c r="J151" s="22" t="n">
        <v>46302</v>
      </c>
      <c r="K151" s="16" t="s">
        <v>573</v>
      </c>
      <c r="L151" s="16" t="s">
        <v>574</v>
      </c>
      <c r="M151" s="16"/>
      <c r="N151" s="16"/>
      <c r="O151" s="7" t="n">
        <f aca="false">IF(OR(E151="Closed Won",E151="Closed Lost"),0,1)</f>
        <v>0</v>
      </c>
      <c r="P151" s="17" t="str">
        <f aca="false">INDEX(Accounts!$K$5:$K$336,MATCH(B151,Accounts!$A$5:$A$336,0))</f>
        <v>Public Sector &amp; Development</v>
      </c>
      <c r="Q151" s="17" t="str">
        <f aca="false">INDEX(Accounts!$D$5:$D$336,MATCH(B151,Accounts!$A$5:$A$336,0))</f>
        <v>Key</v>
      </c>
      <c r="R151" s="7" t="n">
        <f aca="false">INDEX(Inputs!$B$11:$B$16,MATCH(E151,Inputs!$A$11:$A$16,0))</f>
        <v>100</v>
      </c>
      <c r="S151" s="27" t="n">
        <f aca="false">IF(F151="",0,F151)*R151/100</f>
        <v>5918000</v>
      </c>
      <c r="T151" s="7" t="n">
        <f aca="false">Inputs!$B$4-J151</f>
        <v>12</v>
      </c>
      <c r="U151" s="7" t="n">
        <f aca="false">IF(OR(F151="",F151=0),1,0)</f>
        <v>0</v>
      </c>
      <c r="V151" s="7" t="n">
        <f aca="false">IF(K151="",1,0)</f>
        <v>0</v>
      </c>
      <c r="W151" s="7" t="n">
        <f aca="false">IF(AND(O151=1,K151&lt;&gt;"",COUNTIFS(Owners!$A$5:$A$32,K151,Owners!$E$5:$E$32,"No")&gt;0),1,0)</f>
        <v>0</v>
      </c>
      <c r="X151" s="7" t="n">
        <f aca="false">IF(AND(O151=1,I151&lt;Inputs!$B$4),1,0)</f>
        <v>0</v>
      </c>
      <c r="Y151" s="7" t="n">
        <f aca="false">IF(AND(O151=1,T151&gt;Inputs!$B$5),1,0)</f>
        <v>0</v>
      </c>
      <c r="Z151" s="7" t="n">
        <f aca="false">IF(AND(O151=1,G151&lt;&gt;R151),1,0)</f>
        <v>0</v>
      </c>
      <c r="AA151" s="7" t="n">
        <f aca="false">IF(AND(O151=1,M151=""),1,0)</f>
        <v>0</v>
      </c>
      <c r="AB151" s="7" t="n">
        <f aca="false">IF(AND(E151="Closed Lost",N151=""),1,0)</f>
        <v>0</v>
      </c>
      <c r="AC151" s="7" t="n">
        <f aca="false">SUM(U151:AB151)</f>
        <v>0</v>
      </c>
      <c r="AD151" s="7" t="n">
        <f aca="false">IF(AC151=0,1,0)</f>
        <v>1</v>
      </c>
      <c r="AE151" s="7" t="n">
        <f aca="false">IF(AND(O151=1,I151&gt;=Inputs!$B$6,I151&lt;=Inputs!$B$7),1,0)</f>
        <v>0</v>
      </c>
      <c r="AF151" s="7" t="n">
        <f aca="false">IF(AND(E151="Closed Won",I151&gt;=Inputs!$B$6,I151&lt;=Inputs!$B$4),1,0)</f>
        <v>1</v>
      </c>
      <c r="AG151" s="7" t="n">
        <f aca="false">IF(AND(O151=0,I151&gt;Inputs!$B$4-Inputs!$B$8,I151&lt;=Inputs!$B$4),1,0)</f>
        <v>1</v>
      </c>
      <c r="AH151" s="7" t="n">
        <f aca="false">I151-H151</f>
        <v>93</v>
      </c>
    </row>
    <row r="152" customFormat="false" ht="15" hidden="false" customHeight="false" outlineLevel="0" collapsed="false">
      <c r="A152" s="16" t="s">
        <v>947</v>
      </c>
      <c r="B152" s="16" t="s">
        <v>72</v>
      </c>
      <c r="C152" s="16" t="s">
        <v>948</v>
      </c>
      <c r="D152" s="16" t="s">
        <v>165</v>
      </c>
      <c r="E152" s="16" t="s">
        <v>526</v>
      </c>
      <c r="F152" s="26" t="n">
        <v>14258000</v>
      </c>
      <c r="G152" s="25" t="n">
        <v>10</v>
      </c>
      <c r="H152" s="22" t="n">
        <v>46278</v>
      </c>
      <c r="I152" s="22" t="n">
        <v>46364</v>
      </c>
      <c r="J152" s="22" t="n">
        <v>46304</v>
      </c>
      <c r="K152" s="16" t="s">
        <v>666</v>
      </c>
      <c r="L152" s="16" t="s">
        <v>568</v>
      </c>
      <c r="M152" s="16" t="s">
        <v>575</v>
      </c>
      <c r="N152" s="16"/>
      <c r="O152" s="7" t="n">
        <f aca="false">IF(OR(E152="Closed Won",E152="Closed Lost"),0,1)</f>
        <v>1</v>
      </c>
      <c r="P152" s="17" t="str">
        <f aca="false">INDEX(Accounts!$K$5:$K$336,MATCH(B152,Accounts!$A$5:$A$336,0))</f>
        <v>Consumer &amp; Retail</v>
      </c>
      <c r="Q152" s="17" t="str">
        <f aca="false">INDEX(Accounts!$D$5:$D$336,MATCH(B152,Accounts!$A$5:$A$336,0))</f>
        <v>Priority</v>
      </c>
      <c r="R152" s="7" t="n">
        <f aca="false">INDEX(Inputs!$B$11:$B$16,MATCH(E152,Inputs!$A$11:$A$16,0))</f>
        <v>10</v>
      </c>
      <c r="S152" s="27" t="n">
        <f aca="false">IF(F152="",0,F152)*R152/100</f>
        <v>1425800</v>
      </c>
      <c r="T152" s="7" t="n">
        <f aca="false">Inputs!$B$4-J152</f>
        <v>10</v>
      </c>
      <c r="U152" s="7" t="n">
        <f aca="false">IF(OR(F152="",F152=0),1,0)</f>
        <v>0</v>
      </c>
      <c r="V152" s="7" t="n">
        <f aca="false">IF(K152="",1,0)</f>
        <v>0</v>
      </c>
      <c r="W152" s="7" t="n">
        <f aca="false">IF(AND(O152=1,K152&lt;&gt;"",COUNTIFS(Owners!$A$5:$A$32,K152,Owners!$E$5:$E$32,"No")&gt;0),1,0)</f>
        <v>0</v>
      </c>
      <c r="X152" s="7" t="n">
        <f aca="false">IF(AND(O152=1,I152&lt;Inputs!$B$4),1,0)</f>
        <v>0</v>
      </c>
      <c r="Y152" s="7" t="n">
        <f aca="false">IF(AND(O152=1,T152&gt;Inputs!$B$5),1,0)</f>
        <v>0</v>
      </c>
      <c r="Z152" s="7" t="n">
        <f aca="false">IF(AND(O152=1,G152&lt;&gt;R152),1,0)</f>
        <v>0</v>
      </c>
      <c r="AA152" s="7" t="n">
        <f aca="false">IF(AND(O152=1,M152=""),1,0)</f>
        <v>0</v>
      </c>
      <c r="AB152" s="7" t="n">
        <f aca="false">IF(AND(E152="Closed Lost",N152=""),1,0)</f>
        <v>0</v>
      </c>
      <c r="AC152" s="7" t="n">
        <f aca="false">SUM(U152:AB152)</f>
        <v>0</v>
      </c>
      <c r="AD152" s="7" t="n">
        <f aca="false">IF(AC152=0,1,0)</f>
        <v>1</v>
      </c>
      <c r="AE152" s="7" t="n">
        <f aca="false">IF(AND(O152=1,I152&gt;=Inputs!$B$6,I152&lt;=Inputs!$B$7),1,0)</f>
        <v>1</v>
      </c>
      <c r="AF152" s="7" t="n">
        <f aca="false">IF(AND(E152="Closed Won",I152&gt;=Inputs!$B$6,I152&lt;=Inputs!$B$4),1,0)</f>
        <v>0</v>
      </c>
      <c r="AG152" s="7" t="n">
        <f aca="false">IF(AND(O152=0,I152&gt;Inputs!$B$4-Inputs!$B$8,I152&lt;=Inputs!$B$4),1,0)</f>
        <v>0</v>
      </c>
      <c r="AH152" s="7" t="n">
        <f aca="false">I152-H152</f>
        <v>86</v>
      </c>
    </row>
    <row r="153" customFormat="false" ht="15" hidden="false" customHeight="false" outlineLevel="0" collapsed="false">
      <c r="A153" s="16" t="s">
        <v>949</v>
      </c>
      <c r="B153" s="16" t="s">
        <v>87</v>
      </c>
      <c r="C153" s="16" t="s">
        <v>950</v>
      </c>
      <c r="D153" s="16" t="s">
        <v>162</v>
      </c>
      <c r="E153" s="16" t="s">
        <v>530</v>
      </c>
      <c r="F153" s="26" t="n">
        <v>8079000</v>
      </c>
      <c r="G153" s="25" t="n">
        <v>100</v>
      </c>
      <c r="H153" s="22" t="n">
        <v>45965</v>
      </c>
      <c r="I153" s="22" t="n">
        <v>46218</v>
      </c>
      <c r="J153" s="22" t="n">
        <v>46218</v>
      </c>
      <c r="K153" s="16" t="s">
        <v>640</v>
      </c>
      <c r="L153" s="16" t="s">
        <v>592</v>
      </c>
      <c r="M153" s="16"/>
      <c r="N153" s="16"/>
      <c r="O153" s="7" t="n">
        <f aca="false">IF(OR(E153="Closed Won",E153="Closed Lost"),0,1)</f>
        <v>0</v>
      </c>
      <c r="P153" s="17" t="str">
        <f aca="false">INDEX(Accounts!$K$5:$K$336,MATCH(B153,Accounts!$A$5:$A$336,0))</f>
        <v>Unassigned</v>
      </c>
      <c r="Q153" s="17" t="str">
        <f aca="false">INDEX(Accounts!$D$5:$D$336,MATCH(B153,Accounts!$A$5:$A$336,0))</f>
        <v>Priority</v>
      </c>
      <c r="R153" s="7" t="n">
        <f aca="false">INDEX(Inputs!$B$11:$B$16,MATCH(E153,Inputs!$A$11:$A$16,0))</f>
        <v>100</v>
      </c>
      <c r="S153" s="27" t="n">
        <f aca="false">IF(F153="",0,F153)*R153/100</f>
        <v>8079000</v>
      </c>
      <c r="T153" s="7" t="n">
        <f aca="false">Inputs!$B$4-J153</f>
        <v>96</v>
      </c>
      <c r="U153" s="7" t="n">
        <f aca="false">IF(OR(F153="",F153=0),1,0)</f>
        <v>0</v>
      </c>
      <c r="V153" s="7" t="n">
        <f aca="false">IF(K153="",1,0)</f>
        <v>0</v>
      </c>
      <c r="W153" s="7" t="n">
        <f aca="false">IF(AND(O153=1,K153&lt;&gt;"",COUNTIFS(Owners!$A$5:$A$32,K153,Owners!$E$5:$E$32,"No")&gt;0),1,0)</f>
        <v>0</v>
      </c>
      <c r="X153" s="7" t="n">
        <f aca="false">IF(AND(O153=1,I153&lt;Inputs!$B$4),1,0)</f>
        <v>0</v>
      </c>
      <c r="Y153" s="7" t="n">
        <f aca="false">IF(AND(O153=1,T153&gt;Inputs!$B$5),1,0)</f>
        <v>0</v>
      </c>
      <c r="Z153" s="7" t="n">
        <f aca="false">IF(AND(O153=1,G153&lt;&gt;R153),1,0)</f>
        <v>0</v>
      </c>
      <c r="AA153" s="7" t="n">
        <f aca="false">IF(AND(O153=1,M153=""),1,0)</f>
        <v>0</v>
      </c>
      <c r="AB153" s="7" t="n">
        <f aca="false">IF(AND(E153="Closed Lost",N153=""),1,0)</f>
        <v>0</v>
      </c>
      <c r="AC153" s="7" t="n">
        <f aca="false">SUM(U153:AB153)</f>
        <v>0</v>
      </c>
      <c r="AD153" s="7" t="n">
        <f aca="false">IF(AC153=0,1,0)</f>
        <v>1</v>
      </c>
      <c r="AE153" s="7" t="n">
        <f aca="false">IF(AND(O153=1,I153&gt;=Inputs!$B$6,I153&lt;=Inputs!$B$7),1,0)</f>
        <v>0</v>
      </c>
      <c r="AF153" s="7" t="n">
        <f aca="false">IF(AND(E153="Closed Won",I153&gt;=Inputs!$B$6,I153&lt;=Inputs!$B$4),1,0)</f>
        <v>1</v>
      </c>
      <c r="AG153" s="7" t="n">
        <f aca="false">IF(AND(O153=0,I153&gt;Inputs!$B$4-Inputs!$B$8,I153&lt;=Inputs!$B$4),1,0)</f>
        <v>1</v>
      </c>
      <c r="AH153" s="7" t="n">
        <f aca="false">I153-H153</f>
        <v>253</v>
      </c>
    </row>
    <row r="154" customFormat="false" ht="15" hidden="false" customHeight="false" outlineLevel="0" collapsed="false">
      <c r="A154" s="16" t="s">
        <v>951</v>
      </c>
      <c r="B154" s="16" t="s">
        <v>952</v>
      </c>
      <c r="C154" s="16" t="s">
        <v>953</v>
      </c>
      <c r="D154" s="16" t="s">
        <v>158</v>
      </c>
      <c r="E154" s="16" t="s">
        <v>530</v>
      </c>
      <c r="F154" s="26" t="n">
        <v>31399000</v>
      </c>
      <c r="G154" s="25" t="n">
        <v>100</v>
      </c>
      <c r="H154" s="22" t="n">
        <v>46127</v>
      </c>
      <c r="I154" s="22" t="n">
        <v>46297</v>
      </c>
      <c r="J154" s="22" t="n">
        <v>46297</v>
      </c>
      <c r="K154" s="16" t="s">
        <v>765</v>
      </c>
      <c r="L154" s="16" t="s">
        <v>609</v>
      </c>
      <c r="M154" s="16"/>
      <c r="N154" s="16"/>
      <c r="O154" s="7" t="n">
        <f aca="false">IF(OR(E154="Closed Won",E154="Closed Lost"),0,1)</f>
        <v>0</v>
      </c>
      <c r="P154" s="17" t="str">
        <f aca="false">INDEX(Accounts!$K$5:$K$336,MATCH(B154,Accounts!$A$5:$A$336,0))</f>
        <v>Public Sector &amp; Development</v>
      </c>
      <c r="Q154" s="17" t="str">
        <f aca="false">INDEX(Accounts!$D$5:$D$336,MATCH(B154,Accounts!$A$5:$A$336,0))</f>
        <v>Key</v>
      </c>
      <c r="R154" s="7" t="n">
        <f aca="false">INDEX(Inputs!$B$11:$B$16,MATCH(E154,Inputs!$A$11:$A$16,0))</f>
        <v>100</v>
      </c>
      <c r="S154" s="27" t="n">
        <f aca="false">IF(F154="",0,F154)*R154/100</f>
        <v>31399000</v>
      </c>
      <c r="T154" s="7" t="n">
        <f aca="false">Inputs!$B$4-J154</f>
        <v>17</v>
      </c>
      <c r="U154" s="7" t="n">
        <f aca="false">IF(OR(F154="",F154=0),1,0)</f>
        <v>0</v>
      </c>
      <c r="V154" s="7" t="n">
        <f aca="false">IF(K154="",1,0)</f>
        <v>0</v>
      </c>
      <c r="W154" s="7" t="n">
        <f aca="false">IF(AND(O154=1,K154&lt;&gt;"",COUNTIFS(Owners!$A$5:$A$32,K154,Owners!$E$5:$E$32,"No")&gt;0),1,0)</f>
        <v>0</v>
      </c>
      <c r="X154" s="7" t="n">
        <f aca="false">IF(AND(O154=1,I154&lt;Inputs!$B$4),1,0)</f>
        <v>0</v>
      </c>
      <c r="Y154" s="7" t="n">
        <f aca="false">IF(AND(O154=1,T154&gt;Inputs!$B$5),1,0)</f>
        <v>0</v>
      </c>
      <c r="Z154" s="7" t="n">
        <f aca="false">IF(AND(O154=1,G154&lt;&gt;R154),1,0)</f>
        <v>0</v>
      </c>
      <c r="AA154" s="7" t="n">
        <f aca="false">IF(AND(O154=1,M154=""),1,0)</f>
        <v>0</v>
      </c>
      <c r="AB154" s="7" t="n">
        <f aca="false">IF(AND(E154="Closed Lost",N154=""),1,0)</f>
        <v>0</v>
      </c>
      <c r="AC154" s="7" t="n">
        <f aca="false">SUM(U154:AB154)</f>
        <v>0</v>
      </c>
      <c r="AD154" s="7" t="n">
        <f aca="false">IF(AC154=0,1,0)</f>
        <v>1</v>
      </c>
      <c r="AE154" s="7" t="n">
        <f aca="false">IF(AND(O154=1,I154&gt;=Inputs!$B$6,I154&lt;=Inputs!$B$7),1,0)</f>
        <v>0</v>
      </c>
      <c r="AF154" s="7" t="n">
        <f aca="false">IF(AND(E154="Closed Won",I154&gt;=Inputs!$B$6,I154&lt;=Inputs!$B$4),1,0)</f>
        <v>1</v>
      </c>
      <c r="AG154" s="7" t="n">
        <f aca="false">IF(AND(O154=0,I154&gt;Inputs!$B$4-Inputs!$B$8,I154&lt;=Inputs!$B$4),1,0)</f>
        <v>1</v>
      </c>
      <c r="AH154" s="7" t="n">
        <f aca="false">I154-H154</f>
        <v>170</v>
      </c>
    </row>
    <row r="155" customFormat="false" ht="15" hidden="false" customHeight="false" outlineLevel="0" collapsed="false">
      <c r="A155" s="16" t="s">
        <v>954</v>
      </c>
      <c r="B155" s="16" t="s">
        <v>955</v>
      </c>
      <c r="C155" s="16" t="s">
        <v>956</v>
      </c>
      <c r="D155" s="16" t="s">
        <v>165</v>
      </c>
      <c r="E155" s="16" t="s">
        <v>531</v>
      </c>
      <c r="F155" s="26" t="n">
        <v>25563000</v>
      </c>
      <c r="G155" s="25" t="n">
        <v>0</v>
      </c>
      <c r="H155" s="22" t="n">
        <v>46134</v>
      </c>
      <c r="I155" s="22" t="n">
        <v>46239</v>
      </c>
      <c r="J155" s="22" t="n">
        <v>46239</v>
      </c>
      <c r="K155" s="16" t="s">
        <v>729</v>
      </c>
      <c r="L155" s="16" t="s">
        <v>568</v>
      </c>
      <c r="M155" s="16"/>
      <c r="N155" s="16" t="s">
        <v>610</v>
      </c>
      <c r="O155" s="7" t="n">
        <f aca="false">IF(OR(E155="Closed Won",E155="Closed Lost"),0,1)</f>
        <v>0</v>
      </c>
      <c r="P155" s="17" t="str">
        <f aca="false">INDEX(Accounts!$K$5:$K$336,MATCH(B155,Accounts!$A$5:$A$336,0))</f>
        <v>Technology, Media &amp; Telecom</v>
      </c>
      <c r="Q155" s="17" t="str">
        <f aca="false">INDEX(Accounts!$D$5:$D$336,MATCH(B155,Accounts!$A$5:$A$336,0))</f>
        <v>Standard</v>
      </c>
      <c r="R155" s="7" t="n">
        <f aca="false">INDEX(Inputs!$B$11:$B$16,MATCH(E155,Inputs!$A$11:$A$16,0))</f>
        <v>0</v>
      </c>
      <c r="S155" s="27" t="n">
        <f aca="false">IF(F155="",0,F155)*R155/100</f>
        <v>0</v>
      </c>
      <c r="T155" s="7" t="n">
        <f aca="false">Inputs!$B$4-J155</f>
        <v>75</v>
      </c>
      <c r="U155" s="7" t="n">
        <f aca="false">IF(OR(F155="",F155=0),1,0)</f>
        <v>0</v>
      </c>
      <c r="V155" s="7" t="n">
        <f aca="false">IF(K155="",1,0)</f>
        <v>0</v>
      </c>
      <c r="W155" s="7" t="n">
        <f aca="false">IF(AND(O155=1,K155&lt;&gt;"",COUNTIFS(Owners!$A$5:$A$32,K155,Owners!$E$5:$E$32,"No")&gt;0),1,0)</f>
        <v>0</v>
      </c>
      <c r="X155" s="7" t="n">
        <f aca="false">IF(AND(O155=1,I155&lt;Inputs!$B$4),1,0)</f>
        <v>0</v>
      </c>
      <c r="Y155" s="7" t="n">
        <f aca="false">IF(AND(O155=1,T155&gt;Inputs!$B$5),1,0)</f>
        <v>0</v>
      </c>
      <c r="Z155" s="7" t="n">
        <f aca="false">IF(AND(O155=1,G155&lt;&gt;R155),1,0)</f>
        <v>0</v>
      </c>
      <c r="AA155" s="7" t="n">
        <f aca="false">IF(AND(O155=1,M155=""),1,0)</f>
        <v>0</v>
      </c>
      <c r="AB155" s="7" t="n">
        <f aca="false">IF(AND(E155="Closed Lost",N155=""),1,0)</f>
        <v>0</v>
      </c>
      <c r="AC155" s="7" t="n">
        <f aca="false">SUM(U155:AB155)</f>
        <v>0</v>
      </c>
      <c r="AD155" s="7" t="n">
        <f aca="false">IF(AC155=0,1,0)</f>
        <v>1</v>
      </c>
      <c r="AE155" s="7" t="n">
        <f aca="false">IF(AND(O155=1,I155&gt;=Inputs!$B$6,I155&lt;=Inputs!$B$7),1,0)</f>
        <v>0</v>
      </c>
      <c r="AF155" s="7" t="n">
        <f aca="false">IF(AND(E155="Closed Won",I155&gt;=Inputs!$B$6,I155&lt;=Inputs!$B$4),1,0)</f>
        <v>0</v>
      </c>
      <c r="AG155" s="7" t="n">
        <f aca="false">IF(AND(O155=0,I155&gt;Inputs!$B$4-Inputs!$B$8,I155&lt;=Inputs!$B$4),1,0)</f>
        <v>1</v>
      </c>
      <c r="AH155" s="7" t="n">
        <f aca="false">I155-H155</f>
        <v>105</v>
      </c>
    </row>
    <row r="156" customFormat="false" ht="15" hidden="false" customHeight="false" outlineLevel="0" collapsed="false">
      <c r="A156" s="16" t="s">
        <v>957</v>
      </c>
      <c r="B156" s="16" t="s">
        <v>62</v>
      </c>
      <c r="C156" s="16" t="s">
        <v>958</v>
      </c>
      <c r="D156" s="16" t="s">
        <v>165</v>
      </c>
      <c r="E156" s="16" t="s">
        <v>531</v>
      </c>
      <c r="F156" s="26" t="n">
        <v>41274000</v>
      </c>
      <c r="G156" s="25" t="n">
        <v>0</v>
      </c>
      <c r="H156" s="22" t="n">
        <v>46104</v>
      </c>
      <c r="I156" s="22" t="n">
        <v>46304</v>
      </c>
      <c r="J156" s="22" t="n">
        <v>46304</v>
      </c>
      <c r="K156" s="16" t="s">
        <v>573</v>
      </c>
      <c r="L156" s="16" t="s">
        <v>592</v>
      </c>
      <c r="M156" s="16"/>
      <c r="N156" s="16" t="s">
        <v>610</v>
      </c>
      <c r="O156" s="7" t="n">
        <f aca="false">IF(OR(E156="Closed Won",E156="Closed Lost"),0,1)</f>
        <v>0</v>
      </c>
      <c r="P156" s="17" t="str">
        <f aca="false">INDEX(Accounts!$K$5:$K$336,MATCH(B156,Accounts!$A$5:$A$336,0))</f>
        <v>Financial Services</v>
      </c>
      <c r="Q156" s="17" t="str">
        <f aca="false">INDEX(Accounts!$D$5:$D$336,MATCH(B156,Accounts!$A$5:$A$336,0))</f>
        <v>Priority</v>
      </c>
      <c r="R156" s="7" t="n">
        <f aca="false">INDEX(Inputs!$B$11:$B$16,MATCH(E156,Inputs!$A$11:$A$16,0))</f>
        <v>0</v>
      </c>
      <c r="S156" s="27" t="n">
        <f aca="false">IF(F156="",0,F156)*R156/100</f>
        <v>0</v>
      </c>
      <c r="T156" s="7" t="n">
        <f aca="false">Inputs!$B$4-J156</f>
        <v>10</v>
      </c>
      <c r="U156" s="7" t="n">
        <f aca="false">IF(OR(F156="",F156=0),1,0)</f>
        <v>0</v>
      </c>
      <c r="V156" s="7" t="n">
        <f aca="false">IF(K156="",1,0)</f>
        <v>0</v>
      </c>
      <c r="W156" s="7" t="n">
        <f aca="false">IF(AND(O156=1,K156&lt;&gt;"",COUNTIFS(Owners!$A$5:$A$32,K156,Owners!$E$5:$E$32,"No")&gt;0),1,0)</f>
        <v>0</v>
      </c>
      <c r="X156" s="7" t="n">
        <f aca="false">IF(AND(O156=1,I156&lt;Inputs!$B$4),1,0)</f>
        <v>0</v>
      </c>
      <c r="Y156" s="7" t="n">
        <f aca="false">IF(AND(O156=1,T156&gt;Inputs!$B$5),1,0)</f>
        <v>0</v>
      </c>
      <c r="Z156" s="7" t="n">
        <f aca="false">IF(AND(O156=1,G156&lt;&gt;R156),1,0)</f>
        <v>0</v>
      </c>
      <c r="AA156" s="7" t="n">
        <f aca="false">IF(AND(O156=1,M156=""),1,0)</f>
        <v>0</v>
      </c>
      <c r="AB156" s="7" t="n">
        <f aca="false">IF(AND(E156="Closed Lost",N156=""),1,0)</f>
        <v>0</v>
      </c>
      <c r="AC156" s="7" t="n">
        <f aca="false">SUM(U156:AB156)</f>
        <v>0</v>
      </c>
      <c r="AD156" s="7" t="n">
        <f aca="false">IF(AC156=0,1,0)</f>
        <v>1</v>
      </c>
      <c r="AE156" s="7" t="n">
        <f aca="false">IF(AND(O156=1,I156&gt;=Inputs!$B$6,I156&lt;=Inputs!$B$7),1,0)</f>
        <v>0</v>
      </c>
      <c r="AF156" s="7" t="n">
        <f aca="false">IF(AND(E156="Closed Won",I156&gt;=Inputs!$B$6,I156&lt;=Inputs!$B$4),1,0)</f>
        <v>0</v>
      </c>
      <c r="AG156" s="7" t="n">
        <f aca="false">IF(AND(O156=0,I156&gt;Inputs!$B$4-Inputs!$B$8,I156&lt;=Inputs!$B$4),1,0)</f>
        <v>1</v>
      </c>
      <c r="AH156" s="7" t="n">
        <f aca="false">I156-H156</f>
        <v>200</v>
      </c>
    </row>
    <row r="157" customFormat="false" ht="15" hidden="false" customHeight="false" outlineLevel="0" collapsed="false">
      <c r="A157" s="16" t="s">
        <v>959</v>
      </c>
      <c r="B157" s="16" t="s">
        <v>960</v>
      </c>
      <c r="C157" s="16" t="s">
        <v>961</v>
      </c>
      <c r="D157" s="16" t="s">
        <v>167</v>
      </c>
      <c r="E157" s="16" t="s">
        <v>527</v>
      </c>
      <c r="F157" s="26" t="n">
        <v>10881000</v>
      </c>
      <c r="G157" s="25" t="n">
        <v>25</v>
      </c>
      <c r="H157" s="22" t="n">
        <v>46157</v>
      </c>
      <c r="I157" s="22" t="n">
        <v>46475</v>
      </c>
      <c r="J157" s="22" t="n">
        <v>46147</v>
      </c>
      <c r="K157" s="16" t="s">
        <v>637</v>
      </c>
      <c r="L157" s="16" t="s">
        <v>592</v>
      </c>
      <c r="M157" s="16" t="s">
        <v>569</v>
      </c>
      <c r="N157" s="16"/>
      <c r="O157" s="7" t="n">
        <f aca="false">IF(OR(E157="Closed Won",E157="Closed Lost"),0,1)</f>
        <v>1</v>
      </c>
      <c r="P157" s="17" t="str">
        <f aca="false">INDEX(Accounts!$K$5:$K$336,MATCH(B157,Accounts!$A$5:$A$336,0))</f>
        <v>Energy &amp; Resources</v>
      </c>
      <c r="Q157" s="17" t="str">
        <f aca="false">INDEX(Accounts!$D$5:$D$336,MATCH(B157,Accounts!$A$5:$A$336,0))</f>
        <v>Key</v>
      </c>
      <c r="R157" s="7" t="n">
        <f aca="false">INDEX(Inputs!$B$11:$B$16,MATCH(E157,Inputs!$A$11:$A$16,0))</f>
        <v>25</v>
      </c>
      <c r="S157" s="27" t="n">
        <f aca="false">IF(F157="",0,F157)*R157/100</f>
        <v>2720250</v>
      </c>
      <c r="T157" s="7" t="n">
        <f aca="false">Inputs!$B$4-J157</f>
        <v>167</v>
      </c>
      <c r="U157" s="7" t="n">
        <f aca="false">IF(OR(F157="",F157=0),1,0)</f>
        <v>0</v>
      </c>
      <c r="V157" s="7" t="n">
        <f aca="false">IF(K157="",1,0)</f>
        <v>0</v>
      </c>
      <c r="W157" s="7" t="n">
        <f aca="false">IF(AND(O157=1,K157&lt;&gt;"",COUNTIFS(Owners!$A$5:$A$32,K157,Owners!$E$5:$E$32,"No")&gt;0),1,0)</f>
        <v>0</v>
      </c>
      <c r="X157" s="7" t="n">
        <f aca="false">IF(AND(O157=1,I157&lt;Inputs!$B$4),1,0)</f>
        <v>0</v>
      </c>
      <c r="Y157" s="7" t="n">
        <f aca="false">IF(AND(O157=1,T157&gt;Inputs!$B$5),1,0)</f>
        <v>1</v>
      </c>
      <c r="Z157" s="7" t="n">
        <f aca="false">IF(AND(O157=1,G157&lt;&gt;R157),1,0)</f>
        <v>0</v>
      </c>
      <c r="AA157" s="7" t="n">
        <f aca="false">IF(AND(O157=1,M157=""),1,0)</f>
        <v>0</v>
      </c>
      <c r="AB157" s="7" t="n">
        <f aca="false">IF(AND(E157="Closed Lost",N157=""),1,0)</f>
        <v>0</v>
      </c>
      <c r="AC157" s="7" t="n">
        <f aca="false">SUM(U157:AB157)</f>
        <v>1</v>
      </c>
      <c r="AD157" s="7" t="n">
        <f aca="false">IF(AC157=0,1,0)</f>
        <v>0</v>
      </c>
      <c r="AE157" s="7" t="n">
        <f aca="false">IF(AND(O157=1,I157&gt;=Inputs!$B$6,I157&lt;=Inputs!$B$7),1,0)</f>
        <v>1</v>
      </c>
      <c r="AF157" s="7" t="n">
        <f aca="false">IF(AND(E157="Closed Won",I157&gt;=Inputs!$B$6,I157&lt;=Inputs!$B$4),1,0)</f>
        <v>0</v>
      </c>
      <c r="AG157" s="7" t="n">
        <f aca="false">IF(AND(O157=0,I157&gt;Inputs!$B$4-Inputs!$B$8,I157&lt;=Inputs!$B$4),1,0)</f>
        <v>0</v>
      </c>
      <c r="AH157" s="7" t="n">
        <f aca="false">I157-H157</f>
        <v>318</v>
      </c>
    </row>
    <row r="158" customFormat="false" ht="15" hidden="false" customHeight="false" outlineLevel="0" collapsed="false">
      <c r="A158" s="16" t="s">
        <v>962</v>
      </c>
      <c r="B158" s="16" t="s">
        <v>963</v>
      </c>
      <c r="C158" s="16" t="s">
        <v>964</v>
      </c>
      <c r="D158" s="16" t="s">
        <v>167</v>
      </c>
      <c r="E158" s="16" t="s">
        <v>531</v>
      </c>
      <c r="F158" s="26" t="n">
        <v>3225000</v>
      </c>
      <c r="G158" s="25" t="n">
        <v>0</v>
      </c>
      <c r="H158" s="22" t="n">
        <v>46047</v>
      </c>
      <c r="I158" s="22" t="n">
        <v>46304</v>
      </c>
      <c r="J158" s="22" t="n">
        <v>46304</v>
      </c>
      <c r="K158" s="16" t="s">
        <v>691</v>
      </c>
      <c r="L158" s="16" t="s">
        <v>584</v>
      </c>
      <c r="M158" s="16"/>
      <c r="N158" s="16"/>
      <c r="O158" s="7" t="n">
        <f aca="false">IF(OR(E158="Closed Won",E158="Closed Lost"),0,1)</f>
        <v>0</v>
      </c>
      <c r="P158" s="17" t="str">
        <f aca="false">INDEX(Accounts!$K$5:$K$336,MATCH(B158,Accounts!$A$5:$A$336,0))</f>
        <v>Financial Services</v>
      </c>
      <c r="Q158" s="17" t="str">
        <f aca="false">INDEX(Accounts!$D$5:$D$336,MATCH(B158,Accounts!$A$5:$A$336,0))</f>
        <v>Key</v>
      </c>
      <c r="R158" s="7" t="n">
        <f aca="false">INDEX(Inputs!$B$11:$B$16,MATCH(E158,Inputs!$A$11:$A$16,0))</f>
        <v>0</v>
      </c>
      <c r="S158" s="27" t="n">
        <f aca="false">IF(F158="",0,F158)*R158/100</f>
        <v>0</v>
      </c>
      <c r="T158" s="7" t="n">
        <f aca="false">Inputs!$B$4-J158</f>
        <v>10</v>
      </c>
      <c r="U158" s="7" t="n">
        <f aca="false">IF(OR(F158="",F158=0),1,0)</f>
        <v>0</v>
      </c>
      <c r="V158" s="7" t="n">
        <f aca="false">IF(K158="",1,0)</f>
        <v>0</v>
      </c>
      <c r="W158" s="7" t="n">
        <f aca="false">IF(AND(O158=1,K158&lt;&gt;"",COUNTIFS(Owners!$A$5:$A$32,K158,Owners!$E$5:$E$32,"No")&gt;0),1,0)</f>
        <v>0</v>
      </c>
      <c r="X158" s="7" t="n">
        <f aca="false">IF(AND(O158=1,I158&lt;Inputs!$B$4),1,0)</f>
        <v>0</v>
      </c>
      <c r="Y158" s="7" t="n">
        <f aca="false">IF(AND(O158=1,T158&gt;Inputs!$B$5),1,0)</f>
        <v>0</v>
      </c>
      <c r="Z158" s="7" t="n">
        <f aca="false">IF(AND(O158=1,G158&lt;&gt;R158),1,0)</f>
        <v>0</v>
      </c>
      <c r="AA158" s="7" t="n">
        <f aca="false">IF(AND(O158=1,M158=""),1,0)</f>
        <v>0</v>
      </c>
      <c r="AB158" s="7" t="n">
        <f aca="false">IF(AND(E158="Closed Lost",N158=""),1,0)</f>
        <v>1</v>
      </c>
      <c r="AC158" s="7" t="n">
        <f aca="false">SUM(U158:AB158)</f>
        <v>1</v>
      </c>
      <c r="AD158" s="7" t="n">
        <f aca="false">IF(AC158=0,1,0)</f>
        <v>0</v>
      </c>
      <c r="AE158" s="7" t="n">
        <f aca="false">IF(AND(O158=1,I158&gt;=Inputs!$B$6,I158&lt;=Inputs!$B$7),1,0)</f>
        <v>0</v>
      </c>
      <c r="AF158" s="7" t="n">
        <f aca="false">IF(AND(E158="Closed Won",I158&gt;=Inputs!$B$6,I158&lt;=Inputs!$B$4),1,0)</f>
        <v>0</v>
      </c>
      <c r="AG158" s="7" t="n">
        <f aca="false">IF(AND(O158=0,I158&gt;Inputs!$B$4-Inputs!$B$8,I158&lt;=Inputs!$B$4),1,0)</f>
        <v>1</v>
      </c>
      <c r="AH158" s="7" t="n">
        <f aca="false">I158-H158</f>
        <v>257</v>
      </c>
    </row>
    <row r="159" customFormat="false" ht="15" hidden="false" customHeight="false" outlineLevel="0" collapsed="false">
      <c r="A159" s="16" t="s">
        <v>965</v>
      </c>
      <c r="B159" s="16" t="s">
        <v>966</v>
      </c>
      <c r="C159" s="16" t="s">
        <v>967</v>
      </c>
      <c r="D159" s="16" t="s">
        <v>162</v>
      </c>
      <c r="E159" s="16" t="s">
        <v>530</v>
      </c>
      <c r="F159" s="26" t="n">
        <v>11379000</v>
      </c>
      <c r="G159" s="25" t="n">
        <v>100</v>
      </c>
      <c r="H159" s="22" t="n">
        <v>45945</v>
      </c>
      <c r="I159" s="22" t="n">
        <v>46061</v>
      </c>
      <c r="J159" s="22" t="n">
        <v>46061</v>
      </c>
      <c r="K159" s="16" t="s">
        <v>573</v>
      </c>
      <c r="L159" s="16" t="s">
        <v>609</v>
      </c>
      <c r="M159" s="16"/>
      <c r="N159" s="16"/>
      <c r="O159" s="7" t="n">
        <f aca="false">IF(OR(E159="Closed Won",E159="Closed Lost"),0,1)</f>
        <v>0</v>
      </c>
      <c r="P159" s="17" t="str">
        <f aca="false">INDEX(Accounts!$K$5:$K$336,MATCH(B159,Accounts!$A$5:$A$336,0))</f>
        <v>Public Sector &amp; Development</v>
      </c>
      <c r="Q159" s="17" t="str">
        <f aca="false">INDEX(Accounts!$D$5:$D$336,MATCH(B159,Accounts!$A$5:$A$336,0))</f>
        <v>Standard</v>
      </c>
      <c r="R159" s="7" t="n">
        <f aca="false">INDEX(Inputs!$B$11:$B$16,MATCH(E159,Inputs!$A$11:$A$16,0))</f>
        <v>100</v>
      </c>
      <c r="S159" s="27" t="n">
        <f aca="false">IF(F159="",0,F159)*R159/100</f>
        <v>11379000</v>
      </c>
      <c r="T159" s="7" t="n">
        <f aca="false">Inputs!$B$4-J159</f>
        <v>253</v>
      </c>
      <c r="U159" s="7" t="n">
        <f aca="false">IF(OR(F159="",F159=0),1,0)</f>
        <v>0</v>
      </c>
      <c r="V159" s="7" t="n">
        <f aca="false">IF(K159="",1,0)</f>
        <v>0</v>
      </c>
      <c r="W159" s="7" t="n">
        <f aca="false">IF(AND(O159=1,K159&lt;&gt;"",COUNTIFS(Owners!$A$5:$A$32,K159,Owners!$E$5:$E$32,"No")&gt;0),1,0)</f>
        <v>0</v>
      </c>
      <c r="X159" s="7" t="n">
        <f aca="false">IF(AND(O159=1,I159&lt;Inputs!$B$4),1,0)</f>
        <v>0</v>
      </c>
      <c r="Y159" s="7" t="n">
        <f aca="false">IF(AND(O159=1,T159&gt;Inputs!$B$5),1,0)</f>
        <v>0</v>
      </c>
      <c r="Z159" s="7" t="n">
        <f aca="false">IF(AND(O159=1,G159&lt;&gt;R159),1,0)</f>
        <v>0</v>
      </c>
      <c r="AA159" s="7" t="n">
        <f aca="false">IF(AND(O159=1,M159=""),1,0)</f>
        <v>0</v>
      </c>
      <c r="AB159" s="7" t="n">
        <f aca="false">IF(AND(E159="Closed Lost",N159=""),1,0)</f>
        <v>0</v>
      </c>
      <c r="AC159" s="7" t="n">
        <f aca="false">SUM(U159:AB159)</f>
        <v>0</v>
      </c>
      <c r="AD159" s="7" t="n">
        <f aca="false">IF(AC159=0,1,0)</f>
        <v>1</v>
      </c>
      <c r="AE159" s="7" t="n">
        <f aca="false">IF(AND(O159=1,I159&gt;=Inputs!$B$6,I159&lt;=Inputs!$B$7),1,0)</f>
        <v>0</v>
      </c>
      <c r="AF159" s="7" t="n">
        <f aca="false">IF(AND(E159="Closed Won",I159&gt;=Inputs!$B$6,I159&lt;=Inputs!$B$4),1,0)</f>
        <v>0</v>
      </c>
      <c r="AG159" s="7" t="n">
        <f aca="false">IF(AND(O159=0,I159&gt;Inputs!$B$4-Inputs!$B$8,I159&lt;=Inputs!$B$4),1,0)</f>
        <v>1</v>
      </c>
      <c r="AH159" s="7" t="n">
        <f aca="false">I159-H159</f>
        <v>116</v>
      </c>
    </row>
    <row r="160" customFormat="false" ht="15" hidden="false" customHeight="false" outlineLevel="0" collapsed="false">
      <c r="A160" s="16" t="s">
        <v>968</v>
      </c>
      <c r="B160" s="16" t="s">
        <v>89</v>
      </c>
      <c r="C160" s="16" t="s">
        <v>969</v>
      </c>
      <c r="D160" s="16" t="s">
        <v>165</v>
      </c>
      <c r="E160" s="16" t="s">
        <v>531</v>
      </c>
      <c r="F160" s="26" t="n">
        <v>39459000</v>
      </c>
      <c r="G160" s="25" t="n">
        <v>0</v>
      </c>
      <c r="H160" s="22" t="n">
        <v>46006</v>
      </c>
      <c r="I160" s="22" t="n">
        <v>46232</v>
      </c>
      <c r="J160" s="22" t="n">
        <v>46232</v>
      </c>
      <c r="K160" s="16" t="s">
        <v>704</v>
      </c>
      <c r="L160" s="16" t="s">
        <v>568</v>
      </c>
      <c r="M160" s="16"/>
      <c r="N160" s="16" t="s">
        <v>697</v>
      </c>
      <c r="O160" s="7" t="n">
        <f aca="false">IF(OR(E160="Closed Won",E160="Closed Lost"),0,1)</f>
        <v>0</v>
      </c>
      <c r="P160" s="17" t="str">
        <f aca="false">INDEX(Accounts!$K$5:$K$336,MATCH(B160,Accounts!$A$5:$A$336,0))</f>
        <v>Agribusiness</v>
      </c>
      <c r="Q160" s="17" t="str">
        <f aca="false">INDEX(Accounts!$D$5:$D$336,MATCH(B160,Accounts!$A$5:$A$336,0))</f>
        <v>Priority</v>
      </c>
      <c r="R160" s="7" t="n">
        <f aca="false">INDEX(Inputs!$B$11:$B$16,MATCH(E160,Inputs!$A$11:$A$16,0))</f>
        <v>0</v>
      </c>
      <c r="S160" s="27" t="n">
        <f aca="false">IF(F160="",0,F160)*R160/100</f>
        <v>0</v>
      </c>
      <c r="T160" s="7" t="n">
        <f aca="false">Inputs!$B$4-J160</f>
        <v>82</v>
      </c>
      <c r="U160" s="7" t="n">
        <f aca="false">IF(OR(F160="",F160=0),1,0)</f>
        <v>0</v>
      </c>
      <c r="V160" s="7" t="n">
        <f aca="false">IF(K160="",1,0)</f>
        <v>0</v>
      </c>
      <c r="W160" s="7" t="n">
        <f aca="false">IF(AND(O160=1,K160&lt;&gt;"",COUNTIFS(Owners!$A$5:$A$32,K160,Owners!$E$5:$E$32,"No")&gt;0),1,0)</f>
        <v>0</v>
      </c>
      <c r="X160" s="7" t="n">
        <f aca="false">IF(AND(O160=1,I160&lt;Inputs!$B$4),1,0)</f>
        <v>0</v>
      </c>
      <c r="Y160" s="7" t="n">
        <f aca="false">IF(AND(O160=1,T160&gt;Inputs!$B$5),1,0)</f>
        <v>0</v>
      </c>
      <c r="Z160" s="7" t="n">
        <f aca="false">IF(AND(O160=1,G160&lt;&gt;R160),1,0)</f>
        <v>0</v>
      </c>
      <c r="AA160" s="7" t="n">
        <f aca="false">IF(AND(O160=1,M160=""),1,0)</f>
        <v>0</v>
      </c>
      <c r="AB160" s="7" t="n">
        <f aca="false">IF(AND(E160="Closed Lost",N160=""),1,0)</f>
        <v>0</v>
      </c>
      <c r="AC160" s="7" t="n">
        <f aca="false">SUM(U160:AB160)</f>
        <v>0</v>
      </c>
      <c r="AD160" s="7" t="n">
        <f aca="false">IF(AC160=0,1,0)</f>
        <v>1</v>
      </c>
      <c r="AE160" s="7" t="n">
        <f aca="false">IF(AND(O160=1,I160&gt;=Inputs!$B$6,I160&lt;=Inputs!$B$7),1,0)</f>
        <v>0</v>
      </c>
      <c r="AF160" s="7" t="n">
        <f aca="false">IF(AND(E160="Closed Won",I160&gt;=Inputs!$B$6,I160&lt;=Inputs!$B$4),1,0)</f>
        <v>0</v>
      </c>
      <c r="AG160" s="7" t="n">
        <f aca="false">IF(AND(O160=0,I160&gt;Inputs!$B$4-Inputs!$B$8,I160&lt;=Inputs!$B$4),1,0)</f>
        <v>1</v>
      </c>
      <c r="AH160" s="7" t="n">
        <f aca="false">I160-H160</f>
        <v>226</v>
      </c>
    </row>
    <row r="161" customFormat="false" ht="15" hidden="false" customHeight="false" outlineLevel="0" collapsed="false">
      <c r="A161" s="16" t="s">
        <v>970</v>
      </c>
      <c r="B161" s="16" t="s">
        <v>404</v>
      </c>
      <c r="C161" s="16" t="s">
        <v>971</v>
      </c>
      <c r="D161" s="16" t="s">
        <v>165</v>
      </c>
      <c r="E161" s="16" t="s">
        <v>528</v>
      </c>
      <c r="F161" s="26" t="n">
        <v>33659000</v>
      </c>
      <c r="G161" s="25" t="n">
        <v>50</v>
      </c>
      <c r="H161" s="22" t="n">
        <v>46300</v>
      </c>
      <c r="I161" s="22" t="n">
        <v>46426</v>
      </c>
      <c r="J161" s="22" t="n">
        <v>46178</v>
      </c>
      <c r="K161" s="16" t="s">
        <v>860</v>
      </c>
      <c r="L161" s="16" t="s">
        <v>500</v>
      </c>
      <c r="M161" s="16" t="s">
        <v>601</v>
      </c>
      <c r="N161" s="16"/>
      <c r="O161" s="7" t="n">
        <f aca="false">IF(OR(E161="Closed Won",E161="Closed Lost"),0,1)</f>
        <v>1</v>
      </c>
      <c r="P161" s="17" t="str">
        <f aca="false">INDEX(Accounts!$K$5:$K$336,MATCH(B161,Accounts!$A$5:$A$336,0))</f>
        <v>Consumer &amp; Retail</v>
      </c>
      <c r="Q161" s="17" t="str">
        <f aca="false">INDEX(Accounts!$D$5:$D$336,MATCH(B161,Accounts!$A$5:$A$336,0))</f>
        <v>Key</v>
      </c>
      <c r="R161" s="7" t="n">
        <f aca="false">INDEX(Inputs!$B$11:$B$16,MATCH(E161,Inputs!$A$11:$A$16,0))</f>
        <v>50</v>
      </c>
      <c r="S161" s="27" t="n">
        <f aca="false">IF(F161="",0,F161)*R161/100</f>
        <v>16829500</v>
      </c>
      <c r="T161" s="7" t="n">
        <f aca="false">Inputs!$B$4-J161</f>
        <v>136</v>
      </c>
      <c r="U161" s="7" t="n">
        <f aca="false">IF(OR(F161="",F161=0),1,0)</f>
        <v>0</v>
      </c>
      <c r="V161" s="7" t="n">
        <f aca="false">IF(K161="",1,0)</f>
        <v>0</v>
      </c>
      <c r="W161" s="7" t="n">
        <f aca="false">IF(AND(O161=1,K161&lt;&gt;"",COUNTIFS(Owners!$A$5:$A$32,K161,Owners!$E$5:$E$32,"No")&gt;0),1,0)</f>
        <v>0</v>
      </c>
      <c r="X161" s="7" t="n">
        <f aca="false">IF(AND(O161=1,I161&lt;Inputs!$B$4),1,0)</f>
        <v>0</v>
      </c>
      <c r="Y161" s="7" t="n">
        <f aca="false">IF(AND(O161=1,T161&gt;Inputs!$B$5),1,0)</f>
        <v>1</v>
      </c>
      <c r="Z161" s="7" t="n">
        <f aca="false">IF(AND(O161=1,G161&lt;&gt;R161),1,0)</f>
        <v>0</v>
      </c>
      <c r="AA161" s="7" t="n">
        <f aca="false">IF(AND(O161=1,M161=""),1,0)</f>
        <v>0</v>
      </c>
      <c r="AB161" s="7" t="n">
        <f aca="false">IF(AND(E161="Closed Lost",N161=""),1,0)</f>
        <v>0</v>
      </c>
      <c r="AC161" s="7" t="n">
        <f aca="false">SUM(U161:AB161)</f>
        <v>1</v>
      </c>
      <c r="AD161" s="7" t="n">
        <f aca="false">IF(AC161=0,1,0)</f>
        <v>0</v>
      </c>
      <c r="AE161" s="7" t="n">
        <f aca="false">IF(AND(O161=1,I161&gt;=Inputs!$B$6,I161&lt;=Inputs!$B$7),1,0)</f>
        <v>1</v>
      </c>
      <c r="AF161" s="7" t="n">
        <f aca="false">IF(AND(E161="Closed Won",I161&gt;=Inputs!$B$6,I161&lt;=Inputs!$B$4),1,0)</f>
        <v>0</v>
      </c>
      <c r="AG161" s="7" t="n">
        <f aca="false">IF(AND(O161=0,I161&gt;Inputs!$B$4-Inputs!$B$8,I161&lt;=Inputs!$B$4),1,0)</f>
        <v>0</v>
      </c>
      <c r="AH161" s="7" t="n">
        <f aca="false">I161-H161</f>
        <v>126</v>
      </c>
    </row>
    <row r="162" customFormat="false" ht="15" hidden="false" customHeight="false" outlineLevel="0" collapsed="false">
      <c r="A162" s="16" t="s">
        <v>972</v>
      </c>
      <c r="B162" s="16" t="s">
        <v>973</v>
      </c>
      <c r="C162" s="16" t="s">
        <v>974</v>
      </c>
      <c r="D162" s="16" t="s">
        <v>158</v>
      </c>
      <c r="E162" s="16" t="s">
        <v>531</v>
      </c>
      <c r="F162" s="26" t="n">
        <v>22643000</v>
      </c>
      <c r="G162" s="25" t="n">
        <v>0</v>
      </c>
      <c r="H162" s="22" t="n">
        <v>46025</v>
      </c>
      <c r="I162" s="22" t="n">
        <v>46164</v>
      </c>
      <c r="J162" s="22" t="n">
        <v>46164</v>
      </c>
      <c r="K162" s="16" t="s">
        <v>831</v>
      </c>
      <c r="L162" s="16" t="s">
        <v>568</v>
      </c>
      <c r="M162" s="16"/>
      <c r="N162" s="16"/>
      <c r="O162" s="7" t="n">
        <f aca="false">IF(OR(E162="Closed Won",E162="Closed Lost"),0,1)</f>
        <v>0</v>
      </c>
      <c r="P162" s="17" t="str">
        <f aca="false">INDEX(Accounts!$K$5:$K$336,MATCH(B162,Accounts!$A$5:$A$336,0))</f>
        <v>Consumer &amp; Retail</v>
      </c>
      <c r="Q162" s="17" t="str">
        <f aca="false">INDEX(Accounts!$D$5:$D$336,MATCH(B162,Accounts!$A$5:$A$336,0))</f>
        <v>Standard</v>
      </c>
      <c r="R162" s="7" t="n">
        <f aca="false">INDEX(Inputs!$B$11:$B$16,MATCH(E162,Inputs!$A$11:$A$16,0))</f>
        <v>0</v>
      </c>
      <c r="S162" s="27" t="n">
        <f aca="false">IF(F162="",0,F162)*R162/100</f>
        <v>0</v>
      </c>
      <c r="T162" s="7" t="n">
        <f aca="false">Inputs!$B$4-J162</f>
        <v>150</v>
      </c>
      <c r="U162" s="7" t="n">
        <f aca="false">IF(OR(F162="",F162=0),1,0)</f>
        <v>0</v>
      </c>
      <c r="V162" s="7" t="n">
        <f aca="false">IF(K162="",1,0)</f>
        <v>0</v>
      </c>
      <c r="W162" s="7" t="n">
        <f aca="false">IF(AND(O162=1,K162&lt;&gt;"",COUNTIFS(Owners!$A$5:$A$32,K162,Owners!$E$5:$E$32,"No")&gt;0),1,0)</f>
        <v>0</v>
      </c>
      <c r="X162" s="7" t="n">
        <f aca="false">IF(AND(O162=1,I162&lt;Inputs!$B$4),1,0)</f>
        <v>0</v>
      </c>
      <c r="Y162" s="7" t="n">
        <f aca="false">IF(AND(O162=1,T162&gt;Inputs!$B$5),1,0)</f>
        <v>0</v>
      </c>
      <c r="Z162" s="7" t="n">
        <f aca="false">IF(AND(O162=1,G162&lt;&gt;R162),1,0)</f>
        <v>0</v>
      </c>
      <c r="AA162" s="7" t="n">
        <f aca="false">IF(AND(O162=1,M162=""),1,0)</f>
        <v>0</v>
      </c>
      <c r="AB162" s="7" t="n">
        <f aca="false">IF(AND(E162="Closed Lost",N162=""),1,0)</f>
        <v>1</v>
      </c>
      <c r="AC162" s="7" t="n">
        <f aca="false">SUM(U162:AB162)</f>
        <v>1</v>
      </c>
      <c r="AD162" s="7" t="n">
        <f aca="false">IF(AC162=0,1,0)</f>
        <v>0</v>
      </c>
      <c r="AE162" s="7" t="n">
        <f aca="false">IF(AND(O162=1,I162&gt;=Inputs!$B$6,I162&lt;=Inputs!$B$7),1,0)</f>
        <v>0</v>
      </c>
      <c r="AF162" s="7" t="n">
        <f aca="false">IF(AND(E162="Closed Won",I162&gt;=Inputs!$B$6,I162&lt;=Inputs!$B$4),1,0)</f>
        <v>0</v>
      </c>
      <c r="AG162" s="7" t="n">
        <f aca="false">IF(AND(O162=0,I162&gt;Inputs!$B$4-Inputs!$B$8,I162&lt;=Inputs!$B$4),1,0)</f>
        <v>1</v>
      </c>
      <c r="AH162" s="7" t="n">
        <f aca="false">I162-H162</f>
        <v>139</v>
      </c>
    </row>
    <row r="163" customFormat="false" ht="15" hidden="false" customHeight="false" outlineLevel="0" collapsed="false">
      <c r="A163" s="16" t="s">
        <v>975</v>
      </c>
      <c r="B163" s="16" t="s">
        <v>976</v>
      </c>
      <c r="C163" s="16" t="s">
        <v>977</v>
      </c>
      <c r="D163" s="16" t="s">
        <v>167</v>
      </c>
      <c r="E163" s="16" t="s">
        <v>528</v>
      </c>
      <c r="F163" s="26" t="n">
        <v>3068000</v>
      </c>
      <c r="G163" s="25" t="n">
        <v>50</v>
      </c>
      <c r="H163" s="22" t="n">
        <v>46088</v>
      </c>
      <c r="I163" s="22" t="n">
        <v>46524</v>
      </c>
      <c r="J163" s="22" t="n">
        <v>46312</v>
      </c>
      <c r="K163" s="16" t="s">
        <v>588</v>
      </c>
      <c r="L163" s="16" t="s">
        <v>584</v>
      </c>
      <c r="M163" s="16"/>
      <c r="N163" s="16"/>
      <c r="O163" s="7" t="n">
        <f aca="false">IF(OR(E163="Closed Won",E163="Closed Lost"),0,1)</f>
        <v>1</v>
      </c>
      <c r="P163" s="17" t="str">
        <f aca="false">INDEX(Accounts!$K$5:$K$336,MATCH(B163,Accounts!$A$5:$A$336,0))</f>
        <v>Financial Services</v>
      </c>
      <c r="Q163" s="17" t="str">
        <f aca="false">INDEX(Accounts!$D$5:$D$336,MATCH(B163,Accounts!$A$5:$A$336,0))</f>
        <v>Standard</v>
      </c>
      <c r="R163" s="7" t="n">
        <f aca="false">INDEX(Inputs!$B$11:$B$16,MATCH(E163,Inputs!$A$11:$A$16,0))</f>
        <v>50</v>
      </c>
      <c r="S163" s="27" t="n">
        <f aca="false">IF(F163="",0,F163)*R163/100</f>
        <v>1534000</v>
      </c>
      <c r="T163" s="7" t="n">
        <f aca="false">Inputs!$B$4-J163</f>
        <v>2</v>
      </c>
      <c r="U163" s="7" t="n">
        <f aca="false">IF(OR(F163="",F163=0),1,0)</f>
        <v>0</v>
      </c>
      <c r="V163" s="7" t="n">
        <f aca="false">IF(K163="",1,0)</f>
        <v>0</v>
      </c>
      <c r="W163" s="7" t="n">
        <f aca="false">IF(AND(O163=1,K163&lt;&gt;"",COUNTIFS(Owners!$A$5:$A$32,K163,Owners!$E$5:$E$32,"No")&gt;0),1,0)</f>
        <v>0</v>
      </c>
      <c r="X163" s="7" t="n">
        <f aca="false">IF(AND(O163=1,I163&lt;Inputs!$B$4),1,0)</f>
        <v>0</v>
      </c>
      <c r="Y163" s="7" t="n">
        <f aca="false">IF(AND(O163=1,T163&gt;Inputs!$B$5),1,0)</f>
        <v>0</v>
      </c>
      <c r="Z163" s="7" t="n">
        <f aca="false">IF(AND(O163=1,G163&lt;&gt;R163),1,0)</f>
        <v>0</v>
      </c>
      <c r="AA163" s="7" t="n">
        <f aca="false">IF(AND(O163=1,M163=""),1,0)</f>
        <v>1</v>
      </c>
      <c r="AB163" s="7" t="n">
        <f aca="false">IF(AND(E163="Closed Lost",N163=""),1,0)</f>
        <v>0</v>
      </c>
      <c r="AC163" s="7" t="n">
        <f aca="false">SUM(U163:AB163)</f>
        <v>1</v>
      </c>
      <c r="AD163" s="7" t="n">
        <f aca="false">IF(AC163=0,1,0)</f>
        <v>0</v>
      </c>
      <c r="AE163" s="7" t="n">
        <f aca="false">IF(AND(O163=1,I163&gt;=Inputs!$B$6,I163&lt;=Inputs!$B$7),1,0)</f>
        <v>1</v>
      </c>
      <c r="AF163" s="7" t="n">
        <f aca="false">IF(AND(E163="Closed Won",I163&gt;=Inputs!$B$6,I163&lt;=Inputs!$B$4),1,0)</f>
        <v>0</v>
      </c>
      <c r="AG163" s="7" t="n">
        <f aca="false">IF(AND(O163=0,I163&gt;Inputs!$B$4-Inputs!$B$8,I163&lt;=Inputs!$B$4),1,0)</f>
        <v>0</v>
      </c>
      <c r="AH163" s="7" t="n">
        <f aca="false">I163-H163</f>
        <v>436</v>
      </c>
    </row>
    <row r="164" customFormat="false" ht="15" hidden="false" customHeight="false" outlineLevel="0" collapsed="false">
      <c r="A164" s="16" t="s">
        <v>978</v>
      </c>
      <c r="B164" s="16" t="s">
        <v>75</v>
      </c>
      <c r="C164" s="16" t="s">
        <v>979</v>
      </c>
      <c r="D164" s="16" t="s">
        <v>165</v>
      </c>
      <c r="E164" s="16" t="s">
        <v>531</v>
      </c>
      <c r="F164" s="26" t="n">
        <v>13896000</v>
      </c>
      <c r="G164" s="25" t="n">
        <v>0</v>
      </c>
      <c r="H164" s="22" t="n">
        <v>45982</v>
      </c>
      <c r="I164" s="22" t="n">
        <v>46266</v>
      </c>
      <c r="J164" s="22" t="n">
        <v>46266</v>
      </c>
      <c r="K164" s="16" t="s">
        <v>604</v>
      </c>
      <c r="L164" s="16" t="s">
        <v>574</v>
      </c>
      <c r="M164" s="16"/>
      <c r="N164" s="16" t="s">
        <v>713</v>
      </c>
      <c r="O164" s="7" t="n">
        <f aca="false">IF(OR(E164="Closed Won",E164="Closed Lost"),0,1)</f>
        <v>0</v>
      </c>
      <c r="P164" s="17" t="str">
        <f aca="false">INDEX(Accounts!$K$5:$K$336,MATCH(B164,Accounts!$A$5:$A$336,0))</f>
        <v>Technology, Media &amp; Telecom</v>
      </c>
      <c r="Q164" s="17" t="str">
        <f aca="false">INDEX(Accounts!$D$5:$D$336,MATCH(B164,Accounts!$A$5:$A$336,0))</f>
        <v>Priority</v>
      </c>
      <c r="R164" s="7" t="n">
        <f aca="false">INDEX(Inputs!$B$11:$B$16,MATCH(E164,Inputs!$A$11:$A$16,0))</f>
        <v>0</v>
      </c>
      <c r="S164" s="27" t="n">
        <f aca="false">IF(F164="",0,F164)*R164/100</f>
        <v>0</v>
      </c>
      <c r="T164" s="7" t="n">
        <f aca="false">Inputs!$B$4-J164</f>
        <v>48</v>
      </c>
      <c r="U164" s="7" t="n">
        <f aca="false">IF(OR(F164="",F164=0),1,0)</f>
        <v>0</v>
      </c>
      <c r="V164" s="7" t="n">
        <f aca="false">IF(K164="",1,0)</f>
        <v>0</v>
      </c>
      <c r="W164" s="7" t="n">
        <f aca="false">IF(AND(O164=1,K164&lt;&gt;"",COUNTIFS(Owners!$A$5:$A$32,K164,Owners!$E$5:$E$32,"No")&gt;0),1,0)</f>
        <v>0</v>
      </c>
      <c r="X164" s="7" t="n">
        <f aca="false">IF(AND(O164=1,I164&lt;Inputs!$B$4),1,0)</f>
        <v>0</v>
      </c>
      <c r="Y164" s="7" t="n">
        <f aca="false">IF(AND(O164=1,T164&gt;Inputs!$B$5),1,0)</f>
        <v>0</v>
      </c>
      <c r="Z164" s="7" t="n">
        <f aca="false">IF(AND(O164=1,G164&lt;&gt;R164),1,0)</f>
        <v>0</v>
      </c>
      <c r="AA164" s="7" t="n">
        <f aca="false">IF(AND(O164=1,M164=""),1,0)</f>
        <v>0</v>
      </c>
      <c r="AB164" s="7" t="n">
        <f aca="false">IF(AND(E164="Closed Lost",N164=""),1,0)</f>
        <v>0</v>
      </c>
      <c r="AC164" s="7" t="n">
        <f aca="false">SUM(U164:AB164)</f>
        <v>0</v>
      </c>
      <c r="AD164" s="7" t="n">
        <f aca="false">IF(AC164=0,1,0)</f>
        <v>1</v>
      </c>
      <c r="AE164" s="7" t="n">
        <f aca="false">IF(AND(O164=1,I164&gt;=Inputs!$B$6,I164&lt;=Inputs!$B$7),1,0)</f>
        <v>0</v>
      </c>
      <c r="AF164" s="7" t="n">
        <f aca="false">IF(AND(E164="Closed Won",I164&gt;=Inputs!$B$6,I164&lt;=Inputs!$B$4),1,0)</f>
        <v>0</v>
      </c>
      <c r="AG164" s="7" t="n">
        <f aca="false">IF(AND(O164=0,I164&gt;Inputs!$B$4-Inputs!$B$8,I164&lt;=Inputs!$B$4),1,0)</f>
        <v>1</v>
      </c>
      <c r="AH164" s="7" t="n">
        <f aca="false">I164-H164</f>
        <v>284</v>
      </c>
    </row>
    <row r="165" customFormat="false" ht="15" hidden="false" customHeight="false" outlineLevel="0" collapsed="false">
      <c r="A165" s="16" t="s">
        <v>980</v>
      </c>
      <c r="B165" s="16" t="s">
        <v>234</v>
      </c>
      <c r="C165" s="16" t="s">
        <v>981</v>
      </c>
      <c r="D165" s="16" t="s">
        <v>158</v>
      </c>
      <c r="E165" s="16" t="s">
        <v>527</v>
      </c>
      <c r="F165" s="26" t="n">
        <v>8986000</v>
      </c>
      <c r="G165" s="25" t="n">
        <v>25</v>
      </c>
      <c r="H165" s="22" t="n">
        <v>46210</v>
      </c>
      <c r="I165" s="22" t="n">
        <v>46282</v>
      </c>
      <c r="J165" s="22" t="n">
        <v>46292</v>
      </c>
      <c r="K165" s="16" t="s">
        <v>691</v>
      </c>
      <c r="L165" s="16" t="s">
        <v>609</v>
      </c>
      <c r="M165" s="16" t="s">
        <v>575</v>
      </c>
      <c r="N165" s="16"/>
      <c r="O165" s="7" t="n">
        <f aca="false">IF(OR(E165="Closed Won",E165="Closed Lost"),0,1)</f>
        <v>1</v>
      </c>
      <c r="P165" s="17" t="str">
        <f aca="false">INDEX(Accounts!$K$5:$K$336,MATCH(B165,Accounts!$A$5:$A$336,0))</f>
        <v>Real Estate &amp; Infrastructure</v>
      </c>
      <c r="Q165" s="17" t="str">
        <f aca="false">INDEX(Accounts!$D$5:$D$336,MATCH(B165,Accounts!$A$5:$A$336,0))</f>
        <v>Standard</v>
      </c>
      <c r="R165" s="7" t="n">
        <f aca="false">INDEX(Inputs!$B$11:$B$16,MATCH(E165,Inputs!$A$11:$A$16,0))</f>
        <v>25</v>
      </c>
      <c r="S165" s="27" t="n">
        <f aca="false">IF(F165="",0,F165)*R165/100</f>
        <v>2246500</v>
      </c>
      <c r="T165" s="7" t="n">
        <f aca="false">Inputs!$B$4-J165</f>
        <v>22</v>
      </c>
      <c r="U165" s="7" t="n">
        <f aca="false">IF(OR(F165="",F165=0),1,0)</f>
        <v>0</v>
      </c>
      <c r="V165" s="7" t="n">
        <f aca="false">IF(K165="",1,0)</f>
        <v>0</v>
      </c>
      <c r="W165" s="7" t="n">
        <f aca="false">IF(AND(O165=1,K165&lt;&gt;"",COUNTIFS(Owners!$A$5:$A$32,K165,Owners!$E$5:$E$32,"No")&gt;0),1,0)</f>
        <v>0</v>
      </c>
      <c r="X165" s="7" t="n">
        <f aca="false">IF(AND(O165=1,I165&lt;Inputs!$B$4),1,0)</f>
        <v>1</v>
      </c>
      <c r="Y165" s="7" t="n">
        <f aca="false">IF(AND(O165=1,T165&gt;Inputs!$B$5),1,0)</f>
        <v>0</v>
      </c>
      <c r="Z165" s="7" t="n">
        <f aca="false">IF(AND(O165=1,G165&lt;&gt;R165),1,0)</f>
        <v>0</v>
      </c>
      <c r="AA165" s="7" t="n">
        <f aca="false">IF(AND(O165=1,M165=""),1,0)</f>
        <v>0</v>
      </c>
      <c r="AB165" s="7" t="n">
        <f aca="false">IF(AND(E165="Closed Lost",N165=""),1,0)</f>
        <v>0</v>
      </c>
      <c r="AC165" s="7" t="n">
        <f aca="false">SUM(U165:AB165)</f>
        <v>1</v>
      </c>
      <c r="AD165" s="7" t="n">
        <f aca="false">IF(AC165=0,1,0)</f>
        <v>0</v>
      </c>
      <c r="AE165" s="7" t="n">
        <f aca="false">IF(AND(O165=1,I165&gt;=Inputs!$B$6,I165&lt;=Inputs!$B$7),1,0)</f>
        <v>1</v>
      </c>
      <c r="AF165" s="7" t="n">
        <f aca="false">IF(AND(E165="Closed Won",I165&gt;=Inputs!$B$6,I165&lt;=Inputs!$B$4),1,0)</f>
        <v>0</v>
      </c>
      <c r="AG165" s="7" t="n">
        <f aca="false">IF(AND(O165=0,I165&gt;Inputs!$B$4-Inputs!$B$8,I165&lt;=Inputs!$B$4),1,0)</f>
        <v>0</v>
      </c>
      <c r="AH165" s="7" t="n">
        <f aca="false">I165-H165</f>
        <v>72</v>
      </c>
    </row>
    <row r="166" customFormat="false" ht="15" hidden="false" customHeight="false" outlineLevel="0" collapsed="false">
      <c r="A166" s="16" t="s">
        <v>982</v>
      </c>
      <c r="B166" s="16" t="s">
        <v>238</v>
      </c>
      <c r="C166" s="16" t="s">
        <v>983</v>
      </c>
      <c r="D166" s="16" t="s">
        <v>165</v>
      </c>
      <c r="E166" s="16" t="s">
        <v>531</v>
      </c>
      <c r="F166" s="26" t="n">
        <v>11815000</v>
      </c>
      <c r="G166" s="25" t="n">
        <v>0</v>
      </c>
      <c r="H166" s="22" t="n">
        <v>46172</v>
      </c>
      <c r="I166" s="22" t="n">
        <v>46263</v>
      </c>
      <c r="J166" s="22" t="n">
        <v>46263</v>
      </c>
      <c r="K166" s="16" t="s">
        <v>677</v>
      </c>
      <c r="L166" s="16" t="s">
        <v>568</v>
      </c>
      <c r="M166" s="16"/>
      <c r="N166" s="16" t="s">
        <v>722</v>
      </c>
      <c r="O166" s="7" t="n">
        <f aca="false">IF(OR(E166="Closed Won",E166="Closed Lost"),0,1)</f>
        <v>0</v>
      </c>
      <c r="P166" s="17" t="str">
        <f aca="false">INDEX(Accounts!$K$5:$K$336,MATCH(B166,Accounts!$A$5:$A$336,0))</f>
        <v>Energy &amp; Resources</v>
      </c>
      <c r="Q166" s="17" t="str">
        <f aca="false">INDEX(Accounts!$D$5:$D$336,MATCH(B166,Accounts!$A$5:$A$336,0))</f>
        <v>Key</v>
      </c>
      <c r="R166" s="7" t="n">
        <f aca="false">INDEX(Inputs!$B$11:$B$16,MATCH(E166,Inputs!$A$11:$A$16,0))</f>
        <v>0</v>
      </c>
      <c r="S166" s="27" t="n">
        <f aca="false">IF(F166="",0,F166)*R166/100</f>
        <v>0</v>
      </c>
      <c r="T166" s="7" t="n">
        <f aca="false">Inputs!$B$4-J166</f>
        <v>51</v>
      </c>
      <c r="U166" s="7" t="n">
        <f aca="false">IF(OR(F166="",F166=0),1,0)</f>
        <v>0</v>
      </c>
      <c r="V166" s="7" t="n">
        <f aca="false">IF(K166="",1,0)</f>
        <v>0</v>
      </c>
      <c r="W166" s="7" t="n">
        <f aca="false">IF(AND(O166=1,K166&lt;&gt;"",COUNTIFS(Owners!$A$5:$A$32,K166,Owners!$E$5:$E$32,"No")&gt;0),1,0)</f>
        <v>0</v>
      </c>
      <c r="X166" s="7" t="n">
        <f aca="false">IF(AND(O166=1,I166&lt;Inputs!$B$4),1,0)</f>
        <v>0</v>
      </c>
      <c r="Y166" s="7" t="n">
        <f aca="false">IF(AND(O166=1,T166&gt;Inputs!$B$5),1,0)</f>
        <v>0</v>
      </c>
      <c r="Z166" s="7" t="n">
        <f aca="false">IF(AND(O166=1,G166&lt;&gt;R166),1,0)</f>
        <v>0</v>
      </c>
      <c r="AA166" s="7" t="n">
        <f aca="false">IF(AND(O166=1,M166=""),1,0)</f>
        <v>0</v>
      </c>
      <c r="AB166" s="7" t="n">
        <f aca="false">IF(AND(E166="Closed Lost",N166=""),1,0)</f>
        <v>0</v>
      </c>
      <c r="AC166" s="7" t="n">
        <f aca="false">SUM(U166:AB166)</f>
        <v>0</v>
      </c>
      <c r="AD166" s="7" t="n">
        <f aca="false">IF(AC166=0,1,0)</f>
        <v>1</v>
      </c>
      <c r="AE166" s="7" t="n">
        <f aca="false">IF(AND(O166=1,I166&gt;=Inputs!$B$6,I166&lt;=Inputs!$B$7),1,0)</f>
        <v>0</v>
      </c>
      <c r="AF166" s="7" t="n">
        <f aca="false">IF(AND(E166="Closed Won",I166&gt;=Inputs!$B$6,I166&lt;=Inputs!$B$4),1,0)</f>
        <v>0</v>
      </c>
      <c r="AG166" s="7" t="n">
        <f aca="false">IF(AND(O166=0,I166&gt;Inputs!$B$4-Inputs!$B$8,I166&lt;=Inputs!$B$4),1,0)</f>
        <v>1</v>
      </c>
      <c r="AH166" s="7" t="n">
        <f aca="false">I166-H166</f>
        <v>91</v>
      </c>
    </row>
    <row r="167" customFormat="false" ht="15" hidden="false" customHeight="false" outlineLevel="0" collapsed="false">
      <c r="A167" s="16" t="s">
        <v>984</v>
      </c>
      <c r="B167" s="16" t="s">
        <v>80</v>
      </c>
      <c r="C167" s="16" t="s">
        <v>985</v>
      </c>
      <c r="D167" s="16" t="s">
        <v>162</v>
      </c>
      <c r="E167" s="16" t="s">
        <v>531</v>
      </c>
      <c r="F167" s="26" t="n">
        <v>7717000</v>
      </c>
      <c r="G167" s="25" t="n">
        <v>0</v>
      </c>
      <c r="H167" s="22" t="n">
        <v>46028</v>
      </c>
      <c r="I167" s="22" t="n">
        <v>46108</v>
      </c>
      <c r="J167" s="22" t="n">
        <v>46108</v>
      </c>
      <c r="K167" s="16" t="s">
        <v>640</v>
      </c>
      <c r="L167" s="16" t="s">
        <v>592</v>
      </c>
      <c r="M167" s="16"/>
      <c r="N167" s="16" t="s">
        <v>610</v>
      </c>
      <c r="O167" s="7" t="n">
        <f aca="false">IF(OR(E167="Closed Won",E167="Closed Lost"),0,1)</f>
        <v>0</v>
      </c>
      <c r="P167" s="17" t="str">
        <f aca="false">INDEX(Accounts!$K$5:$K$336,MATCH(B167,Accounts!$A$5:$A$336,0))</f>
        <v>Public Sector &amp; Development</v>
      </c>
      <c r="Q167" s="17" t="str">
        <f aca="false">INDEX(Accounts!$D$5:$D$336,MATCH(B167,Accounts!$A$5:$A$336,0))</f>
        <v>Priority</v>
      </c>
      <c r="R167" s="7" t="n">
        <f aca="false">INDEX(Inputs!$B$11:$B$16,MATCH(E167,Inputs!$A$11:$A$16,0))</f>
        <v>0</v>
      </c>
      <c r="S167" s="27" t="n">
        <f aca="false">IF(F167="",0,F167)*R167/100</f>
        <v>0</v>
      </c>
      <c r="T167" s="7" t="n">
        <f aca="false">Inputs!$B$4-J167</f>
        <v>206</v>
      </c>
      <c r="U167" s="7" t="n">
        <f aca="false">IF(OR(F167="",F167=0),1,0)</f>
        <v>0</v>
      </c>
      <c r="V167" s="7" t="n">
        <f aca="false">IF(K167="",1,0)</f>
        <v>0</v>
      </c>
      <c r="W167" s="7" t="n">
        <f aca="false">IF(AND(O167=1,K167&lt;&gt;"",COUNTIFS(Owners!$A$5:$A$32,K167,Owners!$E$5:$E$32,"No")&gt;0),1,0)</f>
        <v>0</v>
      </c>
      <c r="X167" s="7" t="n">
        <f aca="false">IF(AND(O167=1,I167&lt;Inputs!$B$4),1,0)</f>
        <v>0</v>
      </c>
      <c r="Y167" s="7" t="n">
        <f aca="false">IF(AND(O167=1,T167&gt;Inputs!$B$5),1,0)</f>
        <v>0</v>
      </c>
      <c r="Z167" s="7" t="n">
        <f aca="false">IF(AND(O167=1,G167&lt;&gt;R167),1,0)</f>
        <v>0</v>
      </c>
      <c r="AA167" s="7" t="n">
        <f aca="false">IF(AND(O167=1,M167=""),1,0)</f>
        <v>0</v>
      </c>
      <c r="AB167" s="7" t="n">
        <f aca="false">IF(AND(E167="Closed Lost",N167=""),1,0)</f>
        <v>0</v>
      </c>
      <c r="AC167" s="7" t="n">
        <f aca="false">SUM(U167:AB167)</f>
        <v>0</v>
      </c>
      <c r="AD167" s="7" t="n">
        <f aca="false">IF(AC167=0,1,0)</f>
        <v>1</v>
      </c>
      <c r="AE167" s="7" t="n">
        <f aca="false">IF(AND(O167=1,I167&gt;=Inputs!$B$6,I167&lt;=Inputs!$B$7),1,0)</f>
        <v>0</v>
      </c>
      <c r="AF167" s="7" t="n">
        <f aca="false">IF(AND(E167="Closed Won",I167&gt;=Inputs!$B$6,I167&lt;=Inputs!$B$4),1,0)</f>
        <v>0</v>
      </c>
      <c r="AG167" s="7" t="n">
        <f aca="false">IF(AND(O167=0,I167&gt;Inputs!$B$4-Inputs!$B$8,I167&lt;=Inputs!$B$4),1,0)</f>
        <v>1</v>
      </c>
      <c r="AH167" s="7" t="n">
        <f aca="false">I167-H167</f>
        <v>80</v>
      </c>
    </row>
    <row r="168" customFormat="false" ht="15" hidden="false" customHeight="false" outlineLevel="0" collapsed="false">
      <c r="A168" s="16" t="s">
        <v>986</v>
      </c>
      <c r="B168" s="16" t="s">
        <v>81</v>
      </c>
      <c r="C168" s="16" t="s">
        <v>987</v>
      </c>
      <c r="D168" s="16" t="s">
        <v>162</v>
      </c>
      <c r="E168" s="16" t="s">
        <v>531</v>
      </c>
      <c r="F168" s="26" t="n">
        <v>44035000</v>
      </c>
      <c r="G168" s="25" t="n">
        <v>0</v>
      </c>
      <c r="H168" s="22" t="n">
        <v>46004</v>
      </c>
      <c r="I168" s="22" t="n">
        <v>46163</v>
      </c>
      <c r="J168" s="22" t="n">
        <v>46163</v>
      </c>
      <c r="K168" s="16" t="s">
        <v>596</v>
      </c>
      <c r="L168" s="16" t="s">
        <v>568</v>
      </c>
      <c r="M168" s="16"/>
      <c r="N168" s="16" t="s">
        <v>597</v>
      </c>
      <c r="O168" s="7" t="n">
        <f aca="false">IF(OR(E168="Closed Won",E168="Closed Lost"),0,1)</f>
        <v>0</v>
      </c>
      <c r="P168" s="17" t="str">
        <f aca="false">INDEX(Accounts!$K$5:$K$336,MATCH(B168,Accounts!$A$5:$A$336,0))</f>
        <v>Financial Services</v>
      </c>
      <c r="Q168" s="17" t="str">
        <f aca="false">INDEX(Accounts!$D$5:$D$336,MATCH(B168,Accounts!$A$5:$A$336,0))</f>
        <v>Priority</v>
      </c>
      <c r="R168" s="7" t="n">
        <f aca="false">INDEX(Inputs!$B$11:$B$16,MATCH(E168,Inputs!$A$11:$A$16,0))</f>
        <v>0</v>
      </c>
      <c r="S168" s="27" t="n">
        <f aca="false">IF(F168="",0,F168)*R168/100</f>
        <v>0</v>
      </c>
      <c r="T168" s="7" t="n">
        <f aca="false">Inputs!$B$4-J168</f>
        <v>151</v>
      </c>
      <c r="U168" s="7" t="n">
        <f aca="false">IF(OR(F168="",F168=0),1,0)</f>
        <v>0</v>
      </c>
      <c r="V168" s="7" t="n">
        <f aca="false">IF(K168="",1,0)</f>
        <v>0</v>
      </c>
      <c r="W168" s="7" t="n">
        <f aca="false">IF(AND(O168=1,K168&lt;&gt;"",COUNTIFS(Owners!$A$5:$A$32,K168,Owners!$E$5:$E$32,"No")&gt;0),1,0)</f>
        <v>0</v>
      </c>
      <c r="X168" s="7" t="n">
        <f aca="false">IF(AND(O168=1,I168&lt;Inputs!$B$4),1,0)</f>
        <v>0</v>
      </c>
      <c r="Y168" s="7" t="n">
        <f aca="false">IF(AND(O168=1,T168&gt;Inputs!$B$5),1,0)</f>
        <v>0</v>
      </c>
      <c r="Z168" s="7" t="n">
        <f aca="false">IF(AND(O168=1,G168&lt;&gt;R168),1,0)</f>
        <v>0</v>
      </c>
      <c r="AA168" s="7" t="n">
        <f aca="false">IF(AND(O168=1,M168=""),1,0)</f>
        <v>0</v>
      </c>
      <c r="AB168" s="7" t="n">
        <f aca="false">IF(AND(E168="Closed Lost",N168=""),1,0)</f>
        <v>0</v>
      </c>
      <c r="AC168" s="7" t="n">
        <f aca="false">SUM(U168:AB168)</f>
        <v>0</v>
      </c>
      <c r="AD168" s="7" t="n">
        <f aca="false">IF(AC168=0,1,0)</f>
        <v>1</v>
      </c>
      <c r="AE168" s="7" t="n">
        <f aca="false">IF(AND(O168=1,I168&gt;=Inputs!$B$6,I168&lt;=Inputs!$B$7),1,0)</f>
        <v>0</v>
      </c>
      <c r="AF168" s="7" t="n">
        <f aca="false">IF(AND(E168="Closed Won",I168&gt;=Inputs!$B$6,I168&lt;=Inputs!$B$4),1,0)</f>
        <v>0</v>
      </c>
      <c r="AG168" s="7" t="n">
        <f aca="false">IF(AND(O168=0,I168&gt;Inputs!$B$4-Inputs!$B$8,I168&lt;=Inputs!$B$4),1,0)</f>
        <v>1</v>
      </c>
      <c r="AH168" s="7" t="n">
        <f aca="false">I168-H168</f>
        <v>159</v>
      </c>
    </row>
    <row r="169" customFormat="false" ht="15" hidden="false" customHeight="false" outlineLevel="0" collapsed="false">
      <c r="A169" s="16" t="s">
        <v>988</v>
      </c>
      <c r="B169" s="16" t="s">
        <v>292</v>
      </c>
      <c r="C169" s="16" t="s">
        <v>989</v>
      </c>
      <c r="D169" s="16" t="s">
        <v>162</v>
      </c>
      <c r="E169" s="16" t="s">
        <v>529</v>
      </c>
      <c r="F169" s="26" t="n">
        <v>15705000</v>
      </c>
      <c r="G169" s="25" t="n">
        <v>100</v>
      </c>
      <c r="H169" s="22" t="n">
        <v>46277</v>
      </c>
      <c r="I169" s="22" t="n">
        <v>46320</v>
      </c>
      <c r="J169" s="22" t="n">
        <v>46306</v>
      </c>
      <c r="K169" s="16"/>
      <c r="L169" s="16" t="s">
        <v>609</v>
      </c>
      <c r="M169" s="16" t="s">
        <v>575</v>
      </c>
      <c r="N169" s="16"/>
      <c r="O169" s="7" t="n">
        <f aca="false">IF(OR(E169="Closed Won",E169="Closed Lost"),0,1)</f>
        <v>1</v>
      </c>
      <c r="P169" s="17" t="str">
        <f aca="false">INDEX(Accounts!$K$5:$K$336,MATCH(B169,Accounts!$A$5:$A$336,0))</f>
        <v>Health</v>
      </c>
      <c r="Q169" s="17" t="str">
        <f aca="false">INDEX(Accounts!$D$5:$D$336,MATCH(B169,Accounts!$A$5:$A$336,0))</f>
        <v>Standard</v>
      </c>
      <c r="R169" s="7" t="n">
        <f aca="false">INDEX(Inputs!$B$11:$B$16,MATCH(E169,Inputs!$A$11:$A$16,0))</f>
        <v>75</v>
      </c>
      <c r="S169" s="27" t="n">
        <f aca="false">IF(F169="",0,F169)*R169/100</f>
        <v>11778750</v>
      </c>
      <c r="T169" s="7" t="n">
        <f aca="false">Inputs!$B$4-J169</f>
        <v>8</v>
      </c>
      <c r="U169" s="7" t="n">
        <f aca="false">IF(OR(F169="",F169=0),1,0)</f>
        <v>0</v>
      </c>
      <c r="V169" s="7" t="n">
        <f aca="false">IF(K169="",1,0)</f>
        <v>1</v>
      </c>
      <c r="W169" s="7" t="n">
        <f aca="false">IF(AND(O169=1,K169&lt;&gt;"",COUNTIFS(Owners!$A$5:$A$32,K169,Owners!$E$5:$E$32,"No")&gt;0),1,0)</f>
        <v>0</v>
      </c>
      <c r="X169" s="7" t="n">
        <f aca="false">IF(AND(O169=1,I169&lt;Inputs!$B$4),1,0)</f>
        <v>0</v>
      </c>
      <c r="Y169" s="7" t="n">
        <f aca="false">IF(AND(O169=1,T169&gt;Inputs!$B$5),1,0)</f>
        <v>0</v>
      </c>
      <c r="Z169" s="7" t="n">
        <f aca="false">IF(AND(O169=1,G169&lt;&gt;R169),1,0)</f>
        <v>1</v>
      </c>
      <c r="AA169" s="7" t="n">
        <f aca="false">IF(AND(O169=1,M169=""),1,0)</f>
        <v>0</v>
      </c>
      <c r="AB169" s="7" t="n">
        <f aca="false">IF(AND(E169="Closed Lost",N169=""),1,0)</f>
        <v>0</v>
      </c>
      <c r="AC169" s="7" t="n">
        <f aca="false">SUM(U169:AB169)</f>
        <v>2</v>
      </c>
      <c r="AD169" s="7" t="n">
        <f aca="false">IF(AC169=0,1,0)</f>
        <v>0</v>
      </c>
      <c r="AE169" s="7" t="n">
        <f aca="false">IF(AND(O169=1,I169&gt;=Inputs!$B$6,I169&lt;=Inputs!$B$7),1,0)</f>
        <v>1</v>
      </c>
      <c r="AF169" s="7" t="n">
        <f aca="false">IF(AND(E169="Closed Won",I169&gt;=Inputs!$B$6,I169&lt;=Inputs!$B$4),1,0)</f>
        <v>0</v>
      </c>
      <c r="AG169" s="7" t="n">
        <f aca="false">IF(AND(O169=0,I169&gt;Inputs!$B$4-Inputs!$B$8,I169&lt;=Inputs!$B$4),1,0)</f>
        <v>0</v>
      </c>
      <c r="AH169" s="7" t="n">
        <f aca="false">I169-H169</f>
        <v>43</v>
      </c>
    </row>
    <row r="170" customFormat="false" ht="15" hidden="false" customHeight="false" outlineLevel="0" collapsed="false">
      <c r="A170" s="16" t="s">
        <v>990</v>
      </c>
      <c r="B170" s="16" t="s">
        <v>991</v>
      </c>
      <c r="C170" s="16" t="s">
        <v>992</v>
      </c>
      <c r="D170" s="16" t="s">
        <v>177</v>
      </c>
      <c r="E170" s="16" t="s">
        <v>530</v>
      </c>
      <c r="F170" s="26" t="n">
        <v>8181000</v>
      </c>
      <c r="G170" s="25" t="n">
        <v>100</v>
      </c>
      <c r="H170" s="22" t="n">
        <v>46025</v>
      </c>
      <c r="I170" s="22" t="n">
        <v>46097</v>
      </c>
      <c r="J170" s="22" t="n">
        <v>46097</v>
      </c>
      <c r="K170" s="16" t="s">
        <v>860</v>
      </c>
      <c r="L170" s="16" t="s">
        <v>584</v>
      </c>
      <c r="M170" s="16"/>
      <c r="N170" s="16"/>
      <c r="O170" s="7" t="n">
        <f aca="false">IF(OR(E170="Closed Won",E170="Closed Lost"),0,1)</f>
        <v>0</v>
      </c>
      <c r="P170" s="17" t="str">
        <f aca="false">INDEX(Accounts!$K$5:$K$336,MATCH(B170,Accounts!$A$5:$A$336,0))</f>
        <v>Energy &amp; Resources</v>
      </c>
      <c r="Q170" s="17" t="str">
        <f aca="false">INDEX(Accounts!$D$5:$D$336,MATCH(B170,Accounts!$A$5:$A$336,0))</f>
        <v>Standard</v>
      </c>
      <c r="R170" s="7" t="n">
        <f aca="false">INDEX(Inputs!$B$11:$B$16,MATCH(E170,Inputs!$A$11:$A$16,0))</f>
        <v>100</v>
      </c>
      <c r="S170" s="27" t="n">
        <f aca="false">IF(F170="",0,F170)*R170/100</f>
        <v>8181000</v>
      </c>
      <c r="T170" s="7" t="n">
        <f aca="false">Inputs!$B$4-J170</f>
        <v>217</v>
      </c>
      <c r="U170" s="7" t="n">
        <f aca="false">IF(OR(F170="",F170=0),1,0)</f>
        <v>0</v>
      </c>
      <c r="V170" s="7" t="n">
        <f aca="false">IF(K170="",1,0)</f>
        <v>0</v>
      </c>
      <c r="W170" s="7" t="n">
        <f aca="false">IF(AND(O170=1,K170&lt;&gt;"",COUNTIFS(Owners!$A$5:$A$32,K170,Owners!$E$5:$E$32,"No")&gt;0),1,0)</f>
        <v>0</v>
      </c>
      <c r="X170" s="7" t="n">
        <f aca="false">IF(AND(O170=1,I170&lt;Inputs!$B$4),1,0)</f>
        <v>0</v>
      </c>
      <c r="Y170" s="7" t="n">
        <f aca="false">IF(AND(O170=1,T170&gt;Inputs!$B$5),1,0)</f>
        <v>0</v>
      </c>
      <c r="Z170" s="7" t="n">
        <f aca="false">IF(AND(O170=1,G170&lt;&gt;R170),1,0)</f>
        <v>0</v>
      </c>
      <c r="AA170" s="7" t="n">
        <f aca="false">IF(AND(O170=1,M170=""),1,0)</f>
        <v>0</v>
      </c>
      <c r="AB170" s="7" t="n">
        <f aca="false">IF(AND(E170="Closed Lost",N170=""),1,0)</f>
        <v>0</v>
      </c>
      <c r="AC170" s="7" t="n">
        <f aca="false">SUM(U170:AB170)</f>
        <v>0</v>
      </c>
      <c r="AD170" s="7" t="n">
        <f aca="false">IF(AC170=0,1,0)</f>
        <v>1</v>
      </c>
      <c r="AE170" s="7" t="n">
        <f aca="false">IF(AND(O170=1,I170&gt;=Inputs!$B$6,I170&lt;=Inputs!$B$7),1,0)</f>
        <v>0</v>
      </c>
      <c r="AF170" s="7" t="n">
        <f aca="false">IF(AND(E170="Closed Won",I170&gt;=Inputs!$B$6,I170&lt;=Inputs!$B$4),1,0)</f>
        <v>0</v>
      </c>
      <c r="AG170" s="7" t="n">
        <f aca="false">IF(AND(O170=0,I170&gt;Inputs!$B$4-Inputs!$B$8,I170&lt;=Inputs!$B$4),1,0)</f>
        <v>1</v>
      </c>
      <c r="AH170" s="7" t="n">
        <f aca="false">I170-H170</f>
        <v>72</v>
      </c>
    </row>
    <row r="171" customFormat="false" ht="15" hidden="false" customHeight="false" outlineLevel="0" collapsed="false">
      <c r="A171" s="16" t="s">
        <v>993</v>
      </c>
      <c r="B171" s="16" t="s">
        <v>91</v>
      </c>
      <c r="C171" s="16" t="s">
        <v>994</v>
      </c>
      <c r="D171" s="16" t="s">
        <v>165</v>
      </c>
      <c r="E171" s="16" t="s">
        <v>531</v>
      </c>
      <c r="F171" s="26" t="n">
        <v>0</v>
      </c>
      <c r="G171" s="25" t="n">
        <v>0</v>
      </c>
      <c r="H171" s="22" t="n">
        <v>45933</v>
      </c>
      <c r="I171" s="22" t="n">
        <v>46016</v>
      </c>
      <c r="J171" s="22" t="n">
        <v>46016</v>
      </c>
      <c r="K171" s="16" t="s">
        <v>860</v>
      </c>
      <c r="L171" s="16" t="s">
        <v>584</v>
      </c>
      <c r="M171" s="16"/>
      <c r="N171" s="16" t="s">
        <v>597</v>
      </c>
      <c r="O171" s="7" t="n">
        <f aca="false">IF(OR(E171="Closed Won",E171="Closed Lost"),0,1)</f>
        <v>0</v>
      </c>
      <c r="P171" s="17" t="str">
        <f aca="false">INDEX(Accounts!$K$5:$K$336,MATCH(B171,Accounts!$A$5:$A$336,0))</f>
        <v>Technology, Media &amp; Telecom</v>
      </c>
      <c r="Q171" s="17" t="str">
        <f aca="false">INDEX(Accounts!$D$5:$D$336,MATCH(B171,Accounts!$A$5:$A$336,0))</f>
        <v>Priority</v>
      </c>
      <c r="R171" s="7" t="n">
        <f aca="false">INDEX(Inputs!$B$11:$B$16,MATCH(E171,Inputs!$A$11:$A$16,0))</f>
        <v>0</v>
      </c>
      <c r="S171" s="27" t="n">
        <f aca="false">IF(F171="",0,F171)*R171/100</f>
        <v>0</v>
      </c>
      <c r="T171" s="7" t="n">
        <f aca="false">Inputs!$B$4-J171</f>
        <v>298</v>
      </c>
      <c r="U171" s="7" t="n">
        <f aca="false">IF(OR(F171="",F171=0),1,0)</f>
        <v>1</v>
      </c>
      <c r="V171" s="7" t="n">
        <f aca="false">IF(K171="",1,0)</f>
        <v>0</v>
      </c>
      <c r="W171" s="7" t="n">
        <f aca="false">IF(AND(O171=1,K171&lt;&gt;"",COUNTIFS(Owners!$A$5:$A$32,K171,Owners!$E$5:$E$32,"No")&gt;0),1,0)</f>
        <v>0</v>
      </c>
      <c r="X171" s="7" t="n">
        <f aca="false">IF(AND(O171=1,I171&lt;Inputs!$B$4),1,0)</f>
        <v>0</v>
      </c>
      <c r="Y171" s="7" t="n">
        <f aca="false">IF(AND(O171=1,T171&gt;Inputs!$B$5),1,0)</f>
        <v>0</v>
      </c>
      <c r="Z171" s="7" t="n">
        <f aca="false">IF(AND(O171=1,G171&lt;&gt;R171),1,0)</f>
        <v>0</v>
      </c>
      <c r="AA171" s="7" t="n">
        <f aca="false">IF(AND(O171=1,M171=""),1,0)</f>
        <v>0</v>
      </c>
      <c r="AB171" s="7" t="n">
        <f aca="false">IF(AND(E171="Closed Lost",N171=""),1,0)</f>
        <v>0</v>
      </c>
      <c r="AC171" s="7" t="n">
        <f aca="false">SUM(U171:AB171)</f>
        <v>1</v>
      </c>
      <c r="AD171" s="7" t="n">
        <f aca="false">IF(AC171=0,1,0)</f>
        <v>0</v>
      </c>
      <c r="AE171" s="7" t="n">
        <f aca="false">IF(AND(O171=1,I171&gt;=Inputs!$B$6,I171&lt;=Inputs!$B$7),1,0)</f>
        <v>0</v>
      </c>
      <c r="AF171" s="7" t="n">
        <f aca="false">IF(AND(E171="Closed Won",I171&gt;=Inputs!$B$6,I171&lt;=Inputs!$B$4),1,0)</f>
        <v>0</v>
      </c>
      <c r="AG171" s="7" t="n">
        <f aca="false">IF(AND(O171=0,I171&gt;Inputs!$B$4-Inputs!$B$8,I171&lt;=Inputs!$B$4),1,0)</f>
        <v>1</v>
      </c>
      <c r="AH171" s="7" t="n">
        <f aca="false">I171-H171</f>
        <v>83</v>
      </c>
    </row>
    <row r="172" customFormat="false" ht="15" hidden="false" customHeight="false" outlineLevel="0" collapsed="false">
      <c r="A172" s="16" t="s">
        <v>995</v>
      </c>
      <c r="B172" s="16" t="s">
        <v>73</v>
      </c>
      <c r="C172" s="16" t="s">
        <v>996</v>
      </c>
      <c r="D172" s="16" t="s">
        <v>167</v>
      </c>
      <c r="E172" s="16" t="s">
        <v>526</v>
      </c>
      <c r="F172" s="26" t="n">
        <v>14485000</v>
      </c>
      <c r="G172" s="25" t="n">
        <v>10</v>
      </c>
      <c r="H172" s="22" t="n">
        <v>46183</v>
      </c>
      <c r="I172" s="22" t="n">
        <v>46471</v>
      </c>
      <c r="J172" s="22" t="n">
        <v>46269</v>
      </c>
      <c r="K172" s="16" t="s">
        <v>640</v>
      </c>
      <c r="L172" s="16" t="s">
        <v>574</v>
      </c>
      <c r="M172" s="16" t="s">
        <v>575</v>
      </c>
      <c r="N172" s="16"/>
      <c r="O172" s="7" t="n">
        <f aca="false">IF(OR(E172="Closed Won",E172="Closed Lost"),0,1)</f>
        <v>1</v>
      </c>
      <c r="P172" s="17" t="str">
        <f aca="false">INDEX(Accounts!$K$5:$K$336,MATCH(B172,Accounts!$A$5:$A$336,0))</f>
        <v>Energy &amp; Resources</v>
      </c>
      <c r="Q172" s="17" t="str">
        <f aca="false">INDEX(Accounts!$D$5:$D$336,MATCH(B172,Accounts!$A$5:$A$336,0))</f>
        <v>Priority</v>
      </c>
      <c r="R172" s="7" t="n">
        <f aca="false">INDEX(Inputs!$B$11:$B$16,MATCH(E172,Inputs!$A$11:$A$16,0))</f>
        <v>10</v>
      </c>
      <c r="S172" s="27" t="n">
        <f aca="false">IF(F172="",0,F172)*R172/100</f>
        <v>1448500</v>
      </c>
      <c r="T172" s="7" t="n">
        <f aca="false">Inputs!$B$4-J172</f>
        <v>45</v>
      </c>
      <c r="U172" s="7" t="n">
        <f aca="false">IF(OR(F172="",F172=0),1,0)</f>
        <v>0</v>
      </c>
      <c r="V172" s="7" t="n">
        <f aca="false">IF(K172="",1,0)</f>
        <v>0</v>
      </c>
      <c r="W172" s="7" t="n">
        <f aca="false">IF(AND(O172=1,K172&lt;&gt;"",COUNTIFS(Owners!$A$5:$A$32,K172,Owners!$E$5:$E$32,"No")&gt;0),1,0)</f>
        <v>0</v>
      </c>
      <c r="X172" s="7" t="n">
        <f aca="false">IF(AND(O172=1,I172&lt;Inputs!$B$4),1,0)</f>
        <v>0</v>
      </c>
      <c r="Y172" s="7" t="n">
        <f aca="false">IF(AND(O172=1,T172&gt;Inputs!$B$5),1,0)</f>
        <v>0</v>
      </c>
      <c r="Z172" s="7" t="n">
        <f aca="false">IF(AND(O172=1,G172&lt;&gt;R172),1,0)</f>
        <v>0</v>
      </c>
      <c r="AA172" s="7" t="n">
        <f aca="false">IF(AND(O172=1,M172=""),1,0)</f>
        <v>0</v>
      </c>
      <c r="AB172" s="7" t="n">
        <f aca="false">IF(AND(E172="Closed Lost",N172=""),1,0)</f>
        <v>0</v>
      </c>
      <c r="AC172" s="7" t="n">
        <f aca="false">SUM(U172:AB172)</f>
        <v>0</v>
      </c>
      <c r="AD172" s="7" t="n">
        <f aca="false">IF(AC172=0,1,0)</f>
        <v>1</v>
      </c>
      <c r="AE172" s="7" t="n">
        <f aca="false">IF(AND(O172=1,I172&gt;=Inputs!$B$6,I172&lt;=Inputs!$B$7),1,0)</f>
        <v>1</v>
      </c>
      <c r="AF172" s="7" t="n">
        <f aca="false">IF(AND(E172="Closed Won",I172&gt;=Inputs!$B$6,I172&lt;=Inputs!$B$4),1,0)</f>
        <v>0</v>
      </c>
      <c r="AG172" s="7" t="n">
        <f aca="false">IF(AND(O172=0,I172&gt;Inputs!$B$4-Inputs!$B$8,I172&lt;=Inputs!$B$4),1,0)</f>
        <v>0</v>
      </c>
      <c r="AH172" s="7" t="n">
        <f aca="false">I172-H172</f>
        <v>288</v>
      </c>
    </row>
    <row r="173" customFormat="false" ht="15" hidden="false" customHeight="false" outlineLevel="0" collapsed="false">
      <c r="A173" s="16" t="s">
        <v>997</v>
      </c>
      <c r="B173" s="16" t="s">
        <v>79</v>
      </c>
      <c r="C173" s="16" t="s">
        <v>998</v>
      </c>
      <c r="D173" s="16" t="s">
        <v>165</v>
      </c>
      <c r="E173" s="16" t="s">
        <v>528</v>
      </c>
      <c r="F173" s="26" t="n">
        <v>9585000</v>
      </c>
      <c r="G173" s="25" t="n">
        <v>50</v>
      </c>
      <c r="H173" s="22" t="n">
        <v>46255</v>
      </c>
      <c r="I173" s="22" t="n">
        <v>46402</v>
      </c>
      <c r="J173" s="22" t="n">
        <v>46300</v>
      </c>
      <c r="K173" s="16" t="s">
        <v>880</v>
      </c>
      <c r="L173" s="16" t="s">
        <v>609</v>
      </c>
      <c r="M173" s="16" t="s">
        <v>613</v>
      </c>
      <c r="N173" s="16"/>
      <c r="O173" s="7" t="n">
        <f aca="false">IF(OR(E173="Closed Won",E173="Closed Lost"),0,1)</f>
        <v>1</v>
      </c>
      <c r="P173" s="17" t="str">
        <f aca="false">INDEX(Accounts!$K$5:$K$336,MATCH(B173,Accounts!$A$5:$A$336,0))</f>
        <v>Energy &amp; Resources</v>
      </c>
      <c r="Q173" s="17" t="str">
        <f aca="false">INDEX(Accounts!$D$5:$D$336,MATCH(B173,Accounts!$A$5:$A$336,0))</f>
        <v>Priority</v>
      </c>
      <c r="R173" s="7" t="n">
        <f aca="false">INDEX(Inputs!$B$11:$B$16,MATCH(E173,Inputs!$A$11:$A$16,0))</f>
        <v>50</v>
      </c>
      <c r="S173" s="27" t="n">
        <f aca="false">IF(F173="",0,F173)*R173/100</f>
        <v>4792500</v>
      </c>
      <c r="T173" s="7" t="n">
        <f aca="false">Inputs!$B$4-J173</f>
        <v>14</v>
      </c>
      <c r="U173" s="7" t="n">
        <f aca="false">IF(OR(F173="",F173=0),1,0)</f>
        <v>0</v>
      </c>
      <c r="V173" s="7" t="n">
        <f aca="false">IF(K173="",1,0)</f>
        <v>0</v>
      </c>
      <c r="W173" s="7" t="n">
        <f aca="false">IF(AND(O173=1,K173&lt;&gt;"",COUNTIFS(Owners!$A$5:$A$32,K173,Owners!$E$5:$E$32,"No")&gt;0),1,0)</f>
        <v>1</v>
      </c>
      <c r="X173" s="7" t="n">
        <f aca="false">IF(AND(O173=1,I173&lt;Inputs!$B$4),1,0)</f>
        <v>0</v>
      </c>
      <c r="Y173" s="7" t="n">
        <f aca="false">IF(AND(O173=1,T173&gt;Inputs!$B$5),1,0)</f>
        <v>0</v>
      </c>
      <c r="Z173" s="7" t="n">
        <f aca="false">IF(AND(O173=1,G173&lt;&gt;R173),1,0)</f>
        <v>0</v>
      </c>
      <c r="AA173" s="7" t="n">
        <f aca="false">IF(AND(O173=1,M173=""),1,0)</f>
        <v>0</v>
      </c>
      <c r="AB173" s="7" t="n">
        <f aca="false">IF(AND(E173="Closed Lost",N173=""),1,0)</f>
        <v>0</v>
      </c>
      <c r="AC173" s="7" t="n">
        <f aca="false">SUM(U173:AB173)</f>
        <v>1</v>
      </c>
      <c r="AD173" s="7" t="n">
        <f aca="false">IF(AC173=0,1,0)</f>
        <v>0</v>
      </c>
      <c r="AE173" s="7" t="n">
        <f aca="false">IF(AND(O173=1,I173&gt;=Inputs!$B$6,I173&lt;=Inputs!$B$7),1,0)</f>
        <v>1</v>
      </c>
      <c r="AF173" s="7" t="n">
        <f aca="false">IF(AND(E173="Closed Won",I173&gt;=Inputs!$B$6,I173&lt;=Inputs!$B$4),1,0)</f>
        <v>0</v>
      </c>
      <c r="AG173" s="7" t="n">
        <f aca="false">IF(AND(O173=0,I173&gt;Inputs!$B$4-Inputs!$B$8,I173&lt;=Inputs!$B$4),1,0)</f>
        <v>0</v>
      </c>
      <c r="AH173" s="7" t="n">
        <f aca="false">I173-H173</f>
        <v>147</v>
      </c>
    </row>
    <row r="174" customFormat="false" ht="15" hidden="false" customHeight="false" outlineLevel="0" collapsed="false">
      <c r="A174" s="16" t="s">
        <v>999</v>
      </c>
      <c r="B174" s="16" t="s">
        <v>229</v>
      </c>
      <c r="C174" s="16" t="s">
        <v>1000</v>
      </c>
      <c r="D174" s="16" t="s">
        <v>165</v>
      </c>
      <c r="E174" s="16" t="s">
        <v>526</v>
      </c>
      <c r="F174" s="26" t="n">
        <v>15195000</v>
      </c>
      <c r="G174" s="25" t="n">
        <v>10</v>
      </c>
      <c r="H174" s="22" t="n">
        <v>46287</v>
      </c>
      <c r="I174" s="22" t="n">
        <v>46464</v>
      </c>
      <c r="J174" s="22" t="n">
        <v>46283</v>
      </c>
      <c r="K174" s="16" t="s">
        <v>880</v>
      </c>
      <c r="L174" s="16" t="s">
        <v>584</v>
      </c>
      <c r="M174" s="16" t="s">
        <v>601</v>
      </c>
      <c r="N174" s="16"/>
      <c r="O174" s="7" t="n">
        <f aca="false">IF(OR(E174="Closed Won",E174="Closed Lost"),0,1)</f>
        <v>1</v>
      </c>
      <c r="P174" s="17" t="str">
        <f aca="false">INDEX(Accounts!$K$5:$K$336,MATCH(B174,Accounts!$A$5:$A$336,0))</f>
        <v>Technology, Media &amp; Telecom</v>
      </c>
      <c r="Q174" s="17" t="str">
        <f aca="false">INDEX(Accounts!$D$5:$D$336,MATCH(B174,Accounts!$A$5:$A$336,0))</f>
        <v>Standard</v>
      </c>
      <c r="R174" s="7" t="n">
        <f aca="false">INDEX(Inputs!$B$11:$B$16,MATCH(E174,Inputs!$A$11:$A$16,0))</f>
        <v>10</v>
      </c>
      <c r="S174" s="27" t="n">
        <f aca="false">IF(F174="",0,F174)*R174/100</f>
        <v>1519500</v>
      </c>
      <c r="T174" s="7" t="n">
        <f aca="false">Inputs!$B$4-J174</f>
        <v>31</v>
      </c>
      <c r="U174" s="7" t="n">
        <f aca="false">IF(OR(F174="",F174=0),1,0)</f>
        <v>0</v>
      </c>
      <c r="V174" s="7" t="n">
        <f aca="false">IF(K174="",1,0)</f>
        <v>0</v>
      </c>
      <c r="W174" s="7" t="n">
        <f aca="false">IF(AND(O174=1,K174&lt;&gt;"",COUNTIFS(Owners!$A$5:$A$32,K174,Owners!$E$5:$E$32,"No")&gt;0),1,0)</f>
        <v>1</v>
      </c>
      <c r="X174" s="7" t="n">
        <f aca="false">IF(AND(O174=1,I174&lt;Inputs!$B$4),1,0)</f>
        <v>0</v>
      </c>
      <c r="Y174" s="7" t="n">
        <f aca="false">IF(AND(O174=1,T174&gt;Inputs!$B$5),1,0)</f>
        <v>0</v>
      </c>
      <c r="Z174" s="7" t="n">
        <f aca="false">IF(AND(O174=1,G174&lt;&gt;R174),1,0)</f>
        <v>0</v>
      </c>
      <c r="AA174" s="7" t="n">
        <f aca="false">IF(AND(O174=1,M174=""),1,0)</f>
        <v>0</v>
      </c>
      <c r="AB174" s="7" t="n">
        <f aca="false">IF(AND(E174="Closed Lost",N174=""),1,0)</f>
        <v>0</v>
      </c>
      <c r="AC174" s="7" t="n">
        <f aca="false">SUM(U174:AB174)</f>
        <v>1</v>
      </c>
      <c r="AD174" s="7" t="n">
        <f aca="false">IF(AC174=0,1,0)</f>
        <v>0</v>
      </c>
      <c r="AE174" s="7" t="n">
        <f aca="false">IF(AND(O174=1,I174&gt;=Inputs!$B$6,I174&lt;=Inputs!$B$7),1,0)</f>
        <v>1</v>
      </c>
      <c r="AF174" s="7" t="n">
        <f aca="false">IF(AND(E174="Closed Won",I174&gt;=Inputs!$B$6,I174&lt;=Inputs!$B$4),1,0)</f>
        <v>0</v>
      </c>
      <c r="AG174" s="7" t="n">
        <f aca="false">IF(AND(O174=0,I174&gt;Inputs!$B$4-Inputs!$B$8,I174&lt;=Inputs!$B$4),1,0)</f>
        <v>0</v>
      </c>
      <c r="AH174" s="7" t="n">
        <f aca="false">I174-H174</f>
        <v>177</v>
      </c>
    </row>
    <row r="175" customFormat="false" ht="15" hidden="false" customHeight="false" outlineLevel="0" collapsed="false">
      <c r="A175" s="16" t="s">
        <v>1001</v>
      </c>
      <c r="B175" s="16" t="s">
        <v>83</v>
      </c>
      <c r="C175" s="16" t="s">
        <v>612</v>
      </c>
      <c r="D175" s="16" t="s">
        <v>167</v>
      </c>
      <c r="E175" s="16" t="s">
        <v>530</v>
      </c>
      <c r="F175" s="26" t="n">
        <v>4125000</v>
      </c>
      <c r="G175" s="25" t="n">
        <v>100</v>
      </c>
      <c r="H175" s="22" t="n">
        <v>45936</v>
      </c>
      <c r="I175" s="22" t="n">
        <v>46127</v>
      </c>
      <c r="J175" s="22" t="n">
        <v>46127</v>
      </c>
      <c r="K175" s="16" t="s">
        <v>604</v>
      </c>
      <c r="L175" s="16" t="s">
        <v>584</v>
      </c>
      <c r="M175" s="16"/>
      <c r="N175" s="16"/>
      <c r="O175" s="7" t="n">
        <f aca="false">IF(OR(E175="Closed Won",E175="Closed Lost"),0,1)</f>
        <v>0</v>
      </c>
      <c r="P175" s="17" t="str">
        <f aca="false">INDEX(Accounts!$K$5:$K$336,MATCH(B175,Accounts!$A$5:$A$336,0))</f>
        <v>Agribusiness</v>
      </c>
      <c r="Q175" s="17" t="str">
        <f aca="false">INDEX(Accounts!$D$5:$D$336,MATCH(B175,Accounts!$A$5:$A$336,0))</f>
        <v>Priority</v>
      </c>
      <c r="R175" s="7" t="n">
        <f aca="false">INDEX(Inputs!$B$11:$B$16,MATCH(E175,Inputs!$A$11:$A$16,0))</f>
        <v>100</v>
      </c>
      <c r="S175" s="27" t="n">
        <f aca="false">IF(F175="",0,F175)*R175/100</f>
        <v>4125000</v>
      </c>
      <c r="T175" s="7" t="n">
        <f aca="false">Inputs!$B$4-J175</f>
        <v>187</v>
      </c>
      <c r="U175" s="7" t="n">
        <f aca="false">IF(OR(F175="",F175=0),1,0)</f>
        <v>0</v>
      </c>
      <c r="V175" s="7" t="n">
        <f aca="false">IF(K175="",1,0)</f>
        <v>0</v>
      </c>
      <c r="W175" s="7" t="n">
        <f aca="false">IF(AND(O175=1,K175&lt;&gt;"",COUNTIFS(Owners!$A$5:$A$32,K175,Owners!$E$5:$E$32,"No")&gt;0),1,0)</f>
        <v>0</v>
      </c>
      <c r="X175" s="7" t="n">
        <f aca="false">IF(AND(O175=1,I175&lt;Inputs!$B$4),1,0)</f>
        <v>0</v>
      </c>
      <c r="Y175" s="7" t="n">
        <f aca="false">IF(AND(O175=1,T175&gt;Inputs!$B$5),1,0)</f>
        <v>0</v>
      </c>
      <c r="Z175" s="7" t="n">
        <f aca="false">IF(AND(O175=1,G175&lt;&gt;R175),1,0)</f>
        <v>0</v>
      </c>
      <c r="AA175" s="7" t="n">
        <f aca="false">IF(AND(O175=1,M175=""),1,0)</f>
        <v>0</v>
      </c>
      <c r="AB175" s="7" t="n">
        <f aca="false">IF(AND(E175="Closed Lost",N175=""),1,0)</f>
        <v>0</v>
      </c>
      <c r="AC175" s="7" t="n">
        <f aca="false">SUM(U175:AB175)</f>
        <v>0</v>
      </c>
      <c r="AD175" s="7" t="n">
        <f aca="false">IF(AC175=0,1,0)</f>
        <v>1</v>
      </c>
      <c r="AE175" s="7" t="n">
        <f aca="false">IF(AND(O175=1,I175&gt;=Inputs!$B$6,I175&lt;=Inputs!$B$7),1,0)</f>
        <v>0</v>
      </c>
      <c r="AF175" s="7" t="n">
        <f aca="false">IF(AND(E175="Closed Won",I175&gt;=Inputs!$B$6,I175&lt;=Inputs!$B$4),1,0)</f>
        <v>0</v>
      </c>
      <c r="AG175" s="7" t="n">
        <f aca="false">IF(AND(O175=0,I175&gt;Inputs!$B$4-Inputs!$B$8,I175&lt;=Inputs!$B$4),1,0)</f>
        <v>1</v>
      </c>
      <c r="AH175" s="7" t="n">
        <f aca="false">I175-H175</f>
        <v>191</v>
      </c>
    </row>
    <row r="176" customFormat="false" ht="15" hidden="false" customHeight="false" outlineLevel="0" collapsed="false">
      <c r="A176" s="16" t="s">
        <v>1002</v>
      </c>
      <c r="B176" s="16" t="s">
        <v>1003</v>
      </c>
      <c r="C176" s="16" t="s">
        <v>1004</v>
      </c>
      <c r="D176" s="16" t="s">
        <v>162</v>
      </c>
      <c r="E176" s="16" t="s">
        <v>531</v>
      </c>
      <c r="F176" s="26" t="n">
        <v>1733000</v>
      </c>
      <c r="G176" s="25" t="n">
        <v>0</v>
      </c>
      <c r="H176" s="22" t="n">
        <v>45902</v>
      </c>
      <c r="I176" s="22" t="n">
        <v>45994</v>
      </c>
      <c r="J176" s="22" t="n">
        <v>45994</v>
      </c>
      <c r="K176" s="16" t="s">
        <v>573</v>
      </c>
      <c r="L176" s="16" t="s">
        <v>500</v>
      </c>
      <c r="M176" s="16"/>
      <c r="N176" s="16" t="s">
        <v>722</v>
      </c>
      <c r="O176" s="7" t="n">
        <f aca="false">IF(OR(E176="Closed Won",E176="Closed Lost"),0,1)</f>
        <v>0</v>
      </c>
      <c r="P176" s="17" t="str">
        <f aca="false">INDEX(Accounts!$K$5:$K$336,MATCH(B176,Accounts!$A$5:$A$336,0))</f>
        <v>Agribusiness</v>
      </c>
      <c r="Q176" s="17" t="str">
        <f aca="false">INDEX(Accounts!$D$5:$D$336,MATCH(B176,Accounts!$A$5:$A$336,0))</f>
        <v>Standard</v>
      </c>
      <c r="R176" s="7" t="n">
        <f aca="false">INDEX(Inputs!$B$11:$B$16,MATCH(E176,Inputs!$A$11:$A$16,0))</f>
        <v>0</v>
      </c>
      <c r="S176" s="27" t="n">
        <f aca="false">IF(F176="",0,F176)*R176/100</f>
        <v>0</v>
      </c>
      <c r="T176" s="7" t="n">
        <f aca="false">Inputs!$B$4-J176</f>
        <v>320</v>
      </c>
      <c r="U176" s="7" t="n">
        <f aca="false">IF(OR(F176="",F176=0),1,0)</f>
        <v>0</v>
      </c>
      <c r="V176" s="7" t="n">
        <f aca="false">IF(K176="",1,0)</f>
        <v>0</v>
      </c>
      <c r="W176" s="7" t="n">
        <f aca="false">IF(AND(O176=1,K176&lt;&gt;"",COUNTIFS(Owners!$A$5:$A$32,K176,Owners!$E$5:$E$32,"No")&gt;0),1,0)</f>
        <v>0</v>
      </c>
      <c r="X176" s="7" t="n">
        <f aca="false">IF(AND(O176=1,I176&lt;Inputs!$B$4),1,0)</f>
        <v>0</v>
      </c>
      <c r="Y176" s="7" t="n">
        <f aca="false">IF(AND(O176=1,T176&gt;Inputs!$B$5),1,0)</f>
        <v>0</v>
      </c>
      <c r="Z176" s="7" t="n">
        <f aca="false">IF(AND(O176=1,G176&lt;&gt;R176),1,0)</f>
        <v>0</v>
      </c>
      <c r="AA176" s="7" t="n">
        <f aca="false">IF(AND(O176=1,M176=""),1,0)</f>
        <v>0</v>
      </c>
      <c r="AB176" s="7" t="n">
        <f aca="false">IF(AND(E176="Closed Lost",N176=""),1,0)</f>
        <v>0</v>
      </c>
      <c r="AC176" s="7" t="n">
        <f aca="false">SUM(U176:AB176)</f>
        <v>0</v>
      </c>
      <c r="AD176" s="7" t="n">
        <f aca="false">IF(AC176=0,1,0)</f>
        <v>1</v>
      </c>
      <c r="AE176" s="7" t="n">
        <f aca="false">IF(AND(O176=1,I176&gt;=Inputs!$B$6,I176&lt;=Inputs!$B$7),1,0)</f>
        <v>0</v>
      </c>
      <c r="AF176" s="7" t="n">
        <f aca="false">IF(AND(E176="Closed Won",I176&gt;=Inputs!$B$6,I176&lt;=Inputs!$B$4),1,0)</f>
        <v>0</v>
      </c>
      <c r="AG176" s="7" t="n">
        <f aca="false">IF(AND(O176=0,I176&gt;Inputs!$B$4-Inputs!$B$8,I176&lt;=Inputs!$B$4),1,0)</f>
        <v>1</v>
      </c>
      <c r="AH176" s="7" t="n">
        <f aca="false">I176-H176</f>
        <v>92</v>
      </c>
    </row>
    <row r="177" customFormat="false" ht="15" hidden="false" customHeight="false" outlineLevel="0" collapsed="false">
      <c r="A177" s="16" t="s">
        <v>1005</v>
      </c>
      <c r="B177" s="16" t="s">
        <v>343</v>
      </c>
      <c r="C177" s="16" t="s">
        <v>1006</v>
      </c>
      <c r="D177" s="16" t="s">
        <v>158</v>
      </c>
      <c r="E177" s="16" t="s">
        <v>527</v>
      </c>
      <c r="F177" s="26" t="n">
        <v>32284000</v>
      </c>
      <c r="G177" s="25" t="n">
        <v>25</v>
      </c>
      <c r="H177" s="22" t="n">
        <v>46183</v>
      </c>
      <c r="I177" s="22" t="n">
        <v>46296</v>
      </c>
      <c r="J177" s="22" t="n">
        <v>46196</v>
      </c>
      <c r="K177" s="16" t="s">
        <v>588</v>
      </c>
      <c r="L177" s="16" t="s">
        <v>500</v>
      </c>
      <c r="M177" s="16" t="s">
        <v>601</v>
      </c>
      <c r="N177" s="16"/>
      <c r="O177" s="7" t="n">
        <f aca="false">IF(OR(E177="Closed Won",E177="Closed Lost"),0,1)</f>
        <v>1</v>
      </c>
      <c r="P177" s="17" t="str">
        <f aca="false">INDEX(Accounts!$K$5:$K$336,MATCH(B177,Accounts!$A$5:$A$336,0))</f>
        <v>Financial Services</v>
      </c>
      <c r="Q177" s="17" t="str">
        <f aca="false">INDEX(Accounts!$D$5:$D$336,MATCH(B177,Accounts!$A$5:$A$336,0))</f>
        <v>Standard</v>
      </c>
      <c r="R177" s="7" t="n">
        <f aca="false">INDEX(Inputs!$B$11:$B$16,MATCH(E177,Inputs!$A$11:$A$16,0))</f>
        <v>25</v>
      </c>
      <c r="S177" s="27" t="n">
        <f aca="false">IF(F177="",0,F177)*R177/100</f>
        <v>8071000</v>
      </c>
      <c r="T177" s="7" t="n">
        <f aca="false">Inputs!$B$4-J177</f>
        <v>118</v>
      </c>
      <c r="U177" s="7" t="n">
        <f aca="false">IF(OR(F177="",F177=0),1,0)</f>
        <v>0</v>
      </c>
      <c r="V177" s="7" t="n">
        <f aca="false">IF(K177="",1,0)</f>
        <v>0</v>
      </c>
      <c r="W177" s="7" t="n">
        <f aca="false">IF(AND(O177=1,K177&lt;&gt;"",COUNTIFS(Owners!$A$5:$A$32,K177,Owners!$E$5:$E$32,"No")&gt;0),1,0)</f>
        <v>0</v>
      </c>
      <c r="X177" s="7" t="n">
        <f aca="false">IF(AND(O177=1,I177&lt;Inputs!$B$4),1,0)</f>
        <v>1</v>
      </c>
      <c r="Y177" s="7" t="n">
        <f aca="false">IF(AND(O177=1,T177&gt;Inputs!$B$5),1,0)</f>
        <v>1</v>
      </c>
      <c r="Z177" s="7" t="n">
        <f aca="false">IF(AND(O177=1,G177&lt;&gt;R177),1,0)</f>
        <v>0</v>
      </c>
      <c r="AA177" s="7" t="n">
        <f aca="false">IF(AND(O177=1,M177=""),1,0)</f>
        <v>0</v>
      </c>
      <c r="AB177" s="7" t="n">
        <f aca="false">IF(AND(E177="Closed Lost",N177=""),1,0)</f>
        <v>0</v>
      </c>
      <c r="AC177" s="7" t="n">
        <f aca="false">SUM(U177:AB177)</f>
        <v>2</v>
      </c>
      <c r="AD177" s="7" t="n">
        <f aca="false">IF(AC177=0,1,0)</f>
        <v>0</v>
      </c>
      <c r="AE177" s="7" t="n">
        <f aca="false">IF(AND(O177=1,I177&gt;=Inputs!$B$6,I177&lt;=Inputs!$B$7),1,0)</f>
        <v>1</v>
      </c>
      <c r="AF177" s="7" t="n">
        <f aca="false">IF(AND(E177="Closed Won",I177&gt;=Inputs!$B$6,I177&lt;=Inputs!$B$4),1,0)</f>
        <v>0</v>
      </c>
      <c r="AG177" s="7" t="n">
        <f aca="false">IF(AND(O177=0,I177&gt;Inputs!$B$4-Inputs!$B$8,I177&lt;=Inputs!$B$4),1,0)</f>
        <v>0</v>
      </c>
      <c r="AH177" s="7" t="n">
        <f aca="false">I177-H177</f>
        <v>113</v>
      </c>
    </row>
    <row r="178" customFormat="false" ht="15" hidden="false" customHeight="false" outlineLevel="0" collapsed="false">
      <c r="A178" s="16" t="s">
        <v>1007</v>
      </c>
      <c r="B178" s="16" t="s">
        <v>92</v>
      </c>
      <c r="C178" s="16" t="s">
        <v>1008</v>
      </c>
      <c r="D178" s="16" t="s">
        <v>165</v>
      </c>
      <c r="E178" s="16" t="s">
        <v>531</v>
      </c>
      <c r="F178" s="26" t="n">
        <v>5333000</v>
      </c>
      <c r="G178" s="25" t="n">
        <v>0</v>
      </c>
      <c r="H178" s="22" t="n">
        <v>45964</v>
      </c>
      <c r="I178" s="22" t="n">
        <v>46160</v>
      </c>
      <c r="J178" s="22" t="n">
        <v>46160</v>
      </c>
      <c r="K178" s="16" t="s">
        <v>691</v>
      </c>
      <c r="L178" s="16" t="s">
        <v>574</v>
      </c>
      <c r="M178" s="16"/>
      <c r="N178" s="16" t="s">
        <v>713</v>
      </c>
      <c r="O178" s="7" t="n">
        <f aca="false">IF(OR(E178="Closed Won",E178="Closed Lost"),0,1)</f>
        <v>0</v>
      </c>
      <c r="P178" s="17" t="str">
        <f aca="false">INDEX(Accounts!$K$5:$K$336,MATCH(B178,Accounts!$A$5:$A$336,0))</f>
        <v>Public Sector &amp; Development</v>
      </c>
      <c r="Q178" s="17" t="str">
        <f aca="false">INDEX(Accounts!$D$5:$D$336,MATCH(B178,Accounts!$A$5:$A$336,0))</f>
        <v>Priority</v>
      </c>
      <c r="R178" s="7" t="n">
        <f aca="false">INDEX(Inputs!$B$11:$B$16,MATCH(E178,Inputs!$A$11:$A$16,0))</f>
        <v>0</v>
      </c>
      <c r="S178" s="27" t="n">
        <f aca="false">IF(F178="",0,F178)*R178/100</f>
        <v>0</v>
      </c>
      <c r="T178" s="7" t="n">
        <f aca="false">Inputs!$B$4-J178</f>
        <v>154</v>
      </c>
      <c r="U178" s="7" t="n">
        <f aca="false">IF(OR(F178="",F178=0),1,0)</f>
        <v>0</v>
      </c>
      <c r="V178" s="7" t="n">
        <f aca="false">IF(K178="",1,0)</f>
        <v>0</v>
      </c>
      <c r="W178" s="7" t="n">
        <f aca="false">IF(AND(O178=1,K178&lt;&gt;"",COUNTIFS(Owners!$A$5:$A$32,K178,Owners!$E$5:$E$32,"No")&gt;0),1,0)</f>
        <v>0</v>
      </c>
      <c r="X178" s="7" t="n">
        <f aca="false">IF(AND(O178=1,I178&lt;Inputs!$B$4),1,0)</f>
        <v>0</v>
      </c>
      <c r="Y178" s="7" t="n">
        <f aca="false">IF(AND(O178=1,T178&gt;Inputs!$B$5),1,0)</f>
        <v>0</v>
      </c>
      <c r="Z178" s="7" t="n">
        <f aca="false">IF(AND(O178=1,G178&lt;&gt;R178),1,0)</f>
        <v>0</v>
      </c>
      <c r="AA178" s="7" t="n">
        <f aca="false">IF(AND(O178=1,M178=""),1,0)</f>
        <v>0</v>
      </c>
      <c r="AB178" s="7" t="n">
        <f aca="false">IF(AND(E178="Closed Lost",N178=""),1,0)</f>
        <v>0</v>
      </c>
      <c r="AC178" s="7" t="n">
        <f aca="false">SUM(U178:AB178)</f>
        <v>0</v>
      </c>
      <c r="AD178" s="7" t="n">
        <f aca="false">IF(AC178=0,1,0)</f>
        <v>1</v>
      </c>
      <c r="AE178" s="7" t="n">
        <f aca="false">IF(AND(O178=1,I178&gt;=Inputs!$B$6,I178&lt;=Inputs!$B$7),1,0)</f>
        <v>0</v>
      </c>
      <c r="AF178" s="7" t="n">
        <f aca="false">IF(AND(E178="Closed Won",I178&gt;=Inputs!$B$6,I178&lt;=Inputs!$B$4),1,0)</f>
        <v>0</v>
      </c>
      <c r="AG178" s="7" t="n">
        <f aca="false">IF(AND(O178=0,I178&gt;Inputs!$B$4-Inputs!$B$8,I178&lt;=Inputs!$B$4),1,0)</f>
        <v>1</v>
      </c>
      <c r="AH178" s="7" t="n">
        <f aca="false">I178-H178</f>
        <v>196</v>
      </c>
    </row>
    <row r="179" customFormat="false" ht="15" hidden="false" customHeight="false" outlineLevel="0" collapsed="false">
      <c r="A179" s="16" t="s">
        <v>1009</v>
      </c>
      <c r="B179" s="16" t="s">
        <v>60</v>
      </c>
      <c r="C179" s="16" t="s">
        <v>1010</v>
      </c>
      <c r="D179" s="16" t="s">
        <v>162</v>
      </c>
      <c r="E179" s="16" t="s">
        <v>526</v>
      </c>
      <c r="F179" s="26" t="n">
        <v>35237000</v>
      </c>
      <c r="G179" s="25" t="n">
        <v>10</v>
      </c>
      <c r="H179" s="22" t="n">
        <v>46259</v>
      </c>
      <c r="I179" s="22" t="n">
        <v>46278</v>
      </c>
      <c r="J179" s="22" t="n">
        <v>46294</v>
      </c>
      <c r="K179" s="16" t="s">
        <v>567</v>
      </c>
      <c r="L179" s="16" t="s">
        <v>584</v>
      </c>
      <c r="M179" s="16" t="s">
        <v>613</v>
      </c>
      <c r="N179" s="16"/>
      <c r="O179" s="7" t="n">
        <f aca="false">IF(OR(E179="Closed Won",E179="Closed Lost"),0,1)</f>
        <v>1</v>
      </c>
      <c r="P179" s="17" t="str">
        <f aca="false">INDEX(Accounts!$K$5:$K$336,MATCH(B179,Accounts!$A$5:$A$336,0))</f>
        <v>Financial Services</v>
      </c>
      <c r="Q179" s="17" t="str">
        <f aca="false">INDEX(Accounts!$D$5:$D$336,MATCH(B179,Accounts!$A$5:$A$336,0))</f>
        <v>Priority</v>
      </c>
      <c r="R179" s="7" t="n">
        <f aca="false">INDEX(Inputs!$B$11:$B$16,MATCH(E179,Inputs!$A$11:$A$16,0))</f>
        <v>10</v>
      </c>
      <c r="S179" s="27" t="n">
        <f aca="false">IF(F179="",0,F179)*R179/100</f>
        <v>3523700</v>
      </c>
      <c r="T179" s="7" t="n">
        <f aca="false">Inputs!$B$4-J179</f>
        <v>20</v>
      </c>
      <c r="U179" s="7" t="n">
        <f aca="false">IF(OR(F179="",F179=0),1,0)</f>
        <v>0</v>
      </c>
      <c r="V179" s="7" t="n">
        <f aca="false">IF(K179="",1,0)</f>
        <v>0</v>
      </c>
      <c r="W179" s="7" t="n">
        <f aca="false">IF(AND(O179=1,K179&lt;&gt;"",COUNTIFS(Owners!$A$5:$A$32,K179,Owners!$E$5:$E$32,"No")&gt;0),1,0)</f>
        <v>0</v>
      </c>
      <c r="X179" s="7" t="n">
        <f aca="false">IF(AND(O179=1,I179&lt;Inputs!$B$4),1,0)</f>
        <v>1</v>
      </c>
      <c r="Y179" s="7" t="n">
        <f aca="false">IF(AND(O179=1,T179&gt;Inputs!$B$5),1,0)</f>
        <v>0</v>
      </c>
      <c r="Z179" s="7" t="n">
        <f aca="false">IF(AND(O179=1,G179&lt;&gt;R179),1,0)</f>
        <v>0</v>
      </c>
      <c r="AA179" s="7" t="n">
        <f aca="false">IF(AND(O179=1,M179=""),1,0)</f>
        <v>0</v>
      </c>
      <c r="AB179" s="7" t="n">
        <f aca="false">IF(AND(E179="Closed Lost",N179=""),1,0)</f>
        <v>0</v>
      </c>
      <c r="AC179" s="7" t="n">
        <f aca="false">SUM(U179:AB179)</f>
        <v>1</v>
      </c>
      <c r="AD179" s="7" t="n">
        <f aca="false">IF(AC179=0,1,0)</f>
        <v>0</v>
      </c>
      <c r="AE179" s="7" t="n">
        <f aca="false">IF(AND(O179=1,I179&gt;=Inputs!$B$6,I179&lt;=Inputs!$B$7),1,0)</f>
        <v>1</v>
      </c>
      <c r="AF179" s="7" t="n">
        <f aca="false">IF(AND(E179="Closed Won",I179&gt;=Inputs!$B$6,I179&lt;=Inputs!$B$4),1,0)</f>
        <v>0</v>
      </c>
      <c r="AG179" s="7" t="n">
        <f aca="false">IF(AND(O179=0,I179&gt;Inputs!$B$4-Inputs!$B$8,I179&lt;=Inputs!$B$4),1,0)</f>
        <v>0</v>
      </c>
      <c r="AH179" s="7" t="n">
        <f aca="false">I179-H179</f>
        <v>19</v>
      </c>
    </row>
    <row r="180" customFormat="false" ht="15" hidden="false" customHeight="false" outlineLevel="0" collapsed="false">
      <c r="A180" s="16" t="s">
        <v>1011</v>
      </c>
      <c r="B180" s="16" t="s">
        <v>1012</v>
      </c>
      <c r="C180" s="16" t="s">
        <v>1013</v>
      </c>
      <c r="D180" s="16" t="s">
        <v>167</v>
      </c>
      <c r="E180" s="16" t="s">
        <v>531</v>
      </c>
      <c r="F180" s="26" t="n">
        <v>4495000</v>
      </c>
      <c r="G180" s="25" t="n">
        <v>0</v>
      </c>
      <c r="H180" s="22" t="n">
        <v>46096</v>
      </c>
      <c r="I180" s="22" t="n">
        <v>46163</v>
      </c>
      <c r="J180" s="22" t="n">
        <v>46163</v>
      </c>
      <c r="K180" s="16" t="s">
        <v>691</v>
      </c>
      <c r="L180" s="16" t="s">
        <v>609</v>
      </c>
      <c r="M180" s="16"/>
      <c r="N180" s="16" t="s">
        <v>579</v>
      </c>
      <c r="O180" s="7" t="n">
        <f aca="false">IF(OR(E180="Closed Won",E180="Closed Lost"),0,1)</f>
        <v>0</v>
      </c>
      <c r="P180" s="17" t="str">
        <f aca="false">INDEX(Accounts!$K$5:$K$336,MATCH(B180,Accounts!$A$5:$A$336,0))</f>
        <v>Energy &amp; Resources</v>
      </c>
      <c r="Q180" s="17" t="str">
        <f aca="false">INDEX(Accounts!$D$5:$D$336,MATCH(B180,Accounts!$A$5:$A$336,0))</f>
        <v>Standard</v>
      </c>
      <c r="R180" s="7" t="n">
        <f aca="false">INDEX(Inputs!$B$11:$B$16,MATCH(E180,Inputs!$A$11:$A$16,0))</f>
        <v>0</v>
      </c>
      <c r="S180" s="27" t="n">
        <f aca="false">IF(F180="",0,F180)*R180/100</f>
        <v>0</v>
      </c>
      <c r="T180" s="7" t="n">
        <f aca="false">Inputs!$B$4-J180</f>
        <v>151</v>
      </c>
      <c r="U180" s="7" t="n">
        <f aca="false">IF(OR(F180="",F180=0),1,0)</f>
        <v>0</v>
      </c>
      <c r="V180" s="7" t="n">
        <f aca="false">IF(K180="",1,0)</f>
        <v>0</v>
      </c>
      <c r="W180" s="7" t="n">
        <f aca="false">IF(AND(O180=1,K180&lt;&gt;"",COUNTIFS(Owners!$A$5:$A$32,K180,Owners!$E$5:$E$32,"No")&gt;0),1,0)</f>
        <v>0</v>
      </c>
      <c r="X180" s="7" t="n">
        <f aca="false">IF(AND(O180=1,I180&lt;Inputs!$B$4),1,0)</f>
        <v>0</v>
      </c>
      <c r="Y180" s="7" t="n">
        <f aca="false">IF(AND(O180=1,T180&gt;Inputs!$B$5),1,0)</f>
        <v>0</v>
      </c>
      <c r="Z180" s="7" t="n">
        <f aca="false">IF(AND(O180=1,G180&lt;&gt;R180),1,0)</f>
        <v>0</v>
      </c>
      <c r="AA180" s="7" t="n">
        <f aca="false">IF(AND(O180=1,M180=""),1,0)</f>
        <v>0</v>
      </c>
      <c r="AB180" s="7" t="n">
        <f aca="false">IF(AND(E180="Closed Lost",N180=""),1,0)</f>
        <v>0</v>
      </c>
      <c r="AC180" s="7" t="n">
        <f aca="false">SUM(U180:AB180)</f>
        <v>0</v>
      </c>
      <c r="AD180" s="7" t="n">
        <f aca="false">IF(AC180=0,1,0)</f>
        <v>1</v>
      </c>
      <c r="AE180" s="7" t="n">
        <f aca="false">IF(AND(O180=1,I180&gt;=Inputs!$B$6,I180&lt;=Inputs!$B$7),1,0)</f>
        <v>0</v>
      </c>
      <c r="AF180" s="7" t="n">
        <f aca="false">IF(AND(E180="Closed Won",I180&gt;=Inputs!$B$6,I180&lt;=Inputs!$B$4),1,0)</f>
        <v>0</v>
      </c>
      <c r="AG180" s="7" t="n">
        <f aca="false">IF(AND(O180=0,I180&gt;Inputs!$B$4-Inputs!$B$8,I180&lt;=Inputs!$B$4),1,0)</f>
        <v>1</v>
      </c>
      <c r="AH180" s="7" t="n">
        <f aca="false">I180-H180</f>
        <v>67</v>
      </c>
    </row>
    <row r="181" customFormat="false" ht="15" hidden="false" customHeight="false" outlineLevel="0" collapsed="false">
      <c r="A181" s="16" t="s">
        <v>1014</v>
      </c>
      <c r="B181" s="16" t="s">
        <v>855</v>
      </c>
      <c r="C181" s="16" t="s">
        <v>1015</v>
      </c>
      <c r="D181" s="16" t="s">
        <v>167</v>
      </c>
      <c r="E181" s="16" t="s">
        <v>531</v>
      </c>
      <c r="F181" s="26" t="n">
        <v>5335000</v>
      </c>
      <c r="G181" s="25" t="n">
        <v>0</v>
      </c>
      <c r="H181" s="22" t="n">
        <v>46057</v>
      </c>
      <c r="I181" s="22" t="n">
        <v>46125</v>
      </c>
      <c r="J181" s="22" t="n">
        <v>46125</v>
      </c>
      <c r="K181" s="16" t="s">
        <v>765</v>
      </c>
      <c r="L181" s="16" t="s">
        <v>584</v>
      </c>
      <c r="M181" s="16"/>
      <c r="N181" s="16" t="s">
        <v>697</v>
      </c>
      <c r="O181" s="7" t="n">
        <f aca="false">IF(OR(E181="Closed Won",E181="Closed Lost"),0,1)</f>
        <v>0</v>
      </c>
      <c r="P181" s="17" t="str">
        <f aca="false">INDEX(Accounts!$K$5:$K$336,MATCH(B181,Accounts!$A$5:$A$336,0))</f>
        <v>Public Sector &amp; Development</v>
      </c>
      <c r="Q181" s="17" t="str">
        <f aca="false">INDEX(Accounts!$D$5:$D$336,MATCH(B181,Accounts!$A$5:$A$336,0))</f>
        <v>Standard</v>
      </c>
      <c r="R181" s="7" t="n">
        <f aca="false">INDEX(Inputs!$B$11:$B$16,MATCH(E181,Inputs!$A$11:$A$16,0))</f>
        <v>0</v>
      </c>
      <c r="S181" s="27" t="n">
        <f aca="false">IF(F181="",0,F181)*R181/100</f>
        <v>0</v>
      </c>
      <c r="T181" s="7" t="n">
        <f aca="false">Inputs!$B$4-J181</f>
        <v>189</v>
      </c>
      <c r="U181" s="7" t="n">
        <f aca="false">IF(OR(F181="",F181=0),1,0)</f>
        <v>0</v>
      </c>
      <c r="V181" s="7" t="n">
        <f aca="false">IF(K181="",1,0)</f>
        <v>0</v>
      </c>
      <c r="W181" s="7" t="n">
        <f aca="false">IF(AND(O181=1,K181&lt;&gt;"",COUNTIFS(Owners!$A$5:$A$32,K181,Owners!$E$5:$E$32,"No")&gt;0),1,0)</f>
        <v>0</v>
      </c>
      <c r="X181" s="7" t="n">
        <f aca="false">IF(AND(O181=1,I181&lt;Inputs!$B$4),1,0)</f>
        <v>0</v>
      </c>
      <c r="Y181" s="7" t="n">
        <f aca="false">IF(AND(O181=1,T181&gt;Inputs!$B$5),1,0)</f>
        <v>0</v>
      </c>
      <c r="Z181" s="7" t="n">
        <f aca="false">IF(AND(O181=1,G181&lt;&gt;R181),1,0)</f>
        <v>0</v>
      </c>
      <c r="AA181" s="7" t="n">
        <f aca="false">IF(AND(O181=1,M181=""),1,0)</f>
        <v>0</v>
      </c>
      <c r="AB181" s="7" t="n">
        <f aca="false">IF(AND(E181="Closed Lost",N181=""),1,0)</f>
        <v>0</v>
      </c>
      <c r="AC181" s="7" t="n">
        <f aca="false">SUM(U181:AB181)</f>
        <v>0</v>
      </c>
      <c r="AD181" s="7" t="n">
        <f aca="false">IF(AC181=0,1,0)</f>
        <v>1</v>
      </c>
      <c r="AE181" s="7" t="n">
        <f aca="false">IF(AND(O181=1,I181&gt;=Inputs!$B$6,I181&lt;=Inputs!$B$7),1,0)</f>
        <v>0</v>
      </c>
      <c r="AF181" s="7" t="n">
        <f aca="false">IF(AND(E181="Closed Won",I181&gt;=Inputs!$B$6,I181&lt;=Inputs!$B$4),1,0)</f>
        <v>0</v>
      </c>
      <c r="AG181" s="7" t="n">
        <f aca="false">IF(AND(O181=0,I181&gt;Inputs!$B$4-Inputs!$B$8,I181&lt;=Inputs!$B$4),1,0)</f>
        <v>1</v>
      </c>
      <c r="AH181" s="7" t="n">
        <f aca="false">I181-H181</f>
        <v>68</v>
      </c>
    </row>
    <row r="182" customFormat="false" ht="15" hidden="false" customHeight="false" outlineLevel="0" collapsed="false">
      <c r="A182" s="16" t="s">
        <v>1016</v>
      </c>
      <c r="B182" s="16" t="s">
        <v>277</v>
      </c>
      <c r="C182" s="16" t="s">
        <v>1017</v>
      </c>
      <c r="D182" s="16" t="s">
        <v>167</v>
      </c>
      <c r="E182" s="16" t="s">
        <v>531</v>
      </c>
      <c r="F182" s="26" t="n">
        <v>10658000</v>
      </c>
      <c r="G182" s="25" t="n">
        <v>0</v>
      </c>
      <c r="H182" s="22" t="n">
        <v>45954</v>
      </c>
      <c r="I182" s="22" t="n">
        <v>46199</v>
      </c>
      <c r="J182" s="22" t="n">
        <v>46199</v>
      </c>
      <c r="K182" s="16" t="s">
        <v>596</v>
      </c>
      <c r="L182" s="16" t="s">
        <v>609</v>
      </c>
      <c r="M182" s="16"/>
      <c r="N182" s="16" t="s">
        <v>579</v>
      </c>
      <c r="O182" s="7" t="n">
        <f aca="false">IF(OR(E182="Closed Won",E182="Closed Lost"),0,1)</f>
        <v>0</v>
      </c>
      <c r="P182" s="17" t="str">
        <f aca="false">INDEX(Accounts!$K$5:$K$336,MATCH(B182,Accounts!$A$5:$A$336,0))</f>
        <v>Technology, Media &amp; Telecom</v>
      </c>
      <c r="Q182" s="17" t="str">
        <f aca="false">INDEX(Accounts!$D$5:$D$336,MATCH(B182,Accounts!$A$5:$A$336,0))</f>
        <v>Standard</v>
      </c>
      <c r="R182" s="7" t="n">
        <f aca="false">INDEX(Inputs!$B$11:$B$16,MATCH(E182,Inputs!$A$11:$A$16,0))</f>
        <v>0</v>
      </c>
      <c r="S182" s="27" t="n">
        <f aca="false">IF(F182="",0,F182)*R182/100</f>
        <v>0</v>
      </c>
      <c r="T182" s="7" t="n">
        <f aca="false">Inputs!$B$4-J182</f>
        <v>115</v>
      </c>
      <c r="U182" s="7" t="n">
        <f aca="false">IF(OR(F182="",F182=0),1,0)</f>
        <v>0</v>
      </c>
      <c r="V182" s="7" t="n">
        <f aca="false">IF(K182="",1,0)</f>
        <v>0</v>
      </c>
      <c r="W182" s="7" t="n">
        <f aca="false">IF(AND(O182=1,K182&lt;&gt;"",COUNTIFS(Owners!$A$5:$A$32,K182,Owners!$E$5:$E$32,"No")&gt;0),1,0)</f>
        <v>0</v>
      </c>
      <c r="X182" s="7" t="n">
        <f aca="false">IF(AND(O182=1,I182&lt;Inputs!$B$4),1,0)</f>
        <v>0</v>
      </c>
      <c r="Y182" s="7" t="n">
        <f aca="false">IF(AND(O182=1,T182&gt;Inputs!$B$5),1,0)</f>
        <v>0</v>
      </c>
      <c r="Z182" s="7" t="n">
        <f aca="false">IF(AND(O182=1,G182&lt;&gt;R182),1,0)</f>
        <v>0</v>
      </c>
      <c r="AA182" s="7" t="n">
        <f aca="false">IF(AND(O182=1,M182=""),1,0)</f>
        <v>0</v>
      </c>
      <c r="AB182" s="7" t="n">
        <f aca="false">IF(AND(E182="Closed Lost",N182=""),1,0)</f>
        <v>0</v>
      </c>
      <c r="AC182" s="7" t="n">
        <f aca="false">SUM(U182:AB182)</f>
        <v>0</v>
      </c>
      <c r="AD182" s="7" t="n">
        <f aca="false">IF(AC182=0,1,0)</f>
        <v>1</v>
      </c>
      <c r="AE182" s="7" t="n">
        <f aca="false">IF(AND(O182=1,I182&gt;=Inputs!$B$6,I182&lt;=Inputs!$B$7),1,0)</f>
        <v>0</v>
      </c>
      <c r="AF182" s="7" t="n">
        <f aca="false">IF(AND(E182="Closed Won",I182&gt;=Inputs!$B$6,I182&lt;=Inputs!$B$4),1,0)</f>
        <v>0</v>
      </c>
      <c r="AG182" s="7" t="n">
        <f aca="false">IF(AND(O182=0,I182&gt;Inputs!$B$4-Inputs!$B$8,I182&lt;=Inputs!$B$4),1,0)</f>
        <v>1</v>
      </c>
      <c r="AH182" s="7" t="n">
        <f aca="false">I182-H182</f>
        <v>245</v>
      </c>
    </row>
    <row r="183" customFormat="false" ht="15" hidden="false" customHeight="false" outlineLevel="0" collapsed="false">
      <c r="A183" s="16" t="s">
        <v>1018</v>
      </c>
      <c r="B183" s="16" t="s">
        <v>317</v>
      </c>
      <c r="C183" s="16" t="s">
        <v>1019</v>
      </c>
      <c r="D183" s="16" t="s">
        <v>167</v>
      </c>
      <c r="E183" s="16" t="s">
        <v>531</v>
      </c>
      <c r="F183" s="26" t="n">
        <v>4428000</v>
      </c>
      <c r="G183" s="25" t="n">
        <v>0</v>
      </c>
      <c r="H183" s="22" t="n">
        <v>46234</v>
      </c>
      <c r="I183" s="22" t="n">
        <v>46300</v>
      </c>
      <c r="J183" s="22" t="n">
        <v>46300</v>
      </c>
      <c r="K183" s="16" t="s">
        <v>646</v>
      </c>
      <c r="L183" s="16" t="s">
        <v>584</v>
      </c>
      <c r="M183" s="16"/>
      <c r="N183" s="16" t="s">
        <v>597</v>
      </c>
      <c r="O183" s="7" t="n">
        <f aca="false">IF(OR(E183="Closed Won",E183="Closed Lost"),0,1)</f>
        <v>0</v>
      </c>
      <c r="P183" s="17" t="str">
        <f aca="false">INDEX(Accounts!$K$5:$K$336,MATCH(B183,Accounts!$A$5:$A$336,0))</f>
        <v>Unassigned</v>
      </c>
      <c r="Q183" s="17" t="str">
        <f aca="false">INDEX(Accounts!$D$5:$D$336,MATCH(B183,Accounts!$A$5:$A$336,0))</f>
        <v>Key</v>
      </c>
      <c r="R183" s="7" t="n">
        <f aca="false">INDEX(Inputs!$B$11:$B$16,MATCH(E183,Inputs!$A$11:$A$16,0))</f>
        <v>0</v>
      </c>
      <c r="S183" s="27" t="n">
        <f aca="false">IF(F183="",0,F183)*R183/100</f>
        <v>0</v>
      </c>
      <c r="T183" s="7" t="n">
        <f aca="false">Inputs!$B$4-J183</f>
        <v>14</v>
      </c>
      <c r="U183" s="7" t="n">
        <f aca="false">IF(OR(F183="",F183=0),1,0)</f>
        <v>0</v>
      </c>
      <c r="V183" s="7" t="n">
        <f aca="false">IF(K183="",1,0)</f>
        <v>0</v>
      </c>
      <c r="W183" s="7" t="n">
        <f aca="false">IF(AND(O183=1,K183&lt;&gt;"",COUNTIFS(Owners!$A$5:$A$32,K183,Owners!$E$5:$E$32,"No")&gt;0),1,0)</f>
        <v>0</v>
      </c>
      <c r="X183" s="7" t="n">
        <f aca="false">IF(AND(O183=1,I183&lt;Inputs!$B$4),1,0)</f>
        <v>0</v>
      </c>
      <c r="Y183" s="7" t="n">
        <f aca="false">IF(AND(O183=1,T183&gt;Inputs!$B$5),1,0)</f>
        <v>0</v>
      </c>
      <c r="Z183" s="7" t="n">
        <f aca="false">IF(AND(O183=1,G183&lt;&gt;R183),1,0)</f>
        <v>0</v>
      </c>
      <c r="AA183" s="7" t="n">
        <f aca="false">IF(AND(O183=1,M183=""),1,0)</f>
        <v>0</v>
      </c>
      <c r="AB183" s="7" t="n">
        <f aca="false">IF(AND(E183="Closed Lost",N183=""),1,0)</f>
        <v>0</v>
      </c>
      <c r="AC183" s="7" t="n">
        <f aca="false">SUM(U183:AB183)</f>
        <v>0</v>
      </c>
      <c r="AD183" s="7" t="n">
        <f aca="false">IF(AC183=0,1,0)</f>
        <v>1</v>
      </c>
      <c r="AE183" s="7" t="n">
        <f aca="false">IF(AND(O183=1,I183&gt;=Inputs!$B$6,I183&lt;=Inputs!$B$7),1,0)</f>
        <v>0</v>
      </c>
      <c r="AF183" s="7" t="n">
        <f aca="false">IF(AND(E183="Closed Won",I183&gt;=Inputs!$B$6,I183&lt;=Inputs!$B$4),1,0)</f>
        <v>0</v>
      </c>
      <c r="AG183" s="7" t="n">
        <f aca="false">IF(AND(O183=0,I183&gt;Inputs!$B$4-Inputs!$B$8,I183&lt;=Inputs!$B$4),1,0)</f>
        <v>1</v>
      </c>
      <c r="AH183" s="7" t="n">
        <f aca="false">I183-H183</f>
        <v>66</v>
      </c>
    </row>
    <row r="184" customFormat="false" ht="15" hidden="false" customHeight="false" outlineLevel="0" collapsed="false">
      <c r="A184" s="16" t="s">
        <v>1020</v>
      </c>
      <c r="B184" s="16" t="s">
        <v>73</v>
      </c>
      <c r="C184" s="16" t="s">
        <v>1021</v>
      </c>
      <c r="D184" s="16" t="s">
        <v>158</v>
      </c>
      <c r="E184" s="16" t="s">
        <v>529</v>
      </c>
      <c r="F184" s="26" t="n">
        <v>27068000</v>
      </c>
      <c r="G184" s="25" t="n">
        <v>75</v>
      </c>
      <c r="H184" s="22" t="n">
        <v>46253</v>
      </c>
      <c r="I184" s="22" t="n">
        <v>46370</v>
      </c>
      <c r="J184" s="22" t="n">
        <v>46307</v>
      </c>
      <c r="K184" s="16" t="s">
        <v>640</v>
      </c>
      <c r="L184" s="16" t="s">
        <v>584</v>
      </c>
      <c r="M184" s="16" t="s">
        <v>575</v>
      </c>
      <c r="N184" s="16"/>
      <c r="O184" s="7" t="n">
        <f aca="false">IF(OR(E184="Closed Won",E184="Closed Lost"),0,1)</f>
        <v>1</v>
      </c>
      <c r="P184" s="17" t="str">
        <f aca="false">INDEX(Accounts!$K$5:$K$336,MATCH(B184,Accounts!$A$5:$A$336,0))</f>
        <v>Energy &amp; Resources</v>
      </c>
      <c r="Q184" s="17" t="str">
        <f aca="false">INDEX(Accounts!$D$5:$D$336,MATCH(B184,Accounts!$A$5:$A$336,0))</f>
        <v>Priority</v>
      </c>
      <c r="R184" s="7" t="n">
        <f aca="false">INDEX(Inputs!$B$11:$B$16,MATCH(E184,Inputs!$A$11:$A$16,0))</f>
        <v>75</v>
      </c>
      <c r="S184" s="27" t="n">
        <f aca="false">IF(F184="",0,F184)*R184/100</f>
        <v>20301000</v>
      </c>
      <c r="T184" s="7" t="n">
        <f aca="false">Inputs!$B$4-J184</f>
        <v>7</v>
      </c>
      <c r="U184" s="7" t="n">
        <f aca="false">IF(OR(F184="",F184=0),1,0)</f>
        <v>0</v>
      </c>
      <c r="V184" s="7" t="n">
        <f aca="false">IF(K184="",1,0)</f>
        <v>0</v>
      </c>
      <c r="W184" s="7" t="n">
        <f aca="false">IF(AND(O184=1,K184&lt;&gt;"",COUNTIFS(Owners!$A$5:$A$32,K184,Owners!$E$5:$E$32,"No")&gt;0),1,0)</f>
        <v>0</v>
      </c>
      <c r="X184" s="7" t="n">
        <f aca="false">IF(AND(O184=1,I184&lt;Inputs!$B$4),1,0)</f>
        <v>0</v>
      </c>
      <c r="Y184" s="7" t="n">
        <f aca="false">IF(AND(O184=1,T184&gt;Inputs!$B$5),1,0)</f>
        <v>0</v>
      </c>
      <c r="Z184" s="7" t="n">
        <f aca="false">IF(AND(O184=1,G184&lt;&gt;R184),1,0)</f>
        <v>0</v>
      </c>
      <c r="AA184" s="7" t="n">
        <f aca="false">IF(AND(O184=1,M184=""),1,0)</f>
        <v>0</v>
      </c>
      <c r="AB184" s="7" t="n">
        <f aca="false">IF(AND(E184="Closed Lost",N184=""),1,0)</f>
        <v>0</v>
      </c>
      <c r="AC184" s="7" t="n">
        <f aca="false">SUM(U184:AB184)</f>
        <v>0</v>
      </c>
      <c r="AD184" s="7" t="n">
        <f aca="false">IF(AC184=0,1,0)</f>
        <v>1</v>
      </c>
      <c r="AE184" s="7" t="n">
        <f aca="false">IF(AND(O184=1,I184&gt;=Inputs!$B$6,I184&lt;=Inputs!$B$7),1,0)</f>
        <v>1</v>
      </c>
      <c r="AF184" s="7" t="n">
        <f aca="false">IF(AND(E184="Closed Won",I184&gt;=Inputs!$B$6,I184&lt;=Inputs!$B$4),1,0)</f>
        <v>0</v>
      </c>
      <c r="AG184" s="7" t="n">
        <f aca="false">IF(AND(O184=0,I184&gt;Inputs!$B$4-Inputs!$B$8,I184&lt;=Inputs!$B$4),1,0)</f>
        <v>0</v>
      </c>
      <c r="AH184" s="7" t="n">
        <f aca="false">I184-H184</f>
        <v>117</v>
      </c>
    </row>
    <row r="185" customFormat="false" ht="15" hidden="false" customHeight="false" outlineLevel="0" collapsed="false">
      <c r="A185" s="16" t="s">
        <v>1022</v>
      </c>
      <c r="B185" s="16" t="s">
        <v>81</v>
      </c>
      <c r="C185" s="16" t="s">
        <v>1023</v>
      </c>
      <c r="D185" s="16" t="s">
        <v>167</v>
      </c>
      <c r="E185" s="16" t="s">
        <v>527</v>
      </c>
      <c r="F185" s="26"/>
      <c r="G185" s="25" t="n">
        <v>25</v>
      </c>
      <c r="H185" s="22" t="n">
        <v>46251</v>
      </c>
      <c r="I185" s="22" t="n">
        <v>46402</v>
      </c>
      <c r="J185" s="22" t="n">
        <v>46251</v>
      </c>
      <c r="K185" s="16" t="s">
        <v>591</v>
      </c>
      <c r="L185" s="16" t="s">
        <v>592</v>
      </c>
      <c r="M185" s="16" t="s">
        <v>569</v>
      </c>
      <c r="N185" s="16"/>
      <c r="O185" s="7" t="n">
        <f aca="false">IF(OR(E185="Closed Won",E185="Closed Lost"),0,1)</f>
        <v>1</v>
      </c>
      <c r="P185" s="17" t="str">
        <f aca="false">INDEX(Accounts!$K$5:$K$336,MATCH(B185,Accounts!$A$5:$A$336,0))</f>
        <v>Financial Services</v>
      </c>
      <c r="Q185" s="17" t="str">
        <f aca="false">INDEX(Accounts!$D$5:$D$336,MATCH(B185,Accounts!$A$5:$A$336,0))</f>
        <v>Priority</v>
      </c>
      <c r="R185" s="7" t="n">
        <f aca="false">INDEX(Inputs!$B$11:$B$16,MATCH(E185,Inputs!$A$11:$A$16,0))</f>
        <v>25</v>
      </c>
      <c r="S185" s="27" t="n">
        <f aca="false">IF(F185="",0,F185)*R185/100</f>
        <v>0</v>
      </c>
      <c r="T185" s="7" t="n">
        <f aca="false">Inputs!$B$4-J185</f>
        <v>63</v>
      </c>
      <c r="U185" s="7" t="n">
        <f aca="false">IF(OR(F185="",F185=0),1,0)</f>
        <v>1</v>
      </c>
      <c r="V185" s="7" t="n">
        <f aca="false">IF(K185="",1,0)</f>
        <v>0</v>
      </c>
      <c r="W185" s="7" t="n">
        <f aca="false">IF(AND(O185=1,K185&lt;&gt;"",COUNTIFS(Owners!$A$5:$A$32,K185,Owners!$E$5:$E$32,"No")&gt;0),1,0)</f>
        <v>0</v>
      </c>
      <c r="X185" s="7" t="n">
        <f aca="false">IF(AND(O185=1,I185&lt;Inputs!$B$4),1,0)</f>
        <v>0</v>
      </c>
      <c r="Y185" s="7" t="n">
        <f aca="false">IF(AND(O185=1,T185&gt;Inputs!$B$5),1,0)</f>
        <v>1</v>
      </c>
      <c r="Z185" s="7" t="n">
        <f aca="false">IF(AND(O185=1,G185&lt;&gt;R185),1,0)</f>
        <v>0</v>
      </c>
      <c r="AA185" s="7" t="n">
        <f aca="false">IF(AND(O185=1,M185=""),1,0)</f>
        <v>0</v>
      </c>
      <c r="AB185" s="7" t="n">
        <f aca="false">IF(AND(E185="Closed Lost",N185=""),1,0)</f>
        <v>0</v>
      </c>
      <c r="AC185" s="7" t="n">
        <f aca="false">SUM(U185:AB185)</f>
        <v>2</v>
      </c>
      <c r="AD185" s="7" t="n">
        <f aca="false">IF(AC185=0,1,0)</f>
        <v>0</v>
      </c>
      <c r="AE185" s="7" t="n">
        <f aca="false">IF(AND(O185=1,I185&gt;=Inputs!$B$6,I185&lt;=Inputs!$B$7),1,0)</f>
        <v>1</v>
      </c>
      <c r="AF185" s="7" t="n">
        <f aca="false">IF(AND(E185="Closed Won",I185&gt;=Inputs!$B$6,I185&lt;=Inputs!$B$4),1,0)</f>
        <v>0</v>
      </c>
      <c r="AG185" s="7" t="n">
        <f aca="false">IF(AND(O185=0,I185&gt;Inputs!$B$4-Inputs!$B$8,I185&lt;=Inputs!$B$4),1,0)</f>
        <v>0</v>
      </c>
      <c r="AH185" s="7" t="n">
        <f aca="false">I185-H185</f>
        <v>151</v>
      </c>
    </row>
    <row r="186" customFormat="false" ht="15" hidden="false" customHeight="false" outlineLevel="0" collapsed="false">
      <c r="A186" s="16" t="s">
        <v>1024</v>
      </c>
      <c r="B186" s="16" t="s">
        <v>1025</v>
      </c>
      <c r="C186" s="16" t="s">
        <v>1026</v>
      </c>
      <c r="D186" s="16" t="s">
        <v>165</v>
      </c>
      <c r="E186" s="16" t="s">
        <v>530</v>
      </c>
      <c r="F186" s="26" t="n">
        <v>14622000</v>
      </c>
      <c r="G186" s="25" t="n">
        <v>100</v>
      </c>
      <c r="H186" s="22" t="n">
        <v>45939</v>
      </c>
      <c r="I186" s="22" t="n">
        <v>46158</v>
      </c>
      <c r="J186" s="22" t="n">
        <v>46158</v>
      </c>
      <c r="K186" s="16" t="s">
        <v>704</v>
      </c>
      <c r="L186" s="16" t="s">
        <v>568</v>
      </c>
      <c r="M186" s="16"/>
      <c r="N186" s="16"/>
      <c r="O186" s="7" t="n">
        <f aca="false">IF(OR(E186="Closed Won",E186="Closed Lost"),0,1)</f>
        <v>0</v>
      </c>
      <c r="P186" s="17" t="str">
        <f aca="false">INDEX(Accounts!$K$5:$K$336,MATCH(B186,Accounts!$A$5:$A$336,0))</f>
        <v>Public Sector &amp; Development</v>
      </c>
      <c r="Q186" s="17" t="str">
        <f aca="false">INDEX(Accounts!$D$5:$D$336,MATCH(B186,Accounts!$A$5:$A$336,0))</f>
        <v>Key</v>
      </c>
      <c r="R186" s="7" t="n">
        <f aca="false">INDEX(Inputs!$B$11:$B$16,MATCH(E186,Inputs!$A$11:$A$16,0))</f>
        <v>100</v>
      </c>
      <c r="S186" s="27" t="n">
        <f aca="false">IF(F186="",0,F186)*R186/100</f>
        <v>14622000</v>
      </c>
      <c r="T186" s="7" t="n">
        <f aca="false">Inputs!$B$4-J186</f>
        <v>156</v>
      </c>
      <c r="U186" s="7" t="n">
        <f aca="false">IF(OR(F186="",F186=0),1,0)</f>
        <v>0</v>
      </c>
      <c r="V186" s="7" t="n">
        <f aca="false">IF(K186="",1,0)</f>
        <v>0</v>
      </c>
      <c r="W186" s="7" t="n">
        <f aca="false">IF(AND(O186=1,K186&lt;&gt;"",COUNTIFS(Owners!$A$5:$A$32,K186,Owners!$E$5:$E$32,"No")&gt;0),1,0)</f>
        <v>0</v>
      </c>
      <c r="X186" s="7" t="n">
        <f aca="false">IF(AND(O186=1,I186&lt;Inputs!$B$4),1,0)</f>
        <v>0</v>
      </c>
      <c r="Y186" s="7" t="n">
        <f aca="false">IF(AND(O186=1,T186&gt;Inputs!$B$5),1,0)</f>
        <v>0</v>
      </c>
      <c r="Z186" s="7" t="n">
        <f aca="false">IF(AND(O186=1,G186&lt;&gt;R186),1,0)</f>
        <v>0</v>
      </c>
      <c r="AA186" s="7" t="n">
        <f aca="false">IF(AND(O186=1,M186=""),1,0)</f>
        <v>0</v>
      </c>
      <c r="AB186" s="7" t="n">
        <f aca="false">IF(AND(E186="Closed Lost",N186=""),1,0)</f>
        <v>0</v>
      </c>
      <c r="AC186" s="7" t="n">
        <f aca="false">SUM(U186:AB186)</f>
        <v>0</v>
      </c>
      <c r="AD186" s="7" t="n">
        <f aca="false">IF(AC186=0,1,0)</f>
        <v>1</v>
      </c>
      <c r="AE186" s="7" t="n">
        <f aca="false">IF(AND(O186=1,I186&gt;=Inputs!$B$6,I186&lt;=Inputs!$B$7),1,0)</f>
        <v>0</v>
      </c>
      <c r="AF186" s="7" t="n">
        <f aca="false">IF(AND(E186="Closed Won",I186&gt;=Inputs!$B$6,I186&lt;=Inputs!$B$4),1,0)</f>
        <v>0</v>
      </c>
      <c r="AG186" s="7" t="n">
        <f aca="false">IF(AND(O186=0,I186&gt;Inputs!$B$4-Inputs!$B$8,I186&lt;=Inputs!$B$4),1,0)</f>
        <v>1</v>
      </c>
      <c r="AH186" s="7" t="n">
        <f aca="false">I186-H186</f>
        <v>219</v>
      </c>
    </row>
    <row r="187" customFormat="false" ht="15" hidden="false" customHeight="false" outlineLevel="0" collapsed="false">
      <c r="A187" s="16" t="s">
        <v>1027</v>
      </c>
      <c r="B187" s="16" t="s">
        <v>1028</v>
      </c>
      <c r="C187" s="16" t="s">
        <v>1029</v>
      </c>
      <c r="D187" s="16" t="s">
        <v>158</v>
      </c>
      <c r="E187" s="16" t="s">
        <v>530</v>
      </c>
      <c r="F187" s="26" t="n">
        <v>27287000</v>
      </c>
      <c r="G187" s="25" t="n">
        <v>100</v>
      </c>
      <c r="H187" s="22" t="n">
        <v>45946</v>
      </c>
      <c r="I187" s="22" t="n">
        <v>46023</v>
      </c>
      <c r="J187" s="22" t="n">
        <v>46023</v>
      </c>
      <c r="K187" s="16" t="s">
        <v>600</v>
      </c>
      <c r="L187" s="16" t="s">
        <v>500</v>
      </c>
      <c r="M187" s="16"/>
      <c r="N187" s="16"/>
      <c r="O187" s="7" t="n">
        <f aca="false">IF(OR(E187="Closed Won",E187="Closed Lost"),0,1)</f>
        <v>0</v>
      </c>
      <c r="P187" s="17" t="str">
        <f aca="false">INDEX(Accounts!$K$5:$K$336,MATCH(B187,Accounts!$A$5:$A$336,0))</f>
        <v>Financial Services</v>
      </c>
      <c r="Q187" s="17" t="str">
        <f aca="false">INDEX(Accounts!$D$5:$D$336,MATCH(B187,Accounts!$A$5:$A$336,0))</f>
        <v>Key</v>
      </c>
      <c r="R187" s="7" t="n">
        <f aca="false">INDEX(Inputs!$B$11:$B$16,MATCH(E187,Inputs!$A$11:$A$16,0))</f>
        <v>100</v>
      </c>
      <c r="S187" s="27" t="n">
        <f aca="false">IF(F187="",0,F187)*R187/100</f>
        <v>27287000</v>
      </c>
      <c r="T187" s="7" t="n">
        <f aca="false">Inputs!$B$4-J187</f>
        <v>291</v>
      </c>
      <c r="U187" s="7" t="n">
        <f aca="false">IF(OR(F187="",F187=0),1,0)</f>
        <v>0</v>
      </c>
      <c r="V187" s="7" t="n">
        <f aca="false">IF(K187="",1,0)</f>
        <v>0</v>
      </c>
      <c r="W187" s="7" t="n">
        <f aca="false">IF(AND(O187=1,K187&lt;&gt;"",COUNTIFS(Owners!$A$5:$A$32,K187,Owners!$E$5:$E$32,"No")&gt;0),1,0)</f>
        <v>0</v>
      </c>
      <c r="X187" s="7" t="n">
        <f aca="false">IF(AND(O187=1,I187&lt;Inputs!$B$4),1,0)</f>
        <v>0</v>
      </c>
      <c r="Y187" s="7" t="n">
        <f aca="false">IF(AND(O187=1,T187&gt;Inputs!$B$5),1,0)</f>
        <v>0</v>
      </c>
      <c r="Z187" s="7" t="n">
        <f aca="false">IF(AND(O187=1,G187&lt;&gt;R187),1,0)</f>
        <v>0</v>
      </c>
      <c r="AA187" s="7" t="n">
        <f aca="false">IF(AND(O187=1,M187=""),1,0)</f>
        <v>0</v>
      </c>
      <c r="AB187" s="7" t="n">
        <f aca="false">IF(AND(E187="Closed Lost",N187=""),1,0)</f>
        <v>0</v>
      </c>
      <c r="AC187" s="7" t="n">
        <f aca="false">SUM(U187:AB187)</f>
        <v>0</v>
      </c>
      <c r="AD187" s="7" t="n">
        <f aca="false">IF(AC187=0,1,0)</f>
        <v>1</v>
      </c>
      <c r="AE187" s="7" t="n">
        <f aca="false">IF(AND(O187=1,I187&gt;=Inputs!$B$6,I187&lt;=Inputs!$B$7),1,0)</f>
        <v>0</v>
      </c>
      <c r="AF187" s="7" t="n">
        <f aca="false">IF(AND(E187="Closed Won",I187&gt;=Inputs!$B$6,I187&lt;=Inputs!$B$4),1,0)</f>
        <v>0</v>
      </c>
      <c r="AG187" s="7" t="n">
        <f aca="false">IF(AND(O187=0,I187&gt;Inputs!$B$4-Inputs!$B$8,I187&lt;=Inputs!$B$4),1,0)</f>
        <v>1</v>
      </c>
      <c r="AH187" s="7" t="n">
        <f aca="false">I187-H187</f>
        <v>77</v>
      </c>
    </row>
    <row r="188" customFormat="false" ht="15" hidden="false" customHeight="false" outlineLevel="0" collapsed="false">
      <c r="A188" s="16" t="s">
        <v>1030</v>
      </c>
      <c r="B188" s="16" t="s">
        <v>1031</v>
      </c>
      <c r="C188" s="16" t="s">
        <v>1032</v>
      </c>
      <c r="D188" s="16" t="s">
        <v>162</v>
      </c>
      <c r="E188" s="16" t="s">
        <v>530</v>
      </c>
      <c r="F188" s="26" t="n">
        <v>11918000</v>
      </c>
      <c r="G188" s="25" t="n">
        <v>100</v>
      </c>
      <c r="H188" s="22" t="n">
        <v>45947</v>
      </c>
      <c r="I188" s="22" t="n">
        <v>46031</v>
      </c>
      <c r="J188" s="22" t="n">
        <v>46031</v>
      </c>
      <c r="K188" s="16" t="s">
        <v>860</v>
      </c>
      <c r="L188" s="16" t="s">
        <v>568</v>
      </c>
      <c r="M188" s="16"/>
      <c r="N188" s="16"/>
      <c r="O188" s="7" t="n">
        <f aca="false">IF(OR(E188="Closed Won",E188="Closed Lost"),0,1)</f>
        <v>0</v>
      </c>
      <c r="P188" s="17" t="str">
        <f aca="false">INDEX(Accounts!$K$5:$K$336,MATCH(B188,Accounts!$A$5:$A$336,0))</f>
        <v>Energy &amp; Resources</v>
      </c>
      <c r="Q188" s="17" t="str">
        <f aca="false">INDEX(Accounts!$D$5:$D$336,MATCH(B188,Accounts!$A$5:$A$336,0))</f>
        <v>Standard</v>
      </c>
      <c r="R188" s="7" t="n">
        <f aca="false">INDEX(Inputs!$B$11:$B$16,MATCH(E188,Inputs!$A$11:$A$16,0))</f>
        <v>100</v>
      </c>
      <c r="S188" s="27" t="n">
        <f aca="false">IF(F188="",0,F188)*R188/100</f>
        <v>11918000</v>
      </c>
      <c r="T188" s="7" t="n">
        <f aca="false">Inputs!$B$4-J188</f>
        <v>283</v>
      </c>
      <c r="U188" s="7" t="n">
        <f aca="false">IF(OR(F188="",F188=0),1,0)</f>
        <v>0</v>
      </c>
      <c r="V188" s="7" t="n">
        <f aca="false">IF(K188="",1,0)</f>
        <v>0</v>
      </c>
      <c r="W188" s="7" t="n">
        <f aca="false">IF(AND(O188=1,K188&lt;&gt;"",COUNTIFS(Owners!$A$5:$A$32,K188,Owners!$E$5:$E$32,"No")&gt;0),1,0)</f>
        <v>0</v>
      </c>
      <c r="X188" s="7" t="n">
        <f aca="false">IF(AND(O188=1,I188&lt;Inputs!$B$4),1,0)</f>
        <v>0</v>
      </c>
      <c r="Y188" s="7" t="n">
        <f aca="false">IF(AND(O188=1,T188&gt;Inputs!$B$5),1,0)</f>
        <v>0</v>
      </c>
      <c r="Z188" s="7" t="n">
        <f aca="false">IF(AND(O188=1,G188&lt;&gt;R188),1,0)</f>
        <v>0</v>
      </c>
      <c r="AA188" s="7" t="n">
        <f aca="false">IF(AND(O188=1,M188=""),1,0)</f>
        <v>0</v>
      </c>
      <c r="AB188" s="7" t="n">
        <f aca="false">IF(AND(E188="Closed Lost",N188=""),1,0)</f>
        <v>0</v>
      </c>
      <c r="AC188" s="7" t="n">
        <f aca="false">SUM(U188:AB188)</f>
        <v>0</v>
      </c>
      <c r="AD188" s="7" t="n">
        <f aca="false">IF(AC188=0,1,0)</f>
        <v>1</v>
      </c>
      <c r="AE188" s="7" t="n">
        <f aca="false">IF(AND(O188=1,I188&gt;=Inputs!$B$6,I188&lt;=Inputs!$B$7),1,0)</f>
        <v>0</v>
      </c>
      <c r="AF188" s="7" t="n">
        <f aca="false">IF(AND(E188="Closed Won",I188&gt;=Inputs!$B$6,I188&lt;=Inputs!$B$4),1,0)</f>
        <v>0</v>
      </c>
      <c r="AG188" s="7" t="n">
        <f aca="false">IF(AND(O188=0,I188&gt;Inputs!$B$4-Inputs!$B$8,I188&lt;=Inputs!$B$4),1,0)</f>
        <v>1</v>
      </c>
      <c r="AH188" s="7" t="n">
        <f aca="false">I188-H188</f>
        <v>84</v>
      </c>
    </row>
    <row r="189" customFormat="false" ht="15" hidden="false" customHeight="false" outlineLevel="0" collapsed="false">
      <c r="A189" s="16" t="s">
        <v>1033</v>
      </c>
      <c r="B189" s="16" t="s">
        <v>408</v>
      </c>
      <c r="C189" s="16" t="s">
        <v>1034</v>
      </c>
      <c r="D189" s="16" t="s">
        <v>165</v>
      </c>
      <c r="E189" s="16" t="s">
        <v>527</v>
      </c>
      <c r="F189" s="26" t="n">
        <v>60208000</v>
      </c>
      <c r="G189" s="25" t="n">
        <v>25</v>
      </c>
      <c r="H189" s="22" t="n">
        <v>46131</v>
      </c>
      <c r="I189" s="22" t="n">
        <v>46520</v>
      </c>
      <c r="J189" s="22" t="n">
        <v>46274</v>
      </c>
      <c r="K189" s="16" t="s">
        <v>831</v>
      </c>
      <c r="L189" s="16" t="s">
        <v>500</v>
      </c>
      <c r="M189" s="16" t="s">
        <v>619</v>
      </c>
      <c r="N189" s="16"/>
      <c r="O189" s="7" t="n">
        <f aca="false">IF(OR(E189="Closed Won",E189="Closed Lost"),0,1)</f>
        <v>1</v>
      </c>
      <c r="P189" s="17" t="str">
        <f aca="false">INDEX(Accounts!$K$5:$K$336,MATCH(B189,Accounts!$A$5:$A$336,0))</f>
        <v>Unassigned</v>
      </c>
      <c r="Q189" s="17" t="str">
        <f aca="false">INDEX(Accounts!$D$5:$D$336,MATCH(B189,Accounts!$A$5:$A$336,0))</f>
        <v>Standard</v>
      </c>
      <c r="R189" s="7" t="n">
        <f aca="false">INDEX(Inputs!$B$11:$B$16,MATCH(E189,Inputs!$A$11:$A$16,0))</f>
        <v>25</v>
      </c>
      <c r="S189" s="27" t="n">
        <f aca="false">IF(F189="",0,F189)*R189/100</f>
        <v>15052000</v>
      </c>
      <c r="T189" s="7" t="n">
        <f aca="false">Inputs!$B$4-J189</f>
        <v>40</v>
      </c>
      <c r="U189" s="7" t="n">
        <f aca="false">IF(OR(F189="",F189=0),1,0)</f>
        <v>0</v>
      </c>
      <c r="V189" s="7" t="n">
        <f aca="false">IF(K189="",1,0)</f>
        <v>0</v>
      </c>
      <c r="W189" s="7" t="n">
        <f aca="false">IF(AND(O189=1,K189&lt;&gt;"",COUNTIFS(Owners!$A$5:$A$32,K189,Owners!$E$5:$E$32,"No")&gt;0),1,0)</f>
        <v>0</v>
      </c>
      <c r="X189" s="7" t="n">
        <f aca="false">IF(AND(O189=1,I189&lt;Inputs!$B$4),1,0)</f>
        <v>0</v>
      </c>
      <c r="Y189" s="7" t="n">
        <f aca="false">IF(AND(O189=1,T189&gt;Inputs!$B$5),1,0)</f>
        <v>0</v>
      </c>
      <c r="Z189" s="7" t="n">
        <f aca="false">IF(AND(O189=1,G189&lt;&gt;R189),1,0)</f>
        <v>0</v>
      </c>
      <c r="AA189" s="7" t="n">
        <f aca="false">IF(AND(O189=1,M189=""),1,0)</f>
        <v>0</v>
      </c>
      <c r="AB189" s="7" t="n">
        <f aca="false">IF(AND(E189="Closed Lost",N189=""),1,0)</f>
        <v>0</v>
      </c>
      <c r="AC189" s="7" t="n">
        <f aca="false">SUM(U189:AB189)</f>
        <v>0</v>
      </c>
      <c r="AD189" s="7" t="n">
        <f aca="false">IF(AC189=0,1,0)</f>
        <v>1</v>
      </c>
      <c r="AE189" s="7" t="n">
        <f aca="false">IF(AND(O189=1,I189&gt;=Inputs!$B$6,I189&lt;=Inputs!$B$7),1,0)</f>
        <v>1</v>
      </c>
      <c r="AF189" s="7" t="n">
        <f aca="false">IF(AND(E189="Closed Won",I189&gt;=Inputs!$B$6,I189&lt;=Inputs!$B$4),1,0)</f>
        <v>0</v>
      </c>
      <c r="AG189" s="7" t="n">
        <f aca="false">IF(AND(O189=0,I189&gt;Inputs!$B$4-Inputs!$B$8,I189&lt;=Inputs!$B$4),1,0)</f>
        <v>0</v>
      </c>
      <c r="AH189" s="7" t="n">
        <f aca="false">I189-H189</f>
        <v>389</v>
      </c>
    </row>
    <row r="190" customFormat="false" ht="15" hidden="false" customHeight="false" outlineLevel="0" collapsed="false">
      <c r="A190" s="16" t="s">
        <v>1035</v>
      </c>
      <c r="B190" s="16" t="s">
        <v>89</v>
      </c>
      <c r="C190" s="16" t="s">
        <v>1036</v>
      </c>
      <c r="D190" s="16" t="s">
        <v>167</v>
      </c>
      <c r="E190" s="16" t="s">
        <v>530</v>
      </c>
      <c r="F190" s="26" t="n">
        <v>0</v>
      </c>
      <c r="G190" s="25" t="n">
        <v>100</v>
      </c>
      <c r="H190" s="22" t="n">
        <v>46177</v>
      </c>
      <c r="I190" s="22" t="n">
        <v>46278</v>
      </c>
      <c r="J190" s="22" t="n">
        <v>46278</v>
      </c>
      <c r="K190" s="16" t="s">
        <v>633</v>
      </c>
      <c r="L190" s="16" t="s">
        <v>584</v>
      </c>
      <c r="M190" s="16"/>
      <c r="N190" s="16"/>
      <c r="O190" s="7" t="n">
        <f aca="false">IF(OR(E190="Closed Won",E190="Closed Lost"),0,1)</f>
        <v>0</v>
      </c>
      <c r="P190" s="17" t="str">
        <f aca="false">INDEX(Accounts!$K$5:$K$336,MATCH(B190,Accounts!$A$5:$A$336,0))</f>
        <v>Agribusiness</v>
      </c>
      <c r="Q190" s="17" t="str">
        <f aca="false">INDEX(Accounts!$D$5:$D$336,MATCH(B190,Accounts!$A$5:$A$336,0))</f>
        <v>Priority</v>
      </c>
      <c r="R190" s="7" t="n">
        <f aca="false">INDEX(Inputs!$B$11:$B$16,MATCH(E190,Inputs!$A$11:$A$16,0))</f>
        <v>100</v>
      </c>
      <c r="S190" s="27" t="n">
        <f aca="false">IF(F190="",0,F190)*R190/100</f>
        <v>0</v>
      </c>
      <c r="T190" s="7" t="n">
        <f aca="false">Inputs!$B$4-J190</f>
        <v>36</v>
      </c>
      <c r="U190" s="7" t="n">
        <f aca="false">IF(OR(F190="",F190=0),1,0)</f>
        <v>1</v>
      </c>
      <c r="V190" s="7" t="n">
        <f aca="false">IF(K190="",1,0)</f>
        <v>0</v>
      </c>
      <c r="W190" s="7" t="n">
        <f aca="false">IF(AND(O190=1,K190&lt;&gt;"",COUNTIFS(Owners!$A$5:$A$32,K190,Owners!$E$5:$E$32,"No")&gt;0),1,0)</f>
        <v>0</v>
      </c>
      <c r="X190" s="7" t="n">
        <f aca="false">IF(AND(O190=1,I190&lt;Inputs!$B$4),1,0)</f>
        <v>0</v>
      </c>
      <c r="Y190" s="7" t="n">
        <f aca="false">IF(AND(O190=1,T190&gt;Inputs!$B$5),1,0)</f>
        <v>0</v>
      </c>
      <c r="Z190" s="7" t="n">
        <f aca="false">IF(AND(O190=1,G190&lt;&gt;R190),1,0)</f>
        <v>0</v>
      </c>
      <c r="AA190" s="7" t="n">
        <f aca="false">IF(AND(O190=1,M190=""),1,0)</f>
        <v>0</v>
      </c>
      <c r="AB190" s="7" t="n">
        <f aca="false">IF(AND(E190="Closed Lost",N190=""),1,0)</f>
        <v>0</v>
      </c>
      <c r="AC190" s="7" t="n">
        <f aca="false">SUM(U190:AB190)</f>
        <v>1</v>
      </c>
      <c r="AD190" s="7" t="n">
        <f aca="false">IF(AC190=0,1,0)</f>
        <v>0</v>
      </c>
      <c r="AE190" s="7" t="n">
        <f aca="false">IF(AND(O190=1,I190&gt;=Inputs!$B$6,I190&lt;=Inputs!$B$7),1,0)</f>
        <v>0</v>
      </c>
      <c r="AF190" s="7" t="n">
        <f aca="false">IF(AND(E190="Closed Won",I190&gt;=Inputs!$B$6,I190&lt;=Inputs!$B$4),1,0)</f>
        <v>1</v>
      </c>
      <c r="AG190" s="7" t="n">
        <f aca="false">IF(AND(O190=0,I190&gt;Inputs!$B$4-Inputs!$B$8,I190&lt;=Inputs!$B$4),1,0)</f>
        <v>1</v>
      </c>
      <c r="AH190" s="7" t="n">
        <f aca="false">I190-H190</f>
        <v>101</v>
      </c>
    </row>
    <row r="191" customFormat="false" ht="15" hidden="false" customHeight="false" outlineLevel="0" collapsed="false">
      <c r="A191" s="16" t="s">
        <v>1037</v>
      </c>
      <c r="B191" s="16" t="s">
        <v>439</v>
      </c>
      <c r="C191" s="16" t="s">
        <v>1038</v>
      </c>
      <c r="D191" s="16" t="s">
        <v>162</v>
      </c>
      <c r="E191" s="16" t="s">
        <v>531</v>
      </c>
      <c r="F191" s="26" t="n">
        <v>42797000</v>
      </c>
      <c r="G191" s="25" t="n">
        <v>0</v>
      </c>
      <c r="H191" s="22" t="n">
        <v>46047</v>
      </c>
      <c r="I191" s="22" t="n">
        <v>46119</v>
      </c>
      <c r="J191" s="22" t="n">
        <v>46119</v>
      </c>
      <c r="K191" s="16" t="s">
        <v>578</v>
      </c>
      <c r="L191" s="16" t="s">
        <v>568</v>
      </c>
      <c r="M191" s="16"/>
      <c r="N191" s="16" t="s">
        <v>697</v>
      </c>
      <c r="O191" s="7" t="n">
        <f aca="false">IF(OR(E191="Closed Won",E191="Closed Lost"),0,1)</f>
        <v>0</v>
      </c>
      <c r="P191" s="17" t="str">
        <f aca="false">INDEX(Accounts!$K$5:$K$336,MATCH(B191,Accounts!$A$5:$A$336,0))</f>
        <v>Unassigned</v>
      </c>
      <c r="Q191" s="17" t="str">
        <f aca="false">INDEX(Accounts!$D$5:$D$336,MATCH(B191,Accounts!$A$5:$A$336,0))</f>
        <v>Standard</v>
      </c>
      <c r="R191" s="7" t="n">
        <f aca="false">INDEX(Inputs!$B$11:$B$16,MATCH(E191,Inputs!$A$11:$A$16,0))</f>
        <v>0</v>
      </c>
      <c r="S191" s="27" t="n">
        <f aca="false">IF(F191="",0,F191)*R191/100</f>
        <v>0</v>
      </c>
      <c r="T191" s="7" t="n">
        <f aca="false">Inputs!$B$4-J191</f>
        <v>195</v>
      </c>
      <c r="U191" s="7" t="n">
        <f aca="false">IF(OR(F191="",F191=0),1,0)</f>
        <v>0</v>
      </c>
      <c r="V191" s="7" t="n">
        <f aca="false">IF(K191="",1,0)</f>
        <v>0</v>
      </c>
      <c r="W191" s="7" t="n">
        <f aca="false">IF(AND(O191=1,K191&lt;&gt;"",COUNTIFS(Owners!$A$5:$A$32,K191,Owners!$E$5:$E$32,"No")&gt;0),1,0)</f>
        <v>0</v>
      </c>
      <c r="X191" s="7" t="n">
        <f aca="false">IF(AND(O191=1,I191&lt;Inputs!$B$4),1,0)</f>
        <v>0</v>
      </c>
      <c r="Y191" s="7" t="n">
        <f aca="false">IF(AND(O191=1,T191&gt;Inputs!$B$5),1,0)</f>
        <v>0</v>
      </c>
      <c r="Z191" s="7" t="n">
        <f aca="false">IF(AND(O191=1,G191&lt;&gt;R191),1,0)</f>
        <v>0</v>
      </c>
      <c r="AA191" s="7" t="n">
        <f aca="false">IF(AND(O191=1,M191=""),1,0)</f>
        <v>0</v>
      </c>
      <c r="AB191" s="7" t="n">
        <f aca="false">IF(AND(E191="Closed Lost",N191=""),1,0)</f>
        <v>0</v>
      </c>
      <c r="AC191" s="7" t="n">
        <f aca="false">SUM(U191:AB191)</f>
        <v>0</v>
      </c>
      <c r="AD191" s="7" t="n">
        <f aca="false">IF(AC191=0,1,0)</f>
        <v>1</v>
      </c>
      <c r="AE191" s="7" t="n">
        <f aca="false">IF(AND(O191=1,I191&gt;=Inputs!$B$6,I191&lt;=Inputs!$B$7),1,0)</f>
        <v>0</v>
      </c>
      <c r="AF191" s="7" t="n">
        <f aca="false">IF(AND(E191="Closed Won",I191&gt;=Inputs!$B$6,I191&lt;=Inputs!$B$4),1,0)</f>
        <v>0</v>
      </c>
      <c r="AG191" s="7" t="n">
        <f aca="false">IF(AND(O191=0,I191&gt;Inputs!$B$4-Inputs!$B$8,I191&lt;=Inputs!$B$4),1,0)</f>
        <v>1</v>
      </c>
      <c r="AH191" s="7" t="n">
        <f aca="false">I191-H191</f>
        <v>72</v>
      </c>
    </row>
    <row r="192" customFormat="false" ht="15" hidden="false" customHeight="false" outlineLevel="0" collapsed="false">
      <c r="A192" s="16" t="s">
        <v>1039</v>
      </c>
      <c r="B192" s="16" t="s">
        <v>460</v>
      </c>
      <c r="C192" s="16" t="s">
        <v>1040</v>
      </c>
      <c r="D192" s="16" t="s">
        <v>158</v>
      </c>
      <c r="E192" s="16" t="s">
        <v>530</v>
      </c>
      <c r="F192" s="26" t="n">
        <v>72592000</v>
      </c>
      <c r="G192" s="25" t="n">
        <v>100</v>
      </c>
      <c r="H192" s="22" t="n">
        <v>46110</v>
      </c>
      <c r="I192" s="22" t="n">
        <v>46214</v>
      </c>
      <c r="J192" s="22" t="n">
        <v>46214</v>
      </c>
      <c r="K192" s="16" t="s">
        <v>596</v>
      </c>
      <c r="L192" s="16" t="s">
        <v>568</v>
      </c>
      <c r="M192" s="16"/>
      <c r="N192" s="16"/>
      <c r="O192" s="7" t="n">
        <f aca="false">IF(OR(E192="Closed Won",E192="Closed Lost"),0,1)</f>
        <v>0</v>
      </c>
      <c r="P192" s="17" t="str">
        <f aca="false">INDEX(Accounts!$K$5:$K$336,MATCH(B192,Accounts!$A$5:$A$336,0))</f>
        <v>Consumer &amp; Retail</v>
      </c>
      <c r="Q192" s="17" t="str">
        <f aca="false">INDEX(Accounts!$D$5:$D$336,MATCH(B192,Accounts!$A$5:$A$336,0))</f>
        <v>Standard</v>
      </c>
      <c r="R192" s="7" t="n">
        <f aca="false">INDEX(Inputs!$B$11:$B$16,MATCH(E192,Inputs!$A$11:$A$16,0))</f>
        <v>100</v>
      </c>
      <c r="S192" s="27" t="n">
        <f aca="false">IF(F192="",0,F192)*R192/100</f>
        <v>72592000</v>
      </c>
      <c r="T192" s="7" t="n">
        <f aca="false">Inputs!$B$4-J192</f>
        <v>100</v>
      </c>
      <c r="U192" s="7" t="n">
        <f aca="false">IF(OR(F192="",F192=0),1,0)</f>
        <v>0</v>
      </c>
      <c r="V192" s="7" t="n">
        <f aca="false">IF(K192="",1,0)</f>
        <v>0</v>
      </c>
      <c r="W192" s="7" t="n">
        <f aca="false">IF(AND(O192=1,K192&lt;&gt;"",COUNTIFS(Owners!$A$5:$A$32,K192,Owners!$E$5:$E$32,"No")&gt;0),1,0)</f>
        <v>0</v>
      </c>
      <c r="X192" s="7" t="n">
        <f aca="false">IF(AND(O192=1,I192&lt;Inputs!$B$4),1,0)</f>
        <v>0</v>
      </c>
      <c r="Y192" s="7" t="n">
        <f aca="false">IF(AND(O192=1,T192&gt;Inputs!$B$5),1,0)</f>
        <v>0</v>
      </c>
      <c r="Z192" s="7" t="n">
        <f aca="false">IF(AND(O192=1,G192&lt;&gt;R192),1,0)</f>
        <v>0</v>
      </c>
      <c r="AA192" s="7" t="n">
        <f aca="false">IF(AND(O192=1,M192=""),1,0)</f>
        <v>0</v>
      </c>
      <c r="AB192" s="7" t="n">
        <f aca="false">IF(AND(E192="Closed Lost",N192=""),1,0)</f>
        <v>0</v>
      </c>
      <c r="AC192" s="7" t="n">
        <f aca="false">SUM(U192:AB192)</f>
        <v>0</v>
      </c>
      <c r="AD192" s="7" t="n">
        <f aca="false">IF(AC192=0,1,0)</f>
        <v>1</v>
      </c>
      <c r="AE192" s="7" t="n">
        <f aca="false">IF(AND(O192=1,I192&gt;=Inputs!$B$6,I192&lt;=Inputs!$B$7),1,0)</f>
        <v>0</v>
      </c>
      <c r="AF192" s="7" t="n">
        <f aca="false">IF(AND(E192="Closed Won",I192&gt;=Inputs!$B$6,I192&lt;=Inputs!$B$4),1,0)</f>
        <v>1</v>
      </c>
      <c r="AG192" s="7" t="n">
        <f aca="false">IF(AND(O192=0,I192&gt;Inputs!$B$4-Inputs!$B$8,I192&lt;=Inputs!$B$4),1,0)</f>
        <v>1</v>
      </c>
      <c r="AH192" s="7" t="n">
        <f aca="false">I192-H192</f>
        <v>104</v>
      </c>
    </row>
    <row r="193" customFormat="false" ht="15" hidden="false" customHeight="false" outlineLevel="0" collapsed="false">
      <c r="A193" s="16" t="s">
        <v>1041</v>
      </c>
      <c r="B193" s="16" t="s">
        <v>456</v>
      </c>
      <c r="C193" s="16" t="s">
        <v>1042</v>
      </c>
      <c r="D193" s="16" t="s">
        <v>158</v>
      </c>
      <c r="E193" s="16" t="s">
        <v>526</v>
      </c>
      <c r="F193" s="26"/>
      <c r="G193" s="25" t="n">
        <v>10</v>
      </c>
      <c r="H193" s="22" t="n">
        <v>46234</v>
      </c>
      <c r="I193" s="22" t="n">
        <v>46412</v>
      </c>
      <c r="J193" s="22" t="n">
        <v>46293</v>
      </c>
      <c r="K193" s="16" t="s">
        <v>622</v>
      </c>
      <c r="L193" s="16" t="s">
        <v>592</v>
      </c>
      <c r="M193" s="16" t="s">
        <v>575</v>
      </c>
      <c r="N193" s="16"/>
      <c r="O193" s="7" t="n">
        <f aca="false">IF(OR(E193="Closed Won",E193="Closed Lost"),0,1)</f>
        <v>1</v>
      </c>
      <c r="P193" s="17" t="str">
        <f aca="false">INDEX(Accounts!$K$5:$K$336,MATCH(B193,Accounts!$A$5:$A$336,0))</f>
        <v>Agribusiness</v>
      </c>
      <c r="Q193" s="17" t="str">
        <f aca="false">INDEX(Accounts!$D$5:$D$336,MATCH(B193,Accounts!$A$5:$A$336,0))</f>
        <v>Key</v>
      </c>
      <c r="R193" s="7" t="n">
        <f aca="false">INDEX(Inputs!$B$11:$B$16,MATCH(E193,Inputs!$A$11:$A$16,0))</f>
        <v>10</v>
      </c>
      <c r="S193" s="27" t="n">
        <f aca="false">IF(F193="",0,F193)*R193/100</f>
        <v>0</v>
      </c>
      <c r="T193" s="7" t="n">
        <f aca="false">Inputs!$B$4-J193</f>
        <v>21</v>
      </c>
      <c r="U193" s="7" t="n">
        <f aca="false">IF(OR(F193="",F193=0),1,0)</f>
        <v>1</v>
      </c>
      <c r="V193" s="7" t="n">
        <f aca="false">IF(K193="",1,0)</f>
        <v>0</v>
      </c>
      <c r="W193" s="7" t="n">
        <f aca="false">IF(AND(O193=1,K193&lt;&gt;"",COUNTIFS(Owners!$A$5:$A$32,K193,Owners!$E$5:$E$32,"No")&gt;0),1,0)</f>
        <v>0</v>
      </c>
      <c r="X193" s="7" t="n">
        <f aca="false">IF(AND(O193=1,I193&lt;Inputs!$B$4),1,0)</f>
        <v>0</v>
      </c>
      <c r="Y193" s="7" t="n">
        <f aca="false">IF(AND(O193=1,T193&gt;Inputs!$B$5),1,0)</f>
        <v>0</v>
      </c>
      <c r="Z193" s="7" t="n">
        <f aca="false">IF(AND(O193=1,G193&lt;&gt;R193),1,0)</f>
        <v>0</v>
      </c>
      <c r="AA193" s="7" t="n">
        <f aca="false">IF(AND(O193=1,M193=""),1,0)</f>
        <v>0</v>
      </c>
      <c r="AB193" s="7" t="n">
        <f aca="false">IF(AND(E193="Closed Lost",N193=""),1,0)</f>
        <v>0</v>
      </c>
      <c r="AC193" s="7" t="n">
        <f aca="false">SUM(U193:AB193)</f>
        <v>1</v>
      </c>
      <c r="AD193" s="7" t="n">
        <f aca="false">IF(AC193=0,1,0)</f>
        <v>0</v>
      </c>
      <c r="AE193" s="7" t="n">
        <f aca="false">IF(AND(O193=1,I193&gt;=Inputs!$B$6,I193&lt;=Inputs!$B$7),1,0)</f>
        <v>1</v>
      </c>
      <c r="AF193" s="7" t="n">
        <f aca="false">IF(AND(E193="Closed Won",I193&gt;=Inputs!$B$6,I193&lt;=Inputs!$B$4),1,0)</f>
        <v>0</v>
      </c>
      <c r="AG193" s="7" t="n">
        <f aca="false">IF(AND(O193=0,I193&gt;Inputs!$B$4-Inputs!$B$8,I193&lt;=Inputs!$B$4),1,0)</f>
        <v>0</v>
      </c>
      <c r="AH193" s="7" t="n">
        <f aca="false">I193-H193</f>
        <v>178</v>
      </c>
    </row>
    <row r="194" customFormat="false" ht="15" hidden="false" customHeight="false" outlineLevel="0" collapsed="false">
      <c r="A194" s="16" t="s">
        <v>1043</v>
      </c>
      <c r="B194" s="16" t="s">
        <v>90</v>
      </c>
      <c r="C194" s="16" t="s">
        <v>1044</v>
      </c>
      <c r="D194" s="16" t="s">
        <v>162</v>
      </c>
      <c r="E194" s="16" t="s">
        <v>531</v>
      </c>
      <c r="F194" s="26" t="n">
        <v>18380000</v>
      </c>
      <c r="G194" s="25" t="n">
        <v>0</v>
      </c>
      <c r="H194" s="22" t="n">
        <v>45908</v>
      </c>
      <c r="I194" s="22" t="n">
        <v>46157</v>
      </c>
      <c r="J194" s="22" t="n">
        <v>46157</v>
      </c>
      <c r="K194" s="16" t="s">
        <v>646</v>
      </c>
      <c r="L194" s="16" t="s">
        <v>568</v>
      </c>
      <c r="M194" s="16"/>
      <c r="N194" s="16" t="s">
        <v>713</v>
      </c>
      <c r="O194" s="7" t="n">
        <f aca="false">IF(OR(E194="Closed Won",E194="Closed Lost"),0,1)</f>
        <v>0</v>
      </c>
      <c r="P194" s="17" t="str">
        <f aca="false">INDEX(Accounts!$K$5:$K$336,MATCH(B194,Accounts!$A$5:$A$336,0))</f>
        <v>Financial Services</v>
      </c>
      <c r="Q194" s="17" t="str">
        <f aca="false">INDEX(Accounts!$D$5:$D$336,MATCH(B194,Accounts!$A$5:$A$336,0))</f>
        <v>Priority</v>
      </c>
      <c r="R194" s="7" t="n">
        <f aca="false">INDEX(Inputs!$B$11:$B$16,MATCH(E194,Inputs!$A$11:$A$16,0))</f>
        <v>0</v>
      </c>
      <c r="S194" s="27" t="n">
        <f aca="false">IF(F194="",0,F194)*R194/100</f>
        <v>0</v>
      </c>
      <c r="T194" s="7" t="n">
        <f aca="false">Inputs!$B$4-J194</f>
        <v>157</v>
      </c>
      <c r="U194" s="7" t="n">
        <f aca="false">IF(OR(F194="",F194=0),1,0)</f>
        <v>0</v>
      </c>
      <c r="V194" s="7" t="n">
        <f aca="false">IF(K194="",1,0)</f>
        <v>0</v>
      </c>
      <c r="W194" s="7" t="n">
        <f aca="false">IF(AND(O194=1,K194&lt;&gt;"",COUNTIFS(Owners!$A$5:$A$32,K194,Owners!$E$5:$E$32,"No")&gt;0),1,0)</f>
        <v>0</v>
      </c>
      <c r="X194" s="7" t="n">
        <f aca="false">IF(AND(O194=1,I194&lt;Inputs!$B$4),1,0)</f>
        <v>0</v>
      </c>
      <c r="Y194" s="7" t="n">
        <f aca="false">IF(AND(O194=1,T194&gt;Inputs!$B$5),1,0)</f>
        <v>0</v>
      </c>
      <c r="Z194" s="7" t="n">
        <f aca="false">IF(AND(O194=1,G194&lt;&gt;R194),1,0)</f>
        <v>0</v>
      </c>
      <c r="AA194" s="7" t="n">
        <f aca="false">IF(AND(O194=1,M194=""),1,0)</f>
        <v>0</v>
      </c>
      <c r="AB194" s="7" t="n">
        <f aca="false">IF(AND(E194="Closed Lost",N194=""),1,0)</f>
        <v>0</v>
      </c>
      <c r="AC194" s="7" t="n">
        <f aca="false">SUM(U194:AB194)</f>
        <v>0</v>
      </c>
      <c r="AD194" s="7" t="n">
        <f aca="false">IF(AC194=0,1,0)</f>
        <v>1</v>
      </c>
      <c r="AE194" s="7" t="n">
        <f aca="false">IF(AND(O194=1,I194&gt;=Inputs!$B$6,I194&lt;=Inputs!$B$7),1,0)</f>
        <v>0</v>
      </c>
      <c r="AF194" s="7" t="n">
        <f aca="false">IF(AND(E194="Closed Won",I194&gt;=Inputs!$B$6,I194&lt;=Inputs!$B$4),1,0)</f>
        <v>0</v>
      </c>
      <c r="AG194" s="7" t="n">
        <f aca="false">IF(AND(O194=0,I194&gt;Inputs!$B$4-Inputs!$B$8,I194&lt;=Inputs!$B$4),1,0)</f>
        <v>1</v>
      </c>
      <c r="AH194" s="7" t="n">
        <f aca="false">I194-H194</f>
        <v>249</v>
      </c>
    </row>
    <row r="195" customFormat="false" ht="15" hidden="false" customHeight="false" outlineLevel="0" collapsed="false">
      <c r="A195" s="16" t="s">
        <v>1045</v>
      </c>
      <c r="B195" s="16" t="s">
        <v>86</v>
      </c>
      <c r="C195" s="16" t="s">
        <v>1046</v>
      </c>
      <c r="D195" s="16" t="s">
        <v>165</v>
      </c>
      <c r="E195" s="16" t="s">
        <v>530</v>
      </c>
      <c r="F195" s="26"/>
      <c r="G195" s="25" t="n">
        <v>100</v>
      </c>
      <c r="H195" s="22" t="n">
        <v>46095</v>
      </c>
      <c r="I195" s="22" t="n">
        <v>46261</v>
      </c>
      <c r="J195" s="22" t="n">
        <v>46261</v>
      </c>
      <c r="K195" s="16" t="s">
        <v>573</v>
      </c>
      <c r="L195" s="16" t="s">
        <v>609</v>
      </c>
      <c r="M195" s="16"/>
      <c r="N195" s="16"/>
      <c r="O195" s="7" t="n">
        <f aca="false">IF(OR(E195="Closed Won",E195="Closed Lost"),0,1)</f>
        <v>0</v>
      </c>
      <c r="P195" s="17" t="str">
        <f aca="false">INDEX(Accounts!$K$5:$K$336,MATCH(B195,Accounts!$A$5:$A$336,0))</f>
        <v>Technology, Media &amp; Telecom</v>
      </c>
      <c r="Q195" s="17" t="str">
        <f aca="false">INDEX(Accounts!$D$5:$D$336,MATCH(B195,Accounts!$A$5:$A$336,0))</f>
        <v>Priority</v>
      </c>
      <c r="R195" s="7" t="n">
        <f aca="false">INDEX(Inputs!$B$11:$B$16,MATCH(E195,Inputs!$A$11:$A$16,0))</f>
        <v>100</v>
      </c>
      <c r="S195" s="27" t="n">
        <f aca="false">IF(F195="",0,F195)*R195/100</f>
        <v>0</v>
      </c>
      <c r="T195" s="7" t="n">
        <f aca="false">Inputs!$B$4-J195</f>
        <v>53</v>
      </c>
      <c r="U195" s="7" t="n">
        <f aca="false">IF(OR(F195="",F195=0),1,0)</f>
        <v>1</v>
      </c>
      <c r="V195" s="7" t="n">
        <f aca="false">IF(K195="",1,0)</f>
        <v>0</v>
      </c>
      <c r="W195" s="7" t="n">
        <f aca="false">IF(AND(O195=1,K195&lt;&gt;"",COUNTIFS(Owners!$A$5:$A$32,K195,Owners!$E$5:$E$32,"No")&gt;0),1,0)</f>
        <v>0</v>
      </c>
      <c r="X195" s="7" t="n">
        <f aca="false">IF(AND(O195=1,I195&lt;Inputs!$B$4),1,0)</f>
        <v>0</v>
      </c>
      <c r="Y195" s="7" t="n">
        <f aca="false">IF(AND(O195=1,T195&gt;Inputs!$B$5),1,0)</f>
        <v>0</v>
      </c>
      <c r="Z195" s="7" t="n">
        <f aca="false">IF(AND(O195=1,G195&lt;&gt;R195),1,0)</f>
        <v>0</v>
      </c>
      <c r="AA195" s="7" t="n">
        <f aca="false">IF(AND(O195=1,M195=""),1,0)</f>
        <v>0</v>
      </c>
      <c r="AB195" s="7" t="n">
        <f aca="false">IF(AND(E195="Closed Lost",N195=""),1,0)</f>
        <v>0</v>
      </c>
      <c r="AC195" s="7" t="n">
        <f aca="false">SUM(U195:AB195)</f>
        <v>1</v>
      </c>
      <c r="AD195" s="7" t="n">
        <f aca="false">IF(AC195=0,1,0)</f>
        <v>0</v>
      </c>
      <c r="AE195" s="7" t="n">
        <f aca="false">IF(AND(O195=1,I195&gt;=Inputs!$B$6,I195&lt;=Inputs!$B$7),1,0)</f>
        <v>0</v>
      </c>
      <c r="AF195" s="7" t="n">
        <f aca="false">IF(AND(E195="Closed Won",I195&gt;=Inputs!$B$6,I195&lt;=Inputs!$B$4),1,0)</f>
        <v>1</v>
      </c>
      <c r="AG195" s="7" t="n">
        <f aca="false">IF(AND(O195=0,I195&gt;Inputs!$B$4-Inputs!$B$8,I195&lt;=Inputs!$B$4),1,0)</f>
        <v>1</v>
      </c>
      <c r="AH195" s="7" t="n">
        <f aca="false">I195-H195</f>
        <v>166</v>
      </c>
    </row>
    <row r="196" customFormat="false" ht="15" hidden="false" customHeight="false" outlineLevel="0" collapsed="false">
      <c r="A196" s="16" t="s">
        <v>1047</v>
      </c>
      <c r="B196" s="16" t="s">
        <v>355</v>
      </c>
      <c r="C196" s="16" t="s">
        <v>1048</v>
      </c>
      <c r="D196" s="16" t="s">
        <v>165</v>
      </c>
      <c r="E196" s="16" t="s">
        <v>529</v>
      </c>
      <c r="F196" s="26"/>
      <c r="G196" s="25" t="n">
        <v>75</v>
      </c>
      <c r="H196" s="22" t="n">
        <v>46189</v>
      </c>
      <c r="I196" s="22" t="n">
        <v>46463</v>
      </c>
      <c r="J196" s="22" t="n">
        <v>46304</v>
      </c>
      <c r="K196" s="16" t="s">
        <v>591</v>
      </c>
      <c r="L196" s="16" t="s">
        <v>584</v>
      </c>
      <c r="M196" s="16" t="s">
        <v>613</v>
      </c>
      <c r="N196" s="16"/>
      <c r="O196" s="7" t="n">
        <f aca="false">IF(OR(E196="Closed Won",E196="Closed Lost"),0,1)</f>
        <v>1</v>
      </c>
      <c r="P196" s="17" t="str">
        <f aca="false">INDEX(Accounts!$K$5:$K$336,MATCH(B196,Accounts!$A$5:$A$336,0))</f>
        <v>Consumer &amp; Retail</v>
      </c>
      <c r="Q196" s="17" t="str">
        <f aca="false">INDEX(Accounts!$D$5:$D$336,MATCH(B196,Accounts!$A$5:$A$336,0))</f>
        <v>Standard</v>
      </c>
      <c r="R196" s="7" t="n">
        <f aca="false">INDEX(Inputs!$B$11:$B$16,MATCH(E196,Inputs!$A$11:$A$16,0))</f>
        <v>75</v>
      </c>
      <c r="S196" s="27" t="n">
        <f aca="false">IF(F196="",0,F196)*R196/100</f>
        <v>0</v>
      </c>
      <c r="T196" s="7" t="n">
        <f aca="false">Inputs!$B$4-J196</f>
        <v>10</v>
      </c>
      <c r="U196" s="7" t="n">
        <f aca="false">IF(OR(F196="",F196=0),1,0)</f>
        <v>1</v>
      </c>
      <c r="V196" s="7" t="n">
        <f aca="false">IF(K196="",1,0)</f>
        <v>0</v>
      </c>
      <c r="W196" s="7" t="n">
        <f aca="false">IF(AND(O196=1,K196&lt;&gt;"",COUNTIFS(Owners!$A$5:$A$32,K196,Owners!$E$5:$E$32,"No")&gt;0),1,0)</f>
        <v>0</v>
      </c>
      <c r="X196" s="7" t="n">
        <f aca="false">IF(AND(O196=1,I196&lt;Inputs!$B$4),1,0)</f>
        <v>0</v>
      </c>
      <c r="Y196" s="7" t="n">
        <f aca="false">IF(AND(O196=1,T196&gt;Inputs!$B$5),1,0)</f>
        <v>0</v>
      </c>
      <c r="Z196" s="7" t="n">
        <f aca="false">IF(AND(O196=1,G196&lt;&gt;R196),1,0)</f>
        <v>0</v>
      </c>
      <c r="AA196" s="7" t="n">
        <f aca="false">IF(AND(O196=1,M196=""),1,0)</f>
        <v>0</v>
      </c>
      <c r="AB196" s="7" t="n">
        <f aca="false">IF(AND(E196="Closed Lost",N196=""),1,0)</f>
        <v>0</v>
      </c>
      <c r="AC196" s="7" t="n">
        <f aca="false">SUM(U196:AB196)</f>
        <v>1</v>
      </c>
      <c r="AD196" s="7" t="n">
        <f aca="false">IF(AC196=0,1,0)</f>
        <v>0</v>
      </c>
      <c r="AE196" s="7" t="n">
        <f aca="false">IF(AND(O196=1,I196&gt;=Inputs!$B$6,I196&lt;=Inputs!$B$7),1,0)</f>
        <v>1</v>
      </c>
      <c r="AF196" s="7" t="n">
        <f aca="false">IF(AND(E196="Closed Won",I196&gt;=Inputs!$B$6,I196&lt;=Inputs!$B$4),1,0)</f>
        <v>0</v>
      </c>
      <c r="AG196" s="7" t="n">
        <f aca="false">IF(AND(O196=0,I196&gt;Inputs!$B$4-Inputs!$B$8,I196&lt;=Inputs!$B$4),1,0)</f>
        <v>0</v>
      </c>
      <c r="AH196" s="7" t="n">
        <f aca="false">I196-H196</f>
        <v>274</v>
      </c>
    </row>
    <row r="197" customFormat="false" ht="15" hidden="false" customHeight="false" outlineLevel="0" collapsed="false">
      <c r="A197" s="16" t="s">
        <v>1049</v>
      </c>
      <c r="B197" s="16" t="s">
        <v>182</v>
      </c>
      <c r="C197" s="16" t="s">
        <v>1050</v>
      </c>
      <c r="D197" s="16" t="s">
        <v>165</v>
      </c>
      <c r="E197" s="16" t="s">
        <v>531</v>
      </c>
      <c r="F197" s="26" t="n">
        <v>11300000</v>
      </c>
      <c r="G197" s="25" t="n">
        <v>0</v>
      </c>
      <c r="H197" s="22" t="n">
        <v>45907</v>
      </c>
      <c r="I197" s="22" t="n">
        <v>46094</v>
      </c>
      <c r="J197" s="22" t="n">
        <v>46094</v>
      </c>
      <c r="K197" s="16" t="s">
        <v>573</v>
      </c>
      <c r="L197" s="16" t="s">
        <v>584</v>
      </c>
      <c r="M197" s="16"/>
      <c r="N197" s="16" t="s">
        <v>713</v>
      </c>
      <c r="O197" s="7" t="n">
        <f aca="false">IF(OR(E197="Closed Won",E197="Closed Lost"),0,1)</f>
        <v>0</v>
      </c>
      <c r="P197" s="17" t="str">
        <f aca="false">INDEX(Accounts!$K$5:$K$336,MATCH(B197,Accounts!$A$5:$A$336,0))</f>
        <v>Public Sector &amp; Development</v>
      </c>
      <c r="Q197" s="17" t="str">
        <f aca="false">INDEX(Accounts!$D$5:$D$336,MATCH(B197,Accounts!$A$5:$A$336,0))</f>
        <v>Key</v>
      </c>
      <c r="R197" s="7" t="n">
        <f aca="false">INDEX(Inputs!$B$11:$B$16,MATCH(E197,Inputs!$A$11:$A$16,0))</f>
        <v>0</v>
      </c>
      <c r="S197" s="27" t="n">
        <f aca="false">IF(F197="",0,F197)*R197/100</f>
        <v>0</v>
      </c>
      <c r="T197" s="7" t="n">
        <f aca="false">Inputs!$B$4-J197</f>
        <v>220</v>
      </c>
      <c r="U197" s="7" t="n">
        <f aca="false">IF(OR(F197="",F197=0),1,0)</f>
        <v>0</v>
      </c>
      <c r="V197" s="7" t="n">
        <f aca="false">IF(K197="",1,0)</f>
        <v>0</v>
      </c>
      <c r="W197" s="7" t="n">
        <f aca="false">IF(AND(O197=1,K197&lt;&gt;"",COUNTIFS(Owners!$A$5:$A$32,K197,Owners!$E$5:$E$32,"No")&gt;0),1,0)</f>
        <v>0</v>
      </c>
      <c r="X197" s="7" t="n">
        <f aca="false">IF(AND(O197=1,I197&lt;Inputs!$B$4),1,0)</f>
        <v>0</v>
      </c>
      <c r="Y197" s="7" t="n">
        <f aca="false">IF(AND(O197=1,T197&gt;Inputs!$B$5),1,0)</f>
        <v>0</v>
      </c>
      <c r="Z197" s="7" t="n">
        <f aca="false">IF(AND(O197=1,G197&lt;&gt;R197),1,0)</f>
        <v>0</v>
      </c>
      <c r="AA197" s="7" t="n">
        <f aca="false">IF(AND(O197=1,M197=""),1,0)</f>
        <v>0</v>
      </c>
      <c r="AB197" s="7" t="n">
        <f aca="false">IF(AND(E197="Closed Lost",N197=""),1,0)</f>
        <v>0</v>
      </c>
      <c r="AC197" s="7" t="n">
        <f aca="false">SUM(U197:AB197)</f>
        <v>0</v>
      </c>
      <c r="AD197" s="7" t="n">
        <f aca="false">IF(AC197=0,1,0)</f>
        <v>1</v>
      </c>
      <c r="AE197" s="7" t="n">
        <f aca="false">IF(AND(O197=1,I197&gt;=Inputs!$B$6,I197&lt;=Inputs!$B$7),1,0)</f>
        <v>0</v>
      </c>
      <c r="AF197" s="7" t="n">
        <f aca="false">IF(AND(E197="Closed Won",I197&gt;=Inputs!$B$6,I197&lt;=Inputs!$B$4),1,0)</f>
        <v>0</v>
      </c>
      <c r="AG197" s="7" t="n">
        <f aca="false">IF(AND(O197=0,I197&gt;Inputs!$B$4-Inputs!$B$8,I197&lt;=Inputs!$B$4),1,0)</f>
        <v>1</v>
      </c>
      <c r="AH197" s="7" t="n">
        <f aca="false">I197-H197</f>
        <v>187</v>
      </c>
    </row>
    <row r="198" customFormat="false" ht="15" hidden="false" customHeight="false" outlineLevel="0" collapsed="false">
      <c r="A198" s="16" t="s">
        <v>1051</v>
      </c>
      <c r="B198" s="16" t="s">
        <v>269</v>
      </c>
      <c r="C198" s="16" t="s">
        <v>1052</v>
      </c>
      <c r="D198" s="16" t="s">
        <v>158</v>
      </c>
      <c r="E198" s="16" t="s">
        <v>526</v>
      </c>
      <c r="F198" s="26" t="n">
        <v>27140000</v>
      </c>
      <c r="G198" s="25" t="n">
        <v>10</v>
      </c>
      <c r="H198" s="22" t="n">
        <v>46202</v>
      </c>
      <c r="I198" s="22" t="n">
        <v>46379</v>
      </c>
      <c r="J198" s="22" t="n">
        <v>46165</v>
      </c>
      <c r="K198" s="16" t="s">
        <v>729</v>
      </c>
      <c r="L198" s="16" t="s">
        <v>609</v>
      </c>
      <c r="M198" s="16" t="s">
        <v>619</v>
      </c>
      <c r="N198" s="16"/>
      <c r="O198" s="7" t="n">
        <f aca="false">IF(OR(E198="Closed Won",E198="Closed Lost"),0,1)</f>
        <v>1</v>
      </c>
      <c r="P198" s="17" t="str">
        <f aca="false">INDEX(Accounts!$K$5:$K$336,MATCH(B198,Accounts!$A$5:$A$336,0))</f>
        <v>Technology, Media &amp; Telecom</v>
      </c>
      <c r="Q198" s="17" t="str">
        <f aca="false">INDEX(Accounts!$D$5:$D$336,MATCH(B198,Accounts!$A$5:$A$336,0))</f>
        <v>Key</v>
      </c>
      <c r="R198" s="7" t="n">
        <f aca="false">INDEX(Inputs!$B$11:$B$16,MATCH(E198,Inputs!$A$11:$A$16,0))</f>
        <v>10</v>
      </c>
      <c r="S198" s="27" t="n">
        <f aca="false">IF(F198="",0,F198)*R198/100</f>
        <v>2714000</v>
      </c>
      <c r="T198" s="7" t="n">
        <f aca="false">Inputs!$B$4-J198</f>
        <v>149</v>
      </c>
      <c r="U198" s="7" t="n">
        <f aca="false">IF(OR(F198="",F198=0),1,0)</f>
        <v>0</v>
      </c>
      <c r="V198" s="7" t="n">
        <f aca="false">IF(K198="",1,0)</f>
        <v>0</v>
      </c>
      <c r="W198" s="7" t="n">
        <f aca="false">IF(AND(O198=1,K198&lt;&gt;"",COUNTIFS(Owners!$A$5:$A$32,K198,Owners!$E$5:$E$32,"No")&gt;0),1,0)</f>
        <v>0</v>
      </c>
      <c r="X198" s="7" t="n">
        <f aca="false">IF(AND(O198=1,I198&lt;Inputs!$B$4),1,0)</f>
        <v>0</v>
      </c>
      <c r="Y198" s="7" t="n">
        <f aca="false">IF(AND(O198=1,T198&gt;Inputs!$B$5),1,0)</f>
        <v>1</v>
      </c>
      <c r="Z198" s="7" t="n">
        <f aca="false">IF(AND(O198=1,G198&lt;&gt;R198),1,0)</f>
        <v>0</v>
      </c>
      <c r="AA198" s="7" t="n">
        <f aca="false">IF(AND(O198=1,M198=""),1,0)</f>
        <v>0</v>
      </c>
      <c r="AB198" s="7" t="n">
        <f aca="false">IF(AND(E198="Closed Lost",N198=""),1,0)</f>
        <v>0</v>
      </c>
      <c r="AC198" s="7" t="n">
        <f aca="false">SUM(U198:AB198)</f>
        <v>1</v>
      </c>
      <c r="AD198" s="7" t="n">
        <f aca="false">IF(AC198=0,1,0)</f>
        <v>0</v>
      </c>
      <c r="AE198" s="7" t="n">
        <f aca="false">IF(AND(O198=1,I198&gt;=Inputs!$B$6,I198&lt;=Inputs!$B$7),1,0)</f>
        <v>1</v>
      </c>
      <c r="AF198" s="7" t="n">
        <f aca="false">IF(AND(E198="Closed Won",I198&gt;=Inputs!$B$6,I198&lt;=Inputs!$B$4),1,0)</f>
        <v>0</v>
      </c>
      <c r="AG198" s="7" t="n">
        <f aca="false">IF(AND(O198=0,I198&gt;Inputs!$B$4-Inputs!$B$8,I198&lt;=Inputs!$B$4),1,0)</f>
        <v>0</v>
      </c>
      <c r="AH198" s="7" t="n">
        <f aca="false">I198-H198</f>
        <v>177</v>
      </c>
    </row>
    <row r="199" customFormat="false" ht="15" hidden="false" customHeight="false" outlineLevel="0" collapsed="false">
      <c r="A199" s="16" t="s">
        <v>1053</v>
      </c>
      <c r="B199" s="16" t="s">
        <v>60</v>
      </c>
      <c r="C199" s="16" t="s">
        <v>1054</v>
      </c>
      <c r="D199" s="16" t="s">
        <v>167</v>
      </c>
      <c r="E199" s="16" t="s">
        <v>526</v>
      </c>
      <c r="F199" s="26" t="n">
        <v>10671000</v>
      </c>
      <c r="G199" s="25" t="n">
        <v>10</v>
      </c>
      <c r="H199" s="22" t="n">
        <v>46190</v>
      </c>
      <c r="I199" s="22" t="n">
        <v>46571</v>
      </c>
      <c r="J199" s="22" t="n">
        <v>46289</v>
      </c>
      <c r="K199" s="16" t="s">
        <v>646</v>
      </c>
      <c r="L199" s="16" t="s">
        <v>568</v>
      </c>
      <c r="M199" s="16" t="s">
        <v>575</v>
      </c>
      <c r="N199" s="16"/>
      <c r="O199" s="7" t="n">
        <f aca="false">IF(OR(E199="Closed Won",E199="Closed Lost"),0,1)</f>
        <v>1</v>
      </c>
      <c r="P199" s="17" t="str">
        <f aca="false">INDEX(Accounts!$K$5:$K$336,MATCH(B199,Accounts!$A$5:$A$336,0))</f>
        <v>Financial Services</v>
      </c>
      <c r="Q199" s="17" t="str">
        <f aca="false">INDEX(Accounts!$D$5:$D$336,MATCH(B199,Accounts!$A$5:$A$336,0))</f>
        <v>Priority</v>
      </c>
      <c r="R199" s="7" t="n">
        <f aca="false">INDEX(Inputs!$B$11:$B$16,MATCH(E199,Inputs!$A$11:$A$16,0))</f>
        <v>10</v>
      </c>
      <c r="S199" s="27" t="n">
        <f aca="false">IF(F199="",0,F199)*R199/100</f>
        <v>1067100</v>
      </c>
      <c r="T199" s="7" t="n">
        <f aca="false">Inputs!$B$4-J199</f>
        <v>25</v>
      </c>
      <c r="U199" s="7" t="n">
        <f aca="false">IF(OR(F199="",F199=0),1,0)</f>
        <v>0</v>
      </c>
      <c r="V199" s="7" t="n">
        <f aca="false">IF(K199="",1,0)</f>
        <v>0</v>
      </c>
      <c r="W199" s="7" t="n">
        <f aca="false">IF(AND(O199=1,K199&lt;&gt;"",COUNTIFS(Owners!$A$5:$A$32,K199,Owners!$E$5:$E$32,"No")&gt;0),1,0)</f>
        <v>0</v>
      </c>
      <c r="X199" s="7" t="n">
        <f aca="false">IF(AND(O199=1,I199&lt;Inputs!$B$4),1,0)</f>
        <v>0</v>
      </c>
      <c r="Y199" s="7" t="n">
        <f aca="false">IF(AND(O199=1,T199&gt;Inputs!$B$5),1,0)</f>
        <v>0</v>
      </c>
      <c r="Z199" s="7" t="n">
        <f aca="false">IF(AND(O199=1,G199&lt;&gt;R199),1,0)</f>
        <v>0</v>
      </c>
      <c r="AA199" s="7" t="n">
        <f aca="false">IF(AND(O199=1,M199=""),1,0)</f>
        <v>0</v>
      </c>
      <c r="AB199" s="7" t="n">
        <f aca="false">IF(AND(E199="Closed Lost",N199=""),1,0)</f>
        <v>0</v>
      </c>
      <c r="AC199" s="7" t="n">
        <f aca="false">SUM(U199:AB199)</f>
        <v>0</v>
      </c>
      <c r="AD199" s="7" t="n">
        <f aca="false">IF(AC199=0,1,0)</f>
        <v>1</v>
      </c>
      <c r="AE199" s="7" t="n">
        <f aca="false">IF(AND(O199=1,I199&gt;=Inputs!$B$6,I199&lt;=Inputs!$B$7),1,0)</f>
        <v>0</v>
      </c>
      <c r="AF199" s="7" t="n">
        <f aca="false">IF(AND(E199="Closed Won",I199&gt;=Inputs!$B$6,I199&lt;=Inputs!$B$4),1,0)</f>
        <v>0</v>
      </c>
      <c r="AG199" s="7" t="n">
        <f aca="false">IF(AND(O199=0,I199&gt;Inputs!$B$4-Inputs!$B$8,I199&lt;=Inputs!$B$4),1,0)</f>
        <v>0</v>
      </c>
      <c r="AH199" s="7" t="n">
        <f aca="false">I199-H199</f>
        <v>381</v>
      </c>
    </row>
    <row r="200" customFormat="false" ht="15" hidden="false" customHeight="false" outlineLevel="0" collapsed="false">
      <c r="A200" s="16" t="s">
        <v>1055</v>
      </c>
      <c r="B200" s="16" t="s">
        <v>208</v>
      </c>
      <c r="C200" s="16" t="s">
        <v>1056</v>
      </c>
      <c r="D200" s="16" t="s">
        <v>162</v>
      </c>
      <c r="E200" s="16" t="s">
        <v>526</v>
      </c>
      <c r="F200" s="26" t="n">
        <v>16963000</v>
      </c>
      <c r="G200" s="25" t="n">
        <v>10</v>
      </c>
      <c r="H200" s="22" t="n">
        <v>46263</v>
      </c>
      <c r="I200" s="22" t="n">
        <v>46572</v>
      </c>
      <c r="J200" s="22" t="n">
        <v>46283</v>
      </c>
      <c r="K200" s="16" t="s">
        <v>640</v>
      </c>
      <c r="L200" s="16" t="s">
        <v>568</v>
      </c>
      <c r="M200" s="16" t="s">
        <v>613</v>
      </c>
      <c r="N200" s="16"/>
      <c r="O200" s="7" t="n">
        <f aca="false">IF(OR(E200="Closed Won",E200="Closed Lost"),0,1)</f>
        <v>1</v>
      </c>
      <c r="P200" s="17" t="str">
        <f aca="false">INDEX(Accounts!$K$5:$K$336,MATCH(B200,Accounts!$A$5:$A$336,0))</f>
        <v>Financial Services</v>
      </c>
      <c r="Q200" s="17" t="str">
        <f aca="false">INDEX(Accounts!$D$5:$D$336,MATCH(B200,Accounts!$A$5:$A$336,0))</f>
        <v>Standard</v>
      </c>
      <c r="R200" s="7" t="n">
        <f aca="false">INDEX(Inputs!$B$11:$B$16,MATCH(E200,Inputs!$A$11:$A$16,0))</f>
        <v>10</v>
      </c>
      <c r="S200" s="27" t="n">
        <f aca="false">IF(F200="",0,F200)*R200/100</f>
        <v>1696300</v>
      </c>
      <c r="T200" s="7" t="n">
        <f aca="false">Inputs!$B$4-J200</f>
        <v>31</v>
      </c>
      <c r="U200" s="7" t="n">
        <f aca="false">IF(OR(F200="",F200=0),1,0)</f>
        <v>0</v>
      </c>
      <c r="V200" s="7" t="n">
        <f aca="false">IF(K200="",1,0)</f>
        <v>0</v>
      </c>
      <c r="W200" s="7" t="n">
        <f aca="false">IF(AND(O200=1,K200&lt;&gt;"",COUNTIFS(Owners!$A$5:$A$32,K200,Owners!$E$5:$E$32,"No")&gt;0),1,0)</f>
        <v>0</v>
      </c>
      <c r="X200" s="7" t="n">
        <f aca="false">IF(AND(O200=1,I200&lt;Inputs!$B$4),1,0)</f>
        <v>0</v>
      </c>
      <c r="Y200" s="7" t="n">
        <f aca="false">IF(AND(O200=1,T200&gt;Inputs!$B$5),1,0)</f>
        <v>0</v>
      </c>
      <c r="Z200" s="7" t="n">
        <f aca="false">IF(AND(O200=1,G200&lt;&gt;R200),1,0)</f>
        <v>0</v>
      </c>
      <c r="AA200" s="7" t="n">
        <f aca="false">IF(AND(O200=1,M200=""),1,0)</f>
        <v>0</v>
      </c>
      <c r="AB200" s="7" t="n">
        <f aca="false">IF(AND(E200="Closed Lost",N200=""),1,0)</f>
        <v>0</v>
      </c>
      <c r="AC200" s="7" t="n">
        <f aca="false">SUM(U200:AB200)</f>
        <v>0</v>
      </c>
      <c r="AD200" s="7" t="n">
        <f aca="false">IF(AC200=0,1,0)</f>
        <v>1</v>
      </c>
      <c r="AE200" s="7" t="n">
        <f aca="false">IF(AND(O200=1,I200&gt;=Inputs!$B$6,I200&lt;=Inputs!$B$7),1,0)</f>
        <v>0</v>
      </c>
      <c r="AF200" s="7" t="n">
        <f aca="false">IF(AND(E200="Closed Won",I200&gt;=Inputs!$B$6,I200&lt;=Inputs!$B$4),1,0)</f>
        <v>0</v>
      </c>
      <c r="AG200" s="7" t="n">
        <f aca="false">IF(AND(O200=0,I200&gt;Inputs!$B$4-Inputs!$B$8,I200&lt;=Inputs!$B$4),1,0)</f>
        <v>0</v>
      </c>
      <c r="AH200" s="7" t="n">
        <f aca="false">I200-H200</f>
        <v>309</v>
      </c>
    </row>
    <row r="201" customFormat="false" ht="15" hidden="false" customHeight="false" outlineLevel="0" collapsed="false">
      <c r="A201" s="16" t="s">
        <v>1057</v>
      </c>
      <c r="B201" s="16" t="s">
        <v>60</v>
      </c>
      <c r="C201" s="16" t="s">
        <v>1058</v>
      </c>
      <c r="D201" s="16" t="s">
        <v>177</v>
      </c>
      <c r="E201" s="16" t="s">
        <v>531</v>
      </c>
      <c r="F201" s="26" t="n">
        <v>3470000</v>
      </c>
      <c r="G201" s="25" t="n">
        <v>0</v>
      </c>
      <c r="H201" s="22" t="n">
        <v>46187</v>
      </c>
      <c r="I201" s="22" t="n">
        <v>46310</v>
      </c>
      <c r="J201" s="22" t="n">
        <v>46310</v>
      </c>
      <c r="K201" s="16" t="s">
        <v>596</v>
      </c>
      <c r="L201" s="16" t="s">
        <v>609</v>
      </c>
      <c r="M201" s="16"/>
      <c r="N201" s="16" t="s">
        <v>579</v>
      </c>
      <c r="O201" s="7" t="n">
        <f aca="false">IF(OR(E201="Closed Won",E201="Closed Lost"),0,1)</f>
        <v>0</v>
      </c>
      <c r="P201" s="17" t="str">
        <f aca="false">INDEX(Accounts!$K$5:$K$336,MATCH(B201,Accounts!$A$5:$A$336,0))</f>
        <v>Financial Services</v>
      </c>
      <c r="Q201" s="17" t="str">
        <f aca="false">INDEX(Accounts!$D$5:$D$336,MATCH(B201,Accounts!$A$5:$A$336,0))</f>
        <v>Priority</v>
      </c>
      <c r="R201" s="7" t="n">
        <f aca="false">INDEX(Inputs!$B$11:$B$16,MATCH(E201,Inputs!$A$11:$A$16,0))</f>
        <v>0</v>
      </c>
      <c r="S201" s="27" t="n">
        <f aca="false">IF(F201="",0,F201)*R201/100</f>
        <v>0</v>
      </c>
      <c r="T201" s="7" t="n">
        <f aca="false">Inputs!$B$4-J201</f>
        <v>4</v>
      </c>
      <c r="U201" s="7" t="n">
        <f aca="false">IF(OR(F201="",F201=0),1,0)</f>
        <v>0</v>
      </c>
      <c r="V201" s="7" t="n">
        <f aca="false">IF(K201="",1,0)</f>
        <v>0</v>
      </c>
      <c r="W201" s="7" t="n">
        <f aca="false">IF(AND(O201=1,K201&lt;&gt;"",COUNTIFS(Owners!$A$5:$A$32,K201,Owners!$E$5:$E$32,"No")&gt;0),1,0)</f>
        <v>0</v>
      </c>
      <c r="X201" s="7" t="n">
        <f aca="false">IF(AND(O201=1,I201&lt;Inputs!$B$4),1,0)</f>
        <v>0</v>
      </c>
      <c r="Y201" s="7" t="n">
        <f aca="false">IF(AND(O201=1,T201&gt;Inputs!$B$5),1,0)</f>
        <v>0</v>
      </c>
      <c r="Z201" s="7" t="n">
        <f aca="false">IF(AND(O201=1,G201&lt;&gt;R201),1,0)</f>
        <v>0</v>
      </c>
      <c r="AA201" s="7" t="n">
        <f aca="false">IF(AND(O201=1,M201=""),1,0)</f>
        <v>0</v>
      </c>
      <c r="AB201" s="7" t="n">
        <f aca="false">IF(AND(E201="Closed Lost",N201=""),1,0)</f>
        <v>0</v>
      </c>
      <c r="AC201" s="7" t="n">
        <f aca="false">SUM(U201:AB201)</f>
        <v>0</v>
      </c>
      <c r="AD201" s="7" t="n">
        <f aca="false">IF(AC201=0,1,0)</f>
        <v>1</v>
      </c>
      <c r="AE201" s="7" t="n">
        <f aca="false">IF(AND(O201=1,I201&gt;=Inputs!$B$6,I201&lt;=Inputs!$B$7),1,0)</f>
        <v>0</v>
      </c>
      <c r="AF201" s="7" t="n">
        <f aca="false">IF(AND(E201="Closed Won",I201&gt;=Inputs!$B$6,I201&lt;=Inputs!$B$4),1,0)</f>
        <v>0</v>
      </c>
      <c r="AG201" s="7" t="n">
        <f aca="false">IF(AND(O201=0,I201&gt;Inputs!$B$4-Inputs!$B$8,I201&lt;=Inputs!$B$4),1,0)</f>
        <v>1</v>
      </c>
      <c r="AH201" s="7" t="n">
        <f aca="false">I201-H201</f>
        <v>123</v>
      </c>
    </row>
    <row r="202" customFormat="false" ht="15" hidden="false" customHeight="false" outlineLevel="0" collapsed="false">
      <c r="A202" s="16" t="s">
        <v>1059</v>
      </c>
      <c r="B202" s="16" t="s">
        <v>1060</v>
      </c>
      <c r="C202" s="16" t="s">
        <v>1061</v>
      </c>
      <c r="D202" s="16" t="s">
        <v>165</v>
      </c>
      <c r="E202" s="16" t="s">
        <v>530</v>
      </c>
      <c r="F202" s="26" t="n">
        <v>14007000</v>
      </c>
      <c r="G202" s="25" t="n">
        <v>100</v>
      </c>
      <c r="H202" s="22" t="n">
        <v>46024</v>
      </c>
      <c r="I202" s="22" t="n">
        <v>46261</v>
      </c>
      <c r="J202" s="22" t="n">
        <v>46261</v>
      </c>
      <c r="K202" s="16" t="s">
        <v>880</v>
      </c>
      <c r="L202" s="16" t="s">
        <v>568</v>
      </c>
      <c r="M202" s="16"/>
      <c r="N202" s="16"/>
      <c r="O202" s="7" t="n">
        <f aca="false">IF(OR(E202="Closed Won",E202="Closed Lost"),0,1)</f>
        <v>0</v>
      </c>
      <c r="P202" s="17" t="str">
        <f aca="false">INDEX(Accounts!$K$5:$K$336,MATCH(B202,Accounts!$A$5:$A$336,0))</f>
        <v>Consumer &amp; Retail</v>
      </c>
      <c r="Q202" s="17" t="str">
        <f aca="false">INDEX(Accounts!$D$5:$D$336,MATCH(B202,Accounts!$A$5:$A$336,0))</f>
        <v>Standard</v>
      </c>
      <c r="R202" s="7" t="n">
        <f aca="false">INDEX(Inputs!$B$11:$B$16,MATCH(E202,Inputs!$A$11:$A$16,0))</f>
        <v>100</v>
      </c>
      <c r="S202" s="27" t="n">
        <f aca="false">IF(F202="",0,F202)*R202/100</f>
        <v>14007000</v>
      </c>
      <c r="T202" s="7" t="n">
        <f aca="false">Inputs!$B$4-J202</f>
        <v>53</v>
      </c>
      <c r="U202" s="7" t="n">
        <f aca="false">IF(OR(F202="",F202=0),1,0)</f>
        <v>0</v>
      </c>
      <c r="V202" s="7" t="n">
        <f aca="false">IF(K202="",1,0)</f>
        <v>0</v>
      </c>
      <c r="W202" s="7" t="n">
        <f aca="false">IF(AND(O202=1,K202&lt;&gt;"",COUNTIFS(Owners!$A$5:$A$32,K202,Owners!$E$5:$E$32,"No")&gt;0),1,0)</f>
        <v>0</v>
      </c>
      <c r="X202" s="7" t="n">
        <f aca="false">IF(AND(O202=1,I202&lt;Inputs!$B$4),1,0)</f>
        <v>0</v>
      </c>
      <c r="Y202" s="7" t="n">
        <f aca="false">IF(AND(O202=1,T202&gt;Inputs!$B$5),1,0)</f>
        <v>0</v>
      </c>
      <c r="Z202" s="7" t="n">
        <f aca="false">IF(AND(O202=1,G202&lt;&gt;R202),1,0)</f>
        <v>0</v>
      </c>
      <c r="AA202" s="7" t="n">
        <f aca="false">IF(AND(O202=1,M202=""),1,0)</f>
        <v>0</v>
      </c>
      <c r="AB202" s="7" t="n">
        <f aca="false">IF(AND(E202="Closed Lost",N202=""),1,0)</f>
        <v>0</v>
      </c>
      <c r="AC202" s="7" t="n">
        <f aca="false">SUM(U202:AB202)</f>
        <v>0</v>
      </c>
      <c r="AD202" s="7" t="n">
        <f aca="false">IF(AC202=0,1,0)</f>
        <v>1</v>
      </c>
      <c r="AE202" s="7" t="n">
        <f aca="false">IF(AND(O202=1,I202&gt;=Inputs!$B$6,I202&lt;=Inputs!$B$7),1,0)</f>
        <v>0</v>
      </c>
      <c r="AF202" s="7" t="n">
        <f aca="false">IF(AND(E202="Closed Won",I202&gt;=Inputs!$B$6,I202&lt;=Inputs!$B$4),1,0)</f>
        <v>1</v>
      </c>
      <c r="AG202" s="7" t="n">
        <f aca="false">IF(AND(O202=0,I202&gt;Inputs!$B$4-Inputs!$B$8,I202&lt;=Inputs!$B$4),1,0)</f>
        <v>1</v>
      </c>
      <c r="AH202" s="7" t="n">
        <f aca="false">I202-H202</f>
        <v>237</v>
      </c>
    </row>
    <row r="203" customFormat="false" ht="15" hidden="false" customHeight="false" outlineLevel="0" collapsed="false">
      <c r="A203" s="16" t="s">
        <v>1062</v>
      </c>
      <c r="B203" s="16" t="s">
        <v>323</v>
      </c>
      <c r="C203" s="16" t="s">
        <v>1063</v>
      </c>
      <c r="D203" s="16" t="s">
        <v>158</v>
      </c>
      <c r="E203" s="16" t="s">
        <v>530</v>
      </c>
      <c r="F203" s="26" t="n">
        <v>5840000</v>
      </c>
      <c r="G203" s="25" t="n">
        <v>100</v>
      </c>
      <c r="H203" s="22" t="n">
        <v>45905</v>
      </c>
      <c r="I203" s="22" t="n">
        <v>46068</v>
      </c>
      <c r="J203" s="22" t="n">
        <v>46068</v>
      </c>
      <c r="K203" s="16" t="s">
        <v>637</v>
      </c>
      <c r="L203" s="16" t="s">
        <v>592</v>
      </c>
      <c r="M203" s="16"/>
      <c r="N203" s="16"/>
      <c r="O203" s="7" t="n">
        <f aca="false">IF(OR(E203="Closed Won",E203="Closed Lost"),0,1)</f>
        <v>0</v>
      </c>
      <c r="P203" s="17" t="str">
        <f aca="false">INDEX(Accounts!$K$5:$K$336,MATCH(B203,Accounts!$A$5:$A$336,0))</f>
        <v>Technology, Media &amp; Telecom</v>
      </c>
      <c r="Q203" s="17" t="str">
        <f aca="false">INDEX(Accounts!$D$5:$D$336,MATCH(B203,Accounts!$A$5:$A$336,0))</f>
        <v>Standard</v>
      </c>
      <c r="R203" s="7" t="n">
        <f aca="false">INDEX(Inputs!$B$11:$B$16,MATCH(E203,Inputs!$A$11:$A$16,0))</f>
        <v>100</v>
      </c>
      <c r="S203" s="27" t="n">
        <f aca="false">IF(F203="",0,F203)*R203/100</f>
        <v>5840000</v>
      </c>
      <c r="T203" s="7" t="n">
        <f aca="false">Inputs!$B$4-J203</f>
        <v>246</v>
      </c>
      <c r="U203" s="7" t="n">
        <f aca="false">IF(OR(F203="",F203=0),1,0)</f>
        <v>0</v>
      </c>
      <c r="V203" s="7" t="n">
        <f aca="false">IF(K203="",1,0)</f>
        <v>0</v>
      </c>
      <c r="W203" s="7" t="n">
        <f aca="false">IF(AND(O203=1,K203&lt;&gt;"",COUNTIFS(Owners!$A$5:$A$32,K203,Owners!$E$5:$E$32,"No")&gt;0),1,0)</f>
        <v>0</v>
      </c>
      <c r="X203" s="7" t="n">
        <f aca="false">IF(AND(O203=1,I203&lt;Inputs!$B$4),1,0)</f>
        <v>0</v>
      </c>
      <c r="Y203" s="7" t="n">
        <f aca="false">IF(AND(O203=1,T203&gt;Inputs!$B$5),1,0)</f>
        <v>0</v>
      </c>
      <c r="Z203" s="7" t="n">
        <f aca="false">IF(AND(O203=1,G203&lt;&gt;R203),1,0)</f>
        <v>0</v>
      </c>
      <c r="AA203" s="7" t="n">
        <f aca="false">IF(AND(O203=1,M203=""),1,0)</f>
        <v>0</v>
      </c>
      <c r="AB203" s="7" t="n">
        <f aca="false">IF(AND(E203="Closed Lost",N203=""),1,0)</f>
        <v>0</v>
      </c>
      <c r="AC203" s="7" t="n">
        <f aca="false">SUM(U203:AB203)</f>
        <v>0</v>
      </c>
      <c r="AD203" s="7" t="n">
        <f aca="false">IF(AC203=0,1,0)</f>
        <v>1</v>
      </c>
      <c r="AE203" s="7" t="n">
        <f aca="false">IF(AND(O203=1,I203&gt;=Inputs!$B$6,I203&lt;=Inputs!$B$7),1,0)</f>
        <v>0</v>
      </c>
      <c r="AF203" s="7" t="n">
        <f aca="false">IF(AND(E203="Closed Won",I203&gt;=Inputs!$B$6,I203&lt;=Inputs!$B$4),1,0)</f>
        <v>0</v>
      </c>
      <c r="AG203" s="7" t="n">
        <f aca="false">IF(AND(O203=0,I203&gt;Inputs!$B$4-Inputs!$B$8,I203&lt;=Inputs!$B$4),1,0)</f>
        <v>1</v>
      </c>
      <c r="AH203" s="7" t="n">
        <f aca="false">I203-H203</f>
        <v>163</v>
      </c>
    </row>
    <row r="204" customFormat="false" ht="15" hidden="false" customHeight="false" outlineLevel="0" collapsed="false">
      <c r="A204" s="16" t="s">
        <v>1064</v>
      </c>
      <c r="B204" s="16" t="s">
        <v>668</v>
      </c>
      <c r="C204" s="16" t="s">
        <v>1065</v>
      </c>
      <c r="D204" s="16" t="s">
        <v>165</v>
      </c>
      <c r="E204" s="16" t="s">
        <v>531</v>
      </c>
      <c r="F204" s="26" t="n">
        <v>31624000</v>
      </c>
      <c r="G204" s="25" t="n">
        <v>0</v>
      </c>
      <c r="H204" s="22" t="n">
        <v>45902</v>
      </c>
      <c r="I204" s="22" t="n">
        <v>46017</v>
      </c>
      <c r="J204" s="22" t="n">
        <v>46017</v>
      </c>
      <c r="K204" s="16" t="s">
        <v>583</v>
      </c>
      <c r="L204" s="16" t="s">
        <v>609</v>
      </c>
      <c r="M204" s="16"/>
      <c r="N204" s="16" t="s">
        <v>610</v>
      </c>
      <c r="O204" s="7" t="n">
        <f aca="false">IF(OR(E204="Closed Won",E204="Closed Lost"),0,1)</f>
        <v>0</v>
      </c>
      <c r="P204" s="17" t="str">
        <f aca="false">INDEX(Accounts!$K$5:$K$336,MATCH(B204,Accounts!$A$5:$A$336,0))</f>
        <v>Public Sector &amp; Development</v>
      </c>
      <c r="Q204" s="17" t="str">
        <f aca="false">INDEX(Accounts!$D$5:$D$336,MATCH(B204,Accounts!$A$5:$A$336,0))</f>
        <v>Key</v>
      </c>
      <c r="R204" s="7" t="n">
        <f aca="false">INDEX(Inputs!$B$11:$B$16,MATCH(E204,Inputs!$A$11:$A$16,0))</f>
        <v>0</v>
      </c>
      <c r="S204" s="27" t="n">
        <f aca="false">IF(F204="",0,F204)*R204/100</f>
        <v>0</v>
      </c>
      <c r="T204" s="7" t="n">
        <f aca="false">Inputs!$B$4-J204</f>
        <v>297</v>
      </c>
      <c r="U204" s="7" t="n">
        <f aca="false">IF(OR(F204="",F204=0),1,0)</f>
        <v>0</v>
      </c>
      <c r="V204" s="7" t="n">
        <f aca="false">IF(K204="",1,0)</f>
        <v>0</v>
      </c>
      <c r="W204" s="7" t="n">
        <f aca="false">IF(AND(O204=1,K204&lt;&gt;"",COUNTIFS(Owners!$A$5:$A$32,K204,Owners!$E$5:$E$32,"No")&gt;0),1,0)</f>
        <v>0</v>
      </c>
      <c r="X204" s="7" t="n">
        <f aca="false">IF(AND(O204=1,I204&lt;Inputs!$B$4),1,0)</f>
        <v>0</v>
      </c>
      <c r="Y204" s="7" t="n">
        <f aca="false">IF(AND(O204=1,T204&gt;Inputs!$B$5),1,0)</f>
        <v>0</v>
      </c>
      <c r="Z204" s="7" t="n">
        <f aca="false">IF(AND(O204=1,G204&lt;&gt;R204),1,0)</f>
        <v>0</v>
      </c>
      <c r="AA204" s="7" t="n">
        <f aca="false">IF(AND(O204=1,M204=""),1,0)</f>
        <v>0</v>
      </c>
      <c r="AB204" s="7" t="n">
        <f aca="false">IF(AND(E204="Closed Lost",N204=""),1,0)</f>
        <v>0</v>
      </c>
      <c r="AC204" s="7" t="n">
        <f aca="false">SUM(U204:AB204)</f>
        <v>0</v>
      </c>
      <c r="AD204" s="7" t="n">
        <f aca="false">IF(AC204=0,1,0)</f>
        <v>1</v>
      </c>
      <c r="AE204" s="7" t="n">
        <f aca="false">IF(AND(O204=1,I204&gt;=Inputs!$B$6,I204&lt;=Inputs!$B$7),1,0)</f>
        <v>0</v>
      </c>
      <c r="AF204" s="7" t="n">
        <f aca="false">IF(AND(E204="Closed Won",I204&gt;=Inputs!$B$6,I204&lt;=Inputs!$B$4),1,0)</f>
        <v>0</v>
      </c>
      <c r="AG204" s="7" t="n">
        <f aca="false">IF(AND(O204=0,I204&gt;Inputs!$B$4-Inputs!$B$8,I204&lt;=Inputs!$B$4),1,0)</f>
        <v>1</v>
      </c>
      <c r="AH204" s="7" t="n">
        <f aca="false">I204-H204</f>
        <v>115</v>
      </c>
    </row>
    <row r="205" customFormat="false" ht="15" hidden="false" customHeight="false" outlineLevel="0" collapsed="false">
      <c r="A205" s="16" t="s">
        <v>1066</v>
      </c>
      <c r="B205" s="16" t="s">
        <v>264</v>
      </c>
      <c r="C205" s="16" t="s">
        <v>1067</v>
      </c>
      <c r="D205" s="16" t="s">
        <v>165</v>
      </c>
      <c r="E205" s="16" t="s">
        <v>531</v>
      </c>
      <c r="F205" s="26" t="n">
        <v>23293000</v>
      </c>
      <c r="G205" s="25" t="n">
        <v>0</v>
      </c>
      <c r="H205" s="22" t="n">
        <v>45953</v>
      </c>
      <c r="I205" s="22" t="n">
        <v>46242</v>
      </c>
      <c r="J205" s="22" t="n">
        <v>46242</v>
      </c>
      <c r="K205" s="16" t="s">
        <v>604</v>
      </c>
      <c r="L205" s="16" t="s">
        <v>584</v>
      </c>
      <c r="M205" s="16"/>
      <c r="N205" s="16" t="s">
        <v>722</v>
      </c>
      <c r="O205" s="7" t="n">
        <f aca="false">IF(OR(E205="Closed Won",E205="Closed Lost"),0,1)</f>
        <v>0</v>
      </c>
      <c r="P205" s="17" t="str">
        <f aca="false">INDEX(Accounts!$K$5:$K$336,MATCH(B205,Accounts!$A$5:$A$336,0))</f>
        <v>Consumer &amp; Retail</v>
      </c>
      <c r="Q205" s="17" t="str">
        <f aca="false">INDEX(Accounts!$D$5:$D$336,MATCH(B205,Accounts!$A$5:$A$336,0))</f>
        <v>Standard</v>
      </c>
      <c r="R205" s="7" t="n">
        <f aca="false">INDEX(Inputs!$B$11:$B$16,MATCH(E205,Inputs!$A$11:$A$16,0))</f>
        <v>0</v>
      </c>
      <c r="S205" s="27" t="n">
        <f aca="false">IF(F205="",0,F205)*R205/100</f>
        <v>0</v>
      </c>
      <c r="T205" s="7" t="n">
        <f aca="false">Inputs!$B$4-J205</f>
        <v>72</v>
      </c>
      <c r="U205" s="7" t="n">
        <f aca="false">IF(OR(F205="",F205=0),1,0)</f>
        <v>0</v>
      </c>
      <c r="V205" s="7" t="n">
        <f aca="false">IF(K205="",1,0)</f>
        <v>0</v>
      </c>
      <c r="W205" s="7" t="n">
        <f aca="false">IF(AND(O205=1,K205&lt;&gt;"",COUNTIFS(Owners!$A$5:$A$32,K205,Owners!$E$5:$E$32,"No")&gt;0),1,0)</f>
        <v>0</v>
      </c>
      <c r="X205" s="7" t="n">
        <f aca="false">IF(AND(O205=1,I205&lt;Inputs!$B$4),1,0)</f>
        <v>0</v>
      </c>
      <c r="Y205" s="7" t="n">
        <f aca="false">IF(AND(O205=1,T205&gt;Inputs!$B$5),1,0)</f>
        <v>0</v>
      </c>
      <c r="Z205" s="7" t="n">
        <f aca="false">IF(AND(O205=1,G205&lt;&gt;R205),1,0)</f>
        <v>0</v>
      </c>
      <c r="AA205" s="7" t="n">
        <f aca="false">IF(AND(O205=1,M205=""),1,0)</f>
        <v>0</v>
      </c>
      <c r="AB205" s="7" t="n">
        <f aca="false">IF(AND(E205="Closed Lost",N205=""),1,0)</f>
        <v>0</v>
      </c>
      <c r="AC205" s="7" t="n">
        <f aca="false">SUM(U205:AB205)</f>
        <v>0</v>
      </c>
      <c r="AD205" s="7" t="n">
        <f aca="false">IF(AC205=0,1,0)</f>
        <v>1</v>
      </c>
      <c r="AE205" s="7" t="n">
        <f aca="false">IF(AND(O205=1,I205&gt;=Inputs!$B$6,I205&lt;=Inputs!$B$7),1,0)</f>
        <v>0</v>
      </c>
      <c r="AF205" s="7" t="n">
        <f aca="false">IF(AND(E205="Closed Won",I205&gt;=Inputs!$B$6,I205&lt;=Inputs!$B$4),1,0)</f>
        <v>0</v>
      </c>
      <c r="AG205" s="7" t="n">
        <f aca="false">IF(AND(O205=0,I205&gt;Inputs!$B$4-Inputs!$B$8,I205&lt;=Inputs!$B$4),1,0)</f>
        <v>1</v>
      </c>
      <c r="AH205" s="7" t="n">
        <f aca="false">I205-H205</f>
        <v>289</v>
      </c>
    </row>
    <row r="206" customFormat="false" ht="15" hidden="false" customHeight="false" outlineLevel="0" collapsed="false">
      <c r="A206" s="16" t="s">
        <v>1068</v>
      </c>
      <c r="B206" s="16" t="s">
        <v>59</v>
      </c>
      <c r="C206" s="16" t="s">
        <v>1069</v>
      </c>
      <c r="D206" s="16" t="s">
        <v>165</v>
      </c>
      <c r="E206" s="16" t="s">
        <v>528</v>
      </c>
      <c r="F206" s="26" t="n">
        <v>13303000</v>
      </c>
      <c r="G206" s="25" t="n">
        <v>50</v>
      </c>
      <c r="H206" s="22" t="n">
        <v>46138</v>
      </c>
      <c r="I206" s="22" t="n">
        <v>46346</v>
      </c>
      <c r="J206" s="22" t="n">
        <v>46271</v>
      </c>
      <c r="K206" s="16" t="s">
        <v>646</v>
      </c>
      <c r="L206" s="16" t="s">
        <v>592</v>
      </c>
      <c r="M206" s="16" t="s">
        <v>593</v>
      </c>
      <c r="N206" s="16"/>
      <c r="O206" s="7" t="n">
        <f aca="false">IF(OR(E206="Closed Won",E206="Closed Lost"),0,1)</f>
        <v>1</v>
      </c>
      <c r="P206" s="17" t="str">
        <f aca="false">INDEX(Accounts!$K$5:$K$336,MATCH(B206,Accounts!$A$5:$A$336,0))</f>
        <v>Financial Services</v>
      </c>
      <c r="Q206" s="17" t="str">
        <f aca="false">INDEX(Accounts!$D$5:$D$336,MATCH(B206,Accounts!$A$5:$A$336,0))</f>
        <v>Priority</v>
      </c>
      <c r="R206" s="7" t="n">
        <f aca="false">INDEX(Inputs!$B$11:$B$16,MATCH(E206,Inputs!$A$11:$A$16,0))</f>
        <v>50</v>
      </c>
      <c r="S206" s="27" t="n">
        <f aca="false">IF(F206="",0,F206)*R206/100</f>
        <v>6651500</v>
      </c>
      <c r="T206" s="7" t="n">
        <f aca="false">Inputs!$B$4-J206</f>
        <v>43</v>
      </c>
      <c r="U206" s="7" t="n">
        <f aca="false">IF(OR(F206="",F206=0),1,0)</f>
        <v>0</v>
      </c>
      <c r="V206" s="7" t="n">
        <f aca="false">IF(K206="",1,0)</f>
        <v>0</v>
      </c>
      <c r="W206" s="7" t="n">
        <f aca="false">IF(AND(O206=1,K206&lt;&gt;"",COUNTIFS(Owners!$A$5:$A$32,K206,Owners!$E$5:$E$32,"No")&gt;0),1,0)</f>
        <v>0</v>
      </c>
      <c r="X206" s="7" t="n">
        <f aca="false">IF(AND(O206=1,I206&lt;Inputs!$B$4),1,0)</f>
        <v>0</v>
      </c>
      <c r="Y206" s="7" t="n">
        <f aca="false">IF(AND(O206=1,T206&gt;Inputs!$B$5),1,0)</f>
        <v>0</v>
      </c>
      <c r="Z206" s="7" t="n">
        <f aca="false">IF(AND(O206=1,G206&lt;&gt;R206),1,0)</f>
        <v>0</v>
      </c>
      <c r="AA206" s="7" t="n">
        <f aca="false">IF(AND(O206=1,M206=""),1,0)</f>
        <v>0</v>
      </c>
      <c r="AB206" s="7" t="n">
        <f aca="false">IF(AND(E206="Closed Lost",N206=""),1,0)</f>
        <v>0</v>
      </c>
      <c r="AC206" s="7" t="n">
        <f aca="false">SUM(U206:AB206)</f>
        <v>0</v>
      </c>
      <c r="AD206" s="7" t="n">
        <f aca="false">IF(AC206=0,1,0)</f>
        <v>1</v>
      </c>
      <c r="AE206" s="7" t="n">
        <f aca="false">IF(AND(O206=1,I206&gt;=Inputs!$B$6,I206&lt;=Inputs!$B$7),1,0)</f>
        <v>1</v>
      </c>
      <c r="AF206" s="7" t="n">
        <f aca="false">IF(AND(E206="Closed Won",I206&gt;=Inputs!$B$6,I206&lt;=Inputs!$B$4),1,0)</f>
        <v>0</v>
      </c>
      <c r="AG206" s="7" t="n">
        <f aca="false">IF(AND(O206=0,I206&gt;Inputs!$B$4-Inputs!$B$8,I206&lt;=Inputs!$B$4),1,0)</f>
        <v>0</v>
      </c>
      <c r="AH206" s="7" t="n">
        <f aca="false">I206-H206</f>
        <v>208</v>
      </c>
    </row>
    <row r="207" customFormat="false" ht="15" hidden="false" customHeight="false" outlineLevel="0" collapsed="false">
      <c r="A207" s="16" t="s">
        <v>1070</v>
      </c>
      <c r="B207" s="16" t="s">
        <v>906</v>
      </c>
      <c r="C207" s="16" t="s">
        <v>1071</v>
      </c>
      <c r="D207" s="16" t="s">
        <v>167</v>
      </c>
      <c r="E207" s="16" t="s">
        <v>527</v>
      </c>
      <c r="F207" s="26" t="n">
        <v>35486000</v>
      </c>
      <c r="G207" s="25" t="n">
        <v>25</v>
      </c>
      <c r="H207" s="22" t="n">
        <v>46278</v>
      </c>
      <c r="I207" s="22" t="n">
        <v>46448</v>
      </c>
      <c r="J207" s="22" t="n">
        <v>46290</v>
      </c>
      <c r="K207" s="16" t="s">
        <v>596</v>
      </c>
      <c r="L207" s="16" t="s">
        <v>609</v>
      </c>
      <c r="M207" s="16"/>
      <c r="N207" s="16"/>
      <c r="O207" s="7" t="n">
        <f aca="false">IF(OR(E207="Closed Won",E207="Closed Lost"),0,1)</f>
        <v>1</v>
      </c>
      <c r="P207" s="17" t="str">
        <f aca="false">INDEX(Accounts!$K$5:$K$336,MATCH(B207,Accounts!$A$5:$A$336,0))</f>
        <v>Public Sector &amp; Development</v>
      </c>
      <c r="Q207" s="17" t="str">
        <f aca="false">INDEX(Accounts!$D$5:$D$336,MATCH(B207,Accounts!$A$5:$A$336,0))</f>
        <v>Key</v>
      </c>
      <c r="R207" s="7" t="n">
        <f aca="false">INDEX(Inputs!$B$11:$B$16,MATCH(E207,Inputs!$A$11:$A$16,0))</f>
        <v>25</v>
      </c>
      <c r="S207" s="27" t="n">
        <f aca="false">IF(F207="",0,F207)*R207/100</f>
        <v>8871500</v>
      </c>
      <c r="T207" s="7" t="n">
        <f aca="false">Inputs!$B$4-J207</f>
        <v>24</v>
      </c>
      <c r="U207" s="7" t="n">
        <f aca="false">IF(OR(F207="",F207=0),1,0)</f>
        <v>0</v>
      </c>
      <c r="V207" s="7" t="n">
        <f aca="false">IF(K207="",1,0)</f>
        <v>0</v>
      </c>
      <c r="W207" s="7" t="n">
        <f aca="false">IF(AND(O207=1,K207&lt;&gt;"",COUNTIFS(Owners!$A$5:$A$32,K207,Owners!$E$5:$E$32,"No")&gt;0),1,0)</f>
        <v>0</v>
      </c>
      <c r="X207" s="7" t="n">
        <f aca="false">IF(AND(O207=1,I207&lt;Inputs!$B$4),1,0)</f>
        <v>0</v>
      </c>
      <c r="Y207" s="7" t="n">
        <f aca="false">IF(AND(O207=1,T207&gt;Inputs!$B$5),1,0)</f>
        <v>0</v>
      </c>
      <c r="Z207" s="7" t="n">
        <f aca="false">IF(AND(O207=1,G207&lt;&gt;R207),1,0)</f>
        <v>0</v>
      </c>
      <c r="AA207" s="7" t="n">
        <f aca="false">IF(AND(O207=1,M207=""),1,0)</f>
        <v>1</v>
      </c>
      <c r="AB207" s="7" t="n">
        <f aca="false">IF(AND(E207="Closed Lost",N207=""),1,0)</f>
        <v>0</v>
      </c>
      <c r="AC207" s="7" t="n">
        <f aca="false">SUM(U207:AB207)</f>
        <v>1</v>
      </c>
      <c r="AD207" s="7" t="n">
        <f aca="false">IF(AC207=0,1,0)</f>
        <v>0</v>
      </c>
      <c r="AE207" s="7" t="n">
        <f aca="false">IF(AND(O207=1,I207&gt;=Inputs!$B$6,I207&lt;=Inputs!$B$7),1,0)</f>
        <v>1</v>
      </c>
      <c r="AF207" s="7" t="n">
        <f aca="false">IF(AND(E207="Closed Won",I207&gt;=Inputs!$B$6,I207&lt;=Inputs!$B$4),1,0)</f>
        <v>0</v>
      </c>
      <c r="AG207" s="7" t="n">
        <f aca="false">IF(AND(O207=0,I207&gt;Inputs!$B$4-Inputs!$B$8,I207&lt;=Inputs!$B$4),1,0)</f>
        <v>0</v>
      </c>
      <c r="AH207" s="7" t="n">
        <f aca="false">I207-H207</f>
        <v>170</v>
      </c>
    </row>
    <row r="208" customFormat="false" ht="15" hidden="false" customHeight="false" outlineLevel="0" collapsed="false">
      <c r="A208" s="16" t="s">
        <v>1072</v>
      </c>
      <c r="B208" s="16" t="s">
        <v>85</v>
      </c>
      <c r="C208" s="16" t="s">
        <v>1073</v>
      </c>
      <c r="D208" s="16" t="s">
        <v>167</v>
      </c>
      <c r="E208" s="16" t="s">
        <v>528</v>
      </c>
      <c r="F208" s="26" t="n">
        <v>6279000</v>
      </c>
      <c r="G208" s="25" t="n">
        <v>50</v>
      </c>
      <c r="H208" s="22" t="n">
        <v>46254</v>
      </c>
      <c r="I208" s="22" t="n">
        <v>46280</v>
      </c>
      <c r="J208" s="22" t="n">
        <v>46299</v>
      </c>
      <c r="K208" s="16" t="s">
        <v>591</v>
      </c>
      <c r="L208" s="16" t="s">
        <v>500</v>
      </c>
      <c r="M208" s="16"/>
      <c r="N208" s="16"/>
      <c r="O208" s="7" t="n">
        <f aca="false">IF(OR(E208="Closed Won",E208="Closed Lost"),0,1)</f>
        <v>1</v>
      </c>
      <c r="P208" s="17" t="str">
        <f aca="false">INDEX(Accounts!$K$5:$K$336,MATCH(B208,Accounts!$A$5:$A$336,0))</f>
        <v>Energy &amp; Resources</v>
      </c>
      <c r="Q208" s="17" t="str">
        <f aca="false">INDEX(Accounts!$D$5:$D$336,MATCH(B208,Accounts!$A$5:$A$336,0))</f>
        <v>Priority</v>
      </c>
      <c r="R208" s="7" t="n">
        <f aca="false">INDEX(Inputs!$B$11:$B$16,MATCH(E208,Inputs!$A$11:$A$16,0))</f>
        <v>50</v>
      </c>
      <c r="S208" s="27" t="n">
        <f aca="false">IF(F208="",0,F208)*R208/100</f>
        <v>3139500</v>
      </c>
      <c r="T208" s="7" t="n">
        <f aca="false">Inputs!$B$4-J208</f>
        <v>15</v>
      </c>
      <c r="U208" s="7" t="n">
        <f aca="false">IF(OR(F208="",F208=0),1,0)</f>
        <v>0</v>
      </c>
      <c r="V208" s="7" t="n">
        <f aca="false">IF(K208="",1,0)</f>
        <v>0</v>
      </c>
      <c r="W208" s="7" t="n">
        <f aca="false">IF(AND(O208=1,K208&lt;&gt;"",COUNTIFS(Owners!$A$5:$A$32,K208,Owners!$E$5:$E$32,"No")&gt;0),1,0)</f>
        <v>0</v>
      </c>
      <c r="X208" s="7" t="n">
        <f aca="false">IF(AND(O208=1,I208&lt;Inputs!$B$4),1,0)</f>
        <v>1</v>
      </c>
      <c r="Y208" s="7" t="n">
        <f aca="false">IF(AND(O208=1,T208&gt;Inputs!$B$5),1,0)</f>
        <v>0</v>
      </c>
      <c r="Z208" s="7" t="n">
        <f aca="false">IF(AND(O208=1,G208&lt;&gt;R208),1,0)</f>
        <v>0</v>
      </c>
      <c r="AA208" s="7" t="n">
        <f aca="false">IF(AND(O208=1,M208=""),1,0)</f>
        <v>1</v>
      </c>
      <c r="AB208" s="7" t="n">
        <f aca="false">IF(AND(E208="Closed Lost",N208=""),1,0)</f>
        <v>0</v>
      </c>
      <c r="AC208" s="7" t="n">
        <f aca="false">SUM(U208:AB208)</f>
        <v>2</v>
      </c>
      <c r="AD208" s="7" t="n">
        <f aca="false">IF(AC208=0,1,0)</f>
        <v>0</v>
      </c>
      <c r="AE208" s="7" t="n">
        <f aca="false">IF(AND(O208=1,I208&gt;=Inputs!$B$6,I208&lt;=Inputs!$B$7),1,0)</f>
        <v>1</v>
      </c>
      <c r="AF208" s="7" t="n">
        <f aca="false">IF(AND(E208="Closed Won",I208&gt;=Inputs!$B$6,I208&lt;=Inputs!$B$4),1,0)</f>
        <v>0</v>
      </c>
      <c r="AG208" s="7" t="n">
        <f aca="false">IF(AND(O208=0,I208&gt;Inputs!$B$4-Inputs!$B$8,I208&lt;=Inputs!$B$4),1,0)</f>
        <v>0</v>
      </c>
      <c r="AH208" s="7" t="n">
        <f aca="false">I208-H208</f>
        <v>26</v>
      </c>
    </row>
    <row r="209" customFormat="false" ht="15" hidden="false" customHeight="false" outlineLevel="0" collapsed="false">
      <c r="A209" s="16" t="s">
        <v>1074</v>
      </c>
      <c r="B209" s="16" t="s">
        <v>1075</v>
      </c>
      <c r="C209" s="16" t="s">
        <v>1076</v>
      </c>
      <c r="D209" s="16" t="s">
        <v>167</v>
      </c>
      <c r="E209" s="16" t="s">
        <v>531</v>
      </c>
      <c r="F209" s="26" t="n">
        <v>15368000</v>
      </c>
      <c r="G209" s="25" t="n">
        <v>0</v>
      </c>
      <c r="H209" s="22" t="n">
        <v>46220</v>
      </c>
      <c r="I209" s="22" t="n">
        <v>46283</v>
      </c>
      <c r="J209" s="22" t="n">
        <v>46283</v>
      </c>
      <c r="K209" s="16" t="s">
        <v>637</v>
      </c>
      <c r="L209" s="16" t="s">
        <v>574</v>
      </c>
      <c r="M209" s="16"/>
      <c r="N209" s="16"/>
      <c r="O209" s="7" t="n">
        <f aca="false">IF(OR(E209="Closed Won",E209="Closed Lost"),0,1)</f>
        <v>0</v>
      </c>
      <c r="P209" s="17" t="str">
        <f aca="false">INDEX(Accounts!$K$5:$K$336,MATCH(B209,Accounts!$A$5:$A$336,0))</f>
        <v>Agribusiness</v>
      </c>
      <c r="Q209" s="17" t="str">
        <f aca="false">INDEX(Accounts!$D$5:$D$336,MATCH(B209,Accounts!$A$5:$A$336,0))</f>
        <v>Standard</v>
      </c>
      <c r="R209" s="7" t="n">
        <f aca="false">INDEX(Inputs!$B$11:$B$16,MATCH(E209,Inputs!$A$11:$A$16,0))</f>
        <v>0</v>
      </c>
      <c r="S209" s="27" t="n">
        <f aca="false">IF(F209="",0,F209)*R209/100</f>
        <v>0</v>
      </c>
      <c r="T209" s="7" t="n">
        <f aca="false">Inputs!$B$4-J209</f>
        <v>31</v>
      </c>
      <c r="U209" s="7" t="n">
        <f aca="false">IF(OR(F209="",F209=0),1,0)</f>
        <v>0</v>
      </c>
      <c r="V209" s="7" t="n">
        <f aca="false">IF(K209="",1,0)</f>
        <v>0</v>
      </c>
      <c r="W209" s="7" t="n">
        <f aca="false">IF(AND(O209=1,K209&lt;&gt;"",COUNTIFS(Owners!$A$5:$A$32,K209,Owners!$E$5:$E$32,"No")&gt;0),1,0)</f>
        <v>0</v>
      </c>
      <c r="X209" s="7" t="n">
        <f aca="false">IF(AND(O209=1,I209&lt;Inputs!$B$4),1,0)</f>
        <v>0</v>
      </c>
      <c r="Y209" s="7" t="n">
        <f aca="false">IF(AND(O209=1,T209&gt;Inputs!$B$5),1,0)</f>
        <v>0</v>
      </c>
      <c r="Z209" s="7" t="n">
        <f aca="false">IF(AND(O209=1,G209&lt;&gt;R209),1,0)</f>
        <v>0</v>
      </c>
      <c r="AA209" s="7" t="n">
        <f aca="false">IF(AND(O209=1,M209=""),1,0)</f>
        <v>0</v>
      </c>
      <c r="AB209" s="7" t="n">
        <f aca="false">IF(AND(E209="Closed Lost",N209=""),1,0)</f>
        <v>1</v>
      </c>
      <c r="AC209" s="7" t="n">
        <f aca="false">SUM(U209:AB209)</f>
        <v>1</v>
      </c>
      <c r="AD209" s="7" t="n">
        <f aca="false">IF(AC209=0,1,0)</f>
        <v>0</v>
      </c>
      <c r="AE209" s="7" t="n">
        <f aca="false">IF(AND(O209=1,I209&gt;=Inputs!$B$6,I209&lt;=Inputs!$B$7),1,0)</f>
        <v>0</v>
      </c>
      <c r="AF209" s="7" t="n">
        <f aca="false">IF(AND(E209="Closed Won",I209&gt;=Inputs!$B$6,I209&lt;=Inputs!$B$4),1,0)</f>
        <v>0</v>
      </c>
      <c r="AG209" s="7" t="n">
        <f aca="false">IF(AND(O209=0,I209&gt;Inputs!$B$4-Inputs!$B$8,I209&lt;=Inputs!$B$4),1,0)</f>
        <v>1</v>
      </c>
      <c r="AH209" s="7" t="n">
        <f aca="false">I209-H209</f>
        <v>63</v>
      </c>
    </row>
    <row r="210" customFormat="false" ht="15" hidden="false" customHeight="false" outlineLevel="0" collapsed="false">
      <c r="A210" s="16" t="s">
        <v>1077</v>
      </c>
      <c r="B210" s="16" t="s">
        <v>89</v>
      </c>
      <c r="C210" s="16" t="s">
        <v>1078</v>
      </c>
      <c r="D210" s="16" t="s">
        <v>158</v>
      </c>
      <c r="E210" s="16" t="s">
        <v>531</v>
      </c>
      <c r="F210" s="26" t="n">
        <v>23098000</v>
      </c>
      <c r="G210" s="25" t="n">
        <v>0</v>
      </c>
      <c r="H210" s="22" t="n">
        <v>46000</v>
      </c>
      <c r="I210" s="22" t="n">
        <v>46276</v>
      </c>
      <c r="J210" s="22" t="n">
        <v>46276</v>
      </c>
      <c r="K210" s="16" t="s">
        <v>704</v>
      </c>
      <c r="L210" s="16" t="s">
        <v>592</v>
      </c>
      <c r="M210" s="16"/>
      <c r="N210" s="16" t="s">
        <v>597</v>
      </c>
      <c r="O210" s="7" t="n">
        <f aca="false">IF(OR(E210="Closed Won",E210="Closed Lost"),0,1)</f>
        <v>0</v>
      </c>
      <c r="P210" s="17" t="str">
        <f aca="false">INDEX(Accounts!$K$5:$K$336,MATCH(B210,Accounts!$A$5:$A$336,0))</f>
        <v>Agribusiness</v>
      </c>
      <c r="Q210" s="17" t="str">
        <f aca="false">INDEX(Accounts!$D$5:$D$336,MATCH(B210,Accounts!$A$5:$A$336,0))</f>
        <v>Priority</v>
      </c>
      <c r="R210" s="7" t="n">
        <f aca="false">INDEX(Inputs!$B$11:$B$16,MATCH(E210,Inputs!$A$11:$A$16,0))</f>
        <v>0</v>
      </c>
      <c r="S210" s="27" t="n">
        <f aca="false">IF(F210="",0,F210)*R210/100</f>
        <v>0</v>
      </c>
      <c r="T210" s="7" t="n">
        <f aca="false">Inputs!$B$4-J210</f>
        <v>38</v>
      </c>
      <c r="U210" s="7" t="n">
        <f aca="false">IF(OR(F210="",F210=0),1,0)</f>
        <v>0</v>
      </c>
      <c r="V210" s="7" t="n">
        <f aca="false">IF(K210="",1,0)</f>
        <v>0</v>
      </c>
      <c r="W210" s="7" t="n">
        <f aca="false">IF(AND(O210=1,K210&lt;&gt;"",COUNTIFS(Owners!$A$5:$A$32,K210,Owners!$E$5:$E$32,"No")&gt;0),1,0)</f>
        <v>0</v>
      </c>
      <c r="X210" s="7" t="n">
        <f aca="false">IF(AND(O210=1,I210&lt;Inputs!$B$4),1,0)</f>
        <v>0</v>
      </c>
      <c r="Y210" s="7" t="n">
        <f aca="false">IF(AND(O210=1,T210&gt;Inputs!$B$5),1,0)</f>
        <v>0</v>
      </c>
      <c r="Z210" s="7" t="n">
        <f aca="false">IF(AND(O210=1,G210&lt;&gt;R210),1,0)</f>
        <v>0</v>
      </c>
      <c r="AA210" s="7" t="n">
        <f aca="false">IF(AND(O210=1,M210=""),1,0)</f>
        <v>0</v>
      </c>
      <c r="AB210" s="7" t="n">
        <f aca="false">IF(AND(E210="Closed Lost",N210=""),1,0)</f>
        <v>0</v>
      </c>
      <c r="AC210" s="7" t="n">
        <f aca="false">SUM(U210:AB210)</f>
        <v>0</v>
      </c>
      <c r="AD210" s="7" t="n">
        <f aca="false">IF(AC210=0,1,0)</f>
        <v>1</v>
      </c>
      <c r="AE210" s="7" t="n">
        <f aca="false">IF(AND(O210=1,I210&gt;=Inputs!$B$6,I210&lt;=Inputs!$B$7),1,0)</f>
        <v>0</v>
      </c>
      <c r="AF210" s="7" t="n">
        <f aca="false">IF(AND(E210="Closed Won",I210&gt;=Inputs!$B$6,I210&lt;=Inputs!$B$4),1,0)</f>
        <v>0</v>
      </c>
      <c r="AG210" s="7" t="n">
        <f aca="false">IF(AND(O210=0,I210&gt;Inputs!$B$4-Inputs!$B$8,I210&lt;=Inputs!$B$4),1,0)</f>
        <v>1</v>
      </c>
      <c r="AH210" s="7" t="n">
        <f aca="false">I210-H210</f>
        <v>276</v>
      </c>
    </row>
    <row r="211" customFormat="false" ht="15" hidden="false" customHeight="false" outlineLevel="0" collapsed="false">
      <c r="A211" s="16" t="s">
        <v>1079</v>
      </c>
      <c r="B211" s="16" t="s">
        <v>317</v>
      </c>
      <c r="C211" s="16" t="s">
        <v>1080</v>
      </c>
      <c r="D211" s="16" t="s">
        <v>162</v>
      </c>
      <c r="E211" s="16" t="s">
        <v>531</v>
      </c>
      <c r="F211" s="26" t="n">
        <v>5588000</v>
      </c>
      <c r="G211" s="25" t="n">
        <v>0</v>
      </c>
      <c r="H211" s="22" t="n">
        <v>46046</v>
      </c>
      <c r="I211" s="22" t="n">
        <v>46189</v>
      </c>
      <c r="J211" s="22" t="n">
        <v>46189</v>
      </c>
      <c r="K211" s="16" t="s">
        <v>691</v>
      </c>
      <c r="L211" s="16" t="s">
        <v>584</v>
      </c>
      <c r="M211" s="16"/>
      <c r="N211" s="16"/>
      <c r="O211" s="7" t="n">
        <f aca="false">IF(OR(E211="Closed Won",E211="Closed Lost"),0,1)</f>
        <v>0</v>
      </c>
      <c r="P211" s="17" t="str">
        <f aca="false">INDEX(Accounts!$K$5:$K$336,MATCH(B211,Accounts!$A$5:$A$336,0))</f>
        <v>Unassigned</v>
      </c>
      <c r="Q211" s="17" t="str">
        <f aca="false">INDEX(Accounts!$D$5:$D$336,MATCH(B211,Accounts!$A$5:$A$336,0))</f>
        <v>Key</v>
      </c>
      <c r="R211" s="7" t="n">
        <f aca="false">INDEX(Inputs!$B$11:$B$16,MATCH(E211,Inputs!$A$11:$A$16,0))</f>
        <v>0</v>
      </c>
      <c r="S211" s="27" t="n">
        <f aca="false">IF(F211="",0,F211)*R211/100</f>
        <v>0</v>
      </c>
      <c r="T211" s="7" t="n">
        <f aca="false">Inputs!$B$4-J211</f>
        <v>125</v>
      </c>
      <c r="U211" s="7" t="n">
        <f aca="false">IF(OR(F211="",F211=0),1,0)</f>
        <v>0</v>
      </c>
      <c r="V211" s="7" t="n">
        <f aca="false">IF(K211="",1,0)</f>
        <v>0</v>
      </c>
      <c r="W211" s="7" t="n">
        <f aca="false">IF(AND(O211=1,K211&lt;&gt;"",COUNTIFS(Owners!$A$5:$A$32,K211,Owners!$E$5:$E$32,"No")&gt;0),1,0)</f>
        <v>0</v>
      </c>
      <c r="X211" s="7" t="n">
        <f aca="false">IF(AND(O211=1,I211&lt;Inputs!$B$4),1,0)</f>
        <v>0</v>
      </c>
      <c r="Y211" s="7" t="n">
        <f aca="false">IF(AND(O211=1,T211&gt;Inputs!$B$5),1,0)</f>
        <v>0</v>
      </c>
      <c r="Z211" s="7" t="n">
        <f aca="false">IF(AND(O211=1,G211&lt;&gt;R211),1,0)</f>
        <v>0</v>
      </c>
      <c r="AA211" s="7" t="n">
        <f aca="false">IF(AND(O211=1,M211=""),1,0)</f>
        <v>0</v>
      </c>
      <c r="AB211" s="7" t="n">
        <f aca="false">IF(AND(E211="Closed Lost",N211=""),1,0)</f>
        <v>1</v>
      </c>
      <c r="AC211" s="7" t="n">
        <f aca="false">SUM(U211:AB211)</f>
        <v>1</v>
      </c>
      <c r="AD211" s="7" t="n">
        <f aca="false">IF(AC211=0,1,0)</f>
        <v>0</v>
      </c>
      <c r="AE211" s="7" t="n">
        <f aca="false">IF(AND(O211=1,I211&gt;=Inputs!$B$6,I211&lt;=Inputs!$B$7),1,0)</f>
        <v>0</v>
      </c>
      <c r="AF211" s="7" t="n">
        <f aca="false">IF(AND(E211="Closed Won",I211&gt;=Inputs!$B$6,I211&lt;=Inputs!$B$4),1,0)</f>
        <v>0</v>
      </c>
      <c r="AG211" s="7" t="n">
        <f aca="false">IF(AND(O211=0,I211&gt;Inputs!$B$4-Inputs!$B$8,I211&lt;=Inputs!$B$4),1,0)</f>
        <v>1</v>
      </c>
      <c r="AH211" s="7" t="n">
        <f aca="false">I211-H211</f>
        <v>143</v>
      </c>
    </row>
    <row r="212" customFormat="false" ht="15" hidden="false" customHeight="false" outlineLevel="0" collapsed="false">
      <c r="A212" s="16" t="s">
        <v>1081</v>
      </c>
      <c r="B212" s="16" t="s">
        <v>1082</v>
      </c>
      <c r="C212" s="16" t="s">
        <v>1083</v>
      </c>
      <c r="D212" s="16" t="s">
        <v>167</v>
      </c>
      <c r="E212" s="16" t="s">
        <v>531</v>
      </c>
      <c r="F212" s="26" t="n">
        <v>4321000</v>
      </c>
      <c r="G212" s="25" t="n">
        <v>0</v>
      </c>
      <c r="H212" s="22" t="n">
        <v>45954</v>
      </c>
      <c r="I212" s="22" t="n">
        <v>46179</v>
      </c>
      <c r="J212" s="22" t="n">
        <v>46179</v>
      </c>
      <c r="K212" s="16" t="s">
        <v>765</v>
      </c>
      <c r="L212" s="16" t="s">
        <v>609</v>
      </c>
      <c r="M212" s="16"/>
      <c r="N212" s="16" t="s">
        <v>610</v>
      </c>
      <c r="O212" s="7" t="n">
        <f aca="false">IF(OR(E212="Closed Won",E212="Closed Lost"),0,1)</f>
        <v>0</v>
      </c>
      <c r="P212" s="17" t="str">
        <f aca="false">INDEX(Accounts!$K$5:$K$336,MATCH(B212,Accounts!$A$5:$A$336,0))</f>
        <v>Financial Services</v>
      </c>
      <c r="Q212" s="17" t="str">
        <f aca="false">INDEX(Accounts!$D$5:$D$336,MATCH(B212,Accounts!$A$5:$A$336,0))</f>
        <v>Standard</v>
      </c>
      <c r="R212" s="7" t="n">
        <f aca="false">INDEX(Inputs!$B$11:$B$16,MATCH(E212,Inputs!$A$11:$A$16,0))</f>
        <v>0</v>
      </c>
      <c r="S212" s="27" t="n">
        <f aca="false">IF(F212="",0,F212)*R212/100</f>
        <v>0</v>
      </c>
      <c r="T212" s="7" t="n">
        <f aca="false">Inputs!$B$4-J212</f>
        <v>135</v>
      </c>
      <c r="U212" s="7" t="n">
        <f aca="false">IF(OR(F212="",F212=0),1,0)</f>
        <v>0</v>
      </c>
      <c r="V212" s="7" t="n">
        <f aca="false">IF(K212="",1,0)</f>
        <v>0</v>
      </c>
      <c r="W212" s="7" t="n">
        <f aca="false">IF(AND(O212=1,K212&lt;&gt;"",COUNTIFS(Owners!$A$5:$A$32,K212,Owners!$E$5:$E$32,"No")&gt;0),1,0)</f>
        <v>0</v>
      </c>
      <c r="X212" s="7" t="n">
        <f aca="false">IF(AND(O212=1,I212&lt;Inputs!$B$4),1,0)</f>
        <v>0</v>
      </c>
      <c r="Y212" s="7" t="n">
        <f aca="false">IF(AND(O212=1,T212&gt;Inputs!$B$5),1,0)</f>
        <v>0</v>
      </c>
      <c r="Z212" s="7" t="n">
        <f aca="false">IF(AND(O212=1,G212&lt;&gt;R212),1,0)</f>
        <v>0</v>
      </c>
      <c r="AA212" s="7" t="n">
        <f aca="false">IF(AND(O212=1,M212=""),1,0)</f>
        <v>0</v>
      </c>
      <c r="AB212" s="7" t="n">
        <f aca="false">IF(AND(E212="Closed Lost",N212=""),1,0)</f>
        <v>0</v>
      </c>
      <c r="AC212" s="7" t="n">
        <f aca="false">SUM(U212:AB212)</f>
        <v>0</v>
      </c>
      <c r="AD212" s="7" t="n">
        <f aca="false">IF(AC212=0,1,0)</f>
        <v>1</v>
      </c>
      <c r="AE212" s="7" t="n">
        <f aca="false">IF(AND(O212=1,I212&gt;=Inputs!$B$6,I212&lt;=Inputs!$B$7),1,0)</f>
        <v>0</v>
      </c>
      <c r="AF212" s="7" t="n">
        <f aca="false">IF(AND(E212="Closed Won",I212&gt;=Inputs!$B$6,I212&lt;=Inputs!$B$4),1,0)</f>
        <v>0</v>
      </c>
      <c r="AG212" s="7" t="n">
        <f aca="false">IF(AND(O212=0,I212&gt;Inputs!$B$4-Inputs!$B$8,I212&lt;=Inputs!$B$4),1,0)</f>
        <v>1</v>
      </c>
      <c r="AH212" s="7" t="n">
        <f aca="false">I212-H212</f>
        <v>225</v>
      </c>
    </row>
    <row r="213" customFormat="false" ht="15" hidden="false" customHeight="false" outlineLevel="0" collapsed="false">
      <c r="A213" s="16" t="s">
        <v>1084</v>
      </c>
      <c r="B213" s="16" t="s">
        <v>69</v>
      </c>
      <c r="C213" s="16" t="s">
        <v>1085</v>
      </c>
      <c r="D213" s="16" t="s">
        <v>167</v>
      </c>
      <c r="E213" s="16" t="s">
        <v>531</v>
      </c>
      <c r="F213" s="26" t="n">
        <v>23396000</v>
      </c>
      <c r="G213" s="25" t="n">
        <v>0</v>
      </c>
      <c r="H213" s="22" t="n">
        <v>46103</v>
      </c>
      <c r="I213" s="22" t="n">
        <v>46174</v>
      </c>
      <c r="J213" s="22" t="n">
        <v>46174</v>
      </c>
      <c r="K213" s="16" t="s">
        <v>604</v>
      </c>
      <c r="L213" s="16" t="s">
        <v>592</v>
      </c>
      <c r="M213" s="16"/>
      <c r="N213" s="16" t="s">
        <v>610</v>
      </c>
      <c r="O213" s="7" t="n">
        <f aca="false">IF(OR(E213="Closed Won",E213="Closed Lost"),0,1)</f>
        <v>0</v>
      </c>
      <c r="P213" s="17" t="str">
        <f aca="false">INDEX(Accounts!$K$5:$K$336,MATCH(B213,Accounts!$A$5:$A$336,0))</f>
        <v>Financial Services</v>
      </c>
      <c r="Q213" s="17" t="str">
        <f aca="false">INDEX(Accounts!$D$5:$D$336,MATCH(B213,Accounts!$A$5:$A$336,0))</f>
        <v>Priority</v>
      </c>
      <c r="R213" s="7" t="n">
        <f aca="false">INDEX(Inputs!$B$11:$B$16,MATCH(E213,Inputs!$A$11:$A$16,0))</f>
        <v>0</v>
      </c>
      <c r="S213" s="27" t="n">
        <f aca="false">IF(F213="",0,F213)*R213/100</f>
        <v>0</v>
      </c>
      <c r="T213" s="7" t="n">
        <f aca="false">Inputs!$B$4-J213</f>
        <v>140</v>
      </c>
      <c r="U213" s="7" t="n">
        <f aca="false">IF(OR(F213="",F213=0),1,0)</f>
        <v>0</v>
      </c>
      <c r="V213" s="7" t="n">
        <f aca="false">IF(K213="",1,0)</f>
        <v>0</v>
      </c>
      <c r="W213" s="7" t="n">
        <f aca="false">IF(AND(O213=1,K213&lt;&gt;"",COUNTIFS(Owners!$A$5:$A$32,K213,Owners!$E$5:$E$32,"No")&gt;0),1,0)</f>
        <v>0</v>
      </c>
      <c r="X213" s="7" t="n">
        <f aca="false">IF(AND(O213=1,I213&lt;Inputs!$B$4),1,0)</f>
        <v>0</v>
      </c>
      <c r="Y213" s="7" t="n">
        <f aca="false">IF(AND(O213=1,T213&gt;Inputs!$B$5),1,0)</f>
        <v>0</v>
      </c>
      <c r="Z213" s="7" t="n">
        <f aca="false">IF(AND(O213=1,G213&lt;&gt;R213),1,0)</f>
        <v>0</v>
      </c>
      <c r="AA213" s="7" t="n">
        <f aca="false">IF(AND(O213=1,M213=""),1,0)</f>
        <v>0</v>
      </c>
      <c r="AB213" s="7" t="n">
        <f aca="false">IF(AND(E213="Closed Lost",N213=""),1,0)</f>
        <v>0</v>
      </c>
      <c r="AC213" s="7" t="n">
        <f aca="false">SUM(U213:AB213)</f>
        <v>0</v>
      </c>
      <c r="AD213" s="7" t="n">
        <f aca="false">IF(AC213=0,1,0)</f>
        <v>1</v>
      </c>
      <c r="AE213" s="7" t="n">
        <f aca="false">IF(AND(O213=1,I213&gt;=Inputs!$B$6,I213&lt;=Inputs!$B$7),1,0)</f>
        <v>0</v>
      </c>
      <c r="AF213" s="7" t="n">
        <f aca="false">IF(AND(E213="Closed Won",I213&gt;=Inputs!$B$6,I213&lt;=Inputs!$B$4),1,0)</f>
        <v>0</v>
      </c>
      <c r="AG213" s="7" t="n">
        <f aca="false">IF(AND(O213=0,I213&gt;Inputs!$B$4-Inputs!$B$8,I213&lt;=Inputs!$B$4),1,0)</f>
        <v>1</v>
      </c>
      <c r="AH213" s="7" t="n">
        <f aca="false">I213-H213</f>
        <v>71</v>
      </c>
    </row>
    <row r="214" customFormat="false" ht="15" hidden="false" customHeight="false" outlineLevel="0" collapsed="false">
      <c r="A214" s="16" t="s">
        <v>1086</v>
      </c>
      <c r="B214" s="16" t="s">
        <v>433</v>
      </c>
      <c r="C214" s="16" t="s">
        <v>1087</v>
      </c>
      <c r="D214" s="16" t="s">
        <v>177</v>
      </c>
      <c r="E214" s="16" t="s">
        <v>527</v>
      </c>
      <c r="F214" s="26" t="n">
        <v>4139000</v>
      </c>
      <c r="G214" s="25" t="n">
        <v>25</v>
      </c>
      <c r="H214" s="22" t="n">
        <v>46296</v>
      </c>
      <c r="I214" s="22" t="n">
        <v>46392</v>
      </c>
      <c r="J214" s="22" t="n">
        <v>46280</v>
      </c>
      <c r="K214" s="16" t="s">
        <v>651</v>
      </c>
      <c r="L214" s="16" t="s">
        <v>568</v>
      </c>
      <c r="M214" s="16" t="s">
        <v>593</v>
      </c>
      <c r="N214" s="16"/>
      <c r="O214" s="7" t="n">
        <f aca="false">IF(OR(E214="Closed Won",E214="Closed Lost"),0,1)</f>
        <v>1</v>
      </c>
      <c r="P214" s="17" t="str">
        <f aca="false">INDEX(Accounts!$K$5:$K$336,MATCH(B214,Accounts!$A$5:$A$336,0))</f>
        <v>Agribusiness</v>
      </c>
      <c r="Q214" s="17" t="str">
        <f aca="false">INDEX(Accounts!$D$5:$D$336,MATCH(B214,Accounts!$A$5:$A$336,0))</f>
        <v>Key</v>
      </c>
      <c r="R214" s="7" t="n">
        <f aca="false">INDEX(Inputs!$B$11:$B$16,MATCH(E214,Inputs!$A$11:$A$16,0))</f>
        <v>25</v>
      </c>
      <c r="S214" s="27" t="n">
        <f aca="false">IF(F214="",0,F214)*R214/100</f>
        <v>1034750</v>
      </c>
      <c r="T214" s="7" t="n">
        <f aca="false">Inputs!$B$4-J214</f>
        <v>34</v>
      </c>
      <c r="U214" s="7" t="n">
        <f aca="false">IF(OR(F214="",F214=0),1,0)</f>
        <v>0</v>
      </c>
      <c r="V214" s="7" t="n">
        <f aca="false">IF(K214="",1,0)</f>
        <v>0</v>
      </c>
      <c r="W214" s="7" t="n">
        <f aca="false">IF(AND(O214=1,K214&lt;&gt;"",COUNTIFS(Owners!$A$5:$A$32,K214,Owners!$E$5:$E$32,"No")&gt;0),1,0)</f>
        <v>0</v>
      </c>
      <c r="X214" s="7" t="n">
        <f aca="false">IF(AND(O214=1,I214&lt;Inputs!$B$4),1,0)</f>
        <v>0</v>
      </c>
      <c r="Y214" s="7" t="n">
        <f aca="false">IF(AND(O214=1,T214&gt;Inputs!$B$5),1,0)</f>
        <v>0</v>
      </c>
      <c r="Z214" s="7" t="n">
        <f aca="false">IF(AND(O214=1,G214&lt;&gt;R214),1,0)</f>
        <v>0</v>
      </c>
      <c r="AA214" s="7" t="n">
        <f aca="false">IF(AND(O214=1,M214=""),1,0)</f>
        <v>0</v>
      </c>
      <c r="AB214" s="7" t="n">
        <f aca="false">IF(AND(E214="Closed Lost",N214=""),1,0)</f>
        <v>0</v>
      </c>
      <c r="AC214" s="7" t="n">
        <f aca="false">SUM(U214:AB214)</f>
        <v>0</v>
      </c>
      <c r="AD214" s="7" t="n">
        <f aca="false">IF(AC214=0,1,0)</f>
        <v>1</v>
      </c>
      <c r="AE214" s="7" t="n">
        <f aca="false">IF(AND(O214=1,I214&gt;=Inputs!$B$6,I214&lt;=Inputs!$B$7),1,0)</f>
        <v>1</v>
      </c>
      <c r="AF214" s="7" t="n">
        <f aca="false">IF(AND(E214="Closed Won",I214&gt;=Inputs!$B$6,I214&lt;=Inputs!$B$4),1,0)</f>
        <v>0</v>
      </c>
      <c r="AG214" s="7" t="n">
        <f aca="false">IF(AND(O214=0,I214&gt;Inputs!$B$4-Inputs!$B$8,I214&lt;=Inputs!$B$4),1,0)</f>
        <v>0</v>
      </c>
      <c r="AH214" s="7" t="n">
        <f aca="false">I214-H214</f>
        <v>96</v>
      </c>
    </row>
    <row r="215" customFormat="false" ht="15" hidden="false" customHeight="false" outlineLevel="0" collapsed="false">
      <c r="A215" s="16" t="s">
        <v>1088</v>
      </c>
      <c r="B215" s="16" t="s">
        <v>1089</v>
      </c>
      <c r="C215" s="16" t="s">
        <v>1090</v>
      </c>
      <c r="D215" s="16" t="s">
        <v>167</v>
      </c>
      <c r="E215" s="16" t="s">
        <v>530</v>
      </c>
      <c r="F215" s="26" t="n">
        <v>12889000</v>
      </c>
      <c r="G215" s="25" t="n">
        <v>100</v>
      </c>
      <c r="H215" s="22" t="n">
        <v>45973</v>
      </c>
      <c r="I215" s="22" t="n">
        <v>46188</v>
      </c>
      <c r="J215" s="22" t="n">
        <v>46188</v>
      </c>
      <c r="K215" s="16" t="s">
        <v>651</v>
      </c>
      <c r="L215" s="16" t="s">
        <v>568</v>
      </c>
      <c r="M215" s="16"/>
      <c r="N215" s="16"/>
      <c r="O215" s="7" t="n">
        <f aca="false">IF(OR(E215="Closed Won",E215="Closed Lost"),0,1)</f>
        <v>0</v>
      </c>
      <c r="P215" s="17" t="str">
        <f aca="false">INDEX(Accounts!$K$5:$K$336,MATCH(B215,Accounts!$A$5:$A$336,0))</f>
        <v>Financial Services</v>
      </c>
      <c r="Q215" s="17" t="str">
        <f aca="false">INDEX(Accounts!$D$5:$D$336,MATCH(B215,Accounts!$A$5:$A$336,0))</f>
        <v>Standard</v>
      </c>
      <c r="R215" s="7" t="n">
        <f aca="false">INDEX(Inputs!$B$11:$B$16,MATCH(E215,Inputs!$A$11:$A$16,0))</f>
        <v>100</v>
      </c>
      <c r="S215" s="27" t="n">
        <f aca="false">IF(F215="",0,F215)*R215/100</f>
        <v>12889000</v>
      </c>
      <c r="T215" s="7" t="n">
        <f aca="false">Inputs!$B$4-J215</f>
        <v>126</v>
      </c>
      <c r="U215" s="7" t="n">
        <f aca="false">IF(OR(F215="",F215=0),1,0)</f>
        <v>0</v>
      </c>
      <c r="V215" s="7" t="n">
        <f aca="false">IF(K215="",1,0)</f>
        <v>0</v>
      </c>
      <c r="W215" s="7" t="n">
        <f aca="false">IF(AND(O215=1,K215&lt;&gt;"",COUNTIFS(Owners!$A$5:$A$32,K215,Owners!$E$5:$E$32,"No")&gt;0),1,0)</f>
        <v>0</v>
      </c>
      <c r="X215" s="7" t="n">
        <f aca="false">IF(AND(O215=1,I215&lt;Inputs!$B$4),1,0)</f>
        <v>0</v>
      </c>
      <c r="Y215" s="7" t="n">
        <f aca="false">IF(AND(O215=1,T215&gt;Inputs!$B$5),1,0)</f>
        <v>0</v>
      </c>
      <c r="Z215" s="7" t="n">
        <f aca="false">IF(AND(O215=1,G215&lt;&gt;R215),1,0)</f>
        <v>0</v>
      </c>
      <c r="AA215" s="7" t="n">
        <f aca="false">IF(AND(O215=1,M215=""),1,0)</f>
        <v>0</v>
      </c>
      <c r="AB215" s="7" t="n">
        <f aca="false">IF(AND(E215="Closed Lost",N215=""),1,0)</f>
        <v>0</v>
      </c>
      <c r="AC215" s="7" t="n">
        <f aca="false">SUM(U215:AB215)</f>
        <v>0</v>
      </c>
      <c r="AD215" s="7" t="n">
        <f aca="false">IF(AC215=0,1,0)</f>
        <v>1</v>
      </c>
      <c r="AE215" s="7" t="n">
        <f aca="false">IF(AND(O215=1,I215&gt;=Inputs!$B$6,I215&lt;=Inputs!$B$7),1,0)</f>
        <v>0</v>
      </c>
      <c r="AF215" s="7" t="n">
        <f aca="false">IF(AND(E215="Closed Won",I215&gt;=Inputs!$B$6,I215&lt;=Inputs!$B$4),1,0)</f>
        <v>0</v>
      </c>
      <c r="AG215" s="7" t="n">
        <f aca="false">IF(AND(O215=0,I215&gt;Inputs!$B$4-Inputs!$B$8,I215&lt;=Inputs!$B$4),1,0)</f>
        <v>1</v>
      </c>
      <c r="AH215" s="7" t="n">
        <f aca="false">I215-H215</f>
        <v>215</v>
      </c>
    </row>
    <row r="216" customFormat="false" ht="15" hidden="false" customHeight="false" outlineLevel="0" collapsed="false">
      <c r="A216" s="16" t="s">
        <v>1091</v>
      </c>
      <c r="B216" s="16" t="s">
        <v>1092</v>
      </c>
      <c r="C216" s="16" t="s">
        <v>1093</v>
      </c>
      <c r="D216" s="16" t="s">
        <v>167</v>
      </c>
      <c r="E216" s="16" t="s">
        <v>530</v>
      </c>
      <c r="F216" s="26" t="n">
        <v>11880000</v>
      </c>
      <c r="G216" s="25" t="n">
        <v>100</v>
      </c>
      <c r="H216" s="22" t="n">
        <v>45954</v>
      </c>
      <c r="I216" s="22" t="n">
        <v>46057</v>
      </c>
      <c r="J216" s="22" t="n">
        <v>46057</v>
      </c>
      <c r="K216" s="16" t="s">
        <v>651</v>
      </c>
      <c r="L216" s="16" t="s">
        <v>609</v>
      </c>
      <c r="M216" s="16"/>
      <c r="N216" s="16"/>
      <c r="O216" s="7" t="n">
        <f aca="false">IF(OR(E216="Closed Won",E216="Closed Lost"),0,1)</f>
        <v>0</v>
      </c>
      <c r="P216" s="17" t="str">
        <f aca="false">INDEX(Accounts!$K$5:$K$336,MATCH(B216,Accounts!$A$5:$A$336,0))</f>
        <v>Health</v>
      </c>
      <c r="Q216" s="17" t="str">
        <f aca="false">INDEX(Accounts!$D$5:$D$336,MATCH(B216,Accounts!$A$5:$A$336,0))</f>
        <v>Standard</v>
      </c>
      <c r="R216" s="7" t="n">
        <f aca="false">INDEX(Inputs!$B$11:$B$16,MATCH(E216,Inputs!$A$11:$A$16,0))</f>
        <v>100</v>
      </c>
      <c r="S216" s="27" t="n">
        <f aca="false">IF(F216="",0,F216)*R216/100</f>
        <v>11880000</v>
      </c>
      <c r="T216" s="7" t="n">
        <f aca="false">Inputs!$B$4-J216</f>
        <v>257</v>
      </c>
      <c r="U216" s="7" t="n">
        <f aca="false">IF(OR(F216="",F216=0),1,0)</f>
        <v>0</v>
      </c>
      <c r="V216" s="7" t="n">
        <f aca="false">IF(K216="",1,0)</f>
        <v>0</v>
      </c>
      <c r="W216" s="7" t="n">
        <f aca="false">IF(AND(O216=1,K216&lt;&gt;"",COUNTIFS(Owners!$A$5:$A$32,K216,Owners!$E$5:$E$32,"No")&gt;0),1,0)</f>
        <v>0</v>
      </c>
      <c r="X216" s="7" t="n">
        <f aca="false">IF(AND(O216=1,I216&lt;Inputs!$B$4),1,0)</f>
        <v>0</v>
      </c>
      <c r="Y216" s="7" t="n">
        <f aca="false">IF(AND(O216=1,T216&gt;Inputs!$B$5),1,0)</f>
        <v>0</v>
      </c>
      <c r="Z216" s="7" t="n">
        <f aca="false">IF(AND(O216=1,G216&lt;&gt;R216),1,0)</f>
        <v>0</v>
      </c>
      <c r="AA216" s="7" t="n">
        <f aca="false">IF(AND(O216=1,M216=""),1,0)</f>
        <v>0</v>
      </c>
      <c r="AB216" s="7" t="n">
        <f aca="false">IF(AND(E216="Closed Lost",N216=""),1,0)</f>
        <v>0</v>
      </c>
      <c r="AC216" s="7" t="n">
        <f aca="false">SUM(U216:AB216)</f>
        <v>0</v>
      </c>
      <c r="AD216" s="7" t="n">
        <f aca="false">IF(AC216=0,1,0)</f>
        <v>1</v>
      </c>
      <c r="AE216" s="7" t="n">
        <f aca="false">IF(AND(O216=1,I216&gt;=Inputs!$B$6,I216&lt;=Inputs!$B$7),1,0)</f>
        <v>0</v>
      </c>
      <c r="AF216" s="7" t="n">
        <f aca="false">IF(AND(E216="Closed Won",I216&gt;=Inputs!$B$6,I216&lt;=Inputs!$B$4),1,0)</f>
        <v>0</v>
      </c>
      <c r="AG216" s="7" t="n">
        <f aca="false">IF(AND(O216=0,I216&gt;Inputs!$B$4-Inputs!$B$8,I216&lt;=Inputs!$B$4),1,0)</f>
        <v>1</v>
      </c>
      <c r="AH216" s="7" t="n">
        <f aca="false">I216-H216</f>
        <v>103</v>
      </c>
    </row>
    <row r="217" customFormat="false" ht="15" hidden="false" customHeight="false" outlineLevel="0" collapsed="false">
      <c r="A217" s="16" t="s">
        <v>1094</v>
      </c>
      <c r="B217" s="16" t="s">
        <v>709</v>
      </c>
      <c r="C217" s="16" t="s">
        <v>1095</v>
      </c>
      <c r="D217" s="16" t="s">
        <v>165</v>
      </c>
      <c r="E217" s="16" t="s">
        <v>530</v>
      </c>
      <c r="F217" s="26" t="n">
        <v>66724000</v>
      </c>
      <c r="G217" s="25" t="n">
        <v>100</v>
      </c>
      <c r="H217" s="22" t="n">
        <v>46100</v>
      </c>
      <c r="I217" s="22" t="n">
        <v>46205</v>
      </c>
      <c r="J217" s="22" t="n">
        <v>46205</v>
      </c>
      <c r="K217" s="16" t="s">
        <v>600</v>
      </c>
      <c r="L217" s="16" t="s">
        <v>568</v>
      </c>
      <c r="M217" s="16"/>
      <c r="N217" s="16"/>
      <c r="O217" s="7" t="n">
        <f aca="false">IF(OR(E217="Closed Won",E217="Closed Lost"),0,1)</f>
        <v>0</v>
      </c>
      <c r="P217" s="17" t="str">
        <f aca="false">INDEX(Accounts!$K$5:$K$336,MATCH(B217,Accounts!$A$5:$A$336,0))</f>
        <v>Health</v>
      </c>
      <c r="Q217" s="17" t="str">
        <f aca="false">INDEX(Accounts!$D$5:$D$336,MATCH(B217,Accounts!$A$5:$A$336,0))</f>
        <v>Key</v>
      </c>
      <c r="R217" s="7" t="n">
        <f aca="false">INDEX(Inputs!$B$11:$B$16,MATCH(E217,Inputs!$A$11:$A$16,0))</f>
        <v>100</v>
      </c>
      <c r="S217" s="27" t="n">
        <f aca="false">IF(F217="",0,F217)*R217/100</f>
        <v>66724000</v>
      </c>
      <c r="T217" s="7" t="n">
        <f aca="false">Inputs!$B$4-J217</f>
        <v>109</v>
      </c>
      <c r="U217" s="7" t="n">
        <f aca="false">IF(OR(F217="",F217=0),1,0)</f>
        <v>0</v>
      </c>
      <c r="V217" s="7" t="n">
        <f aca="false">IF(K217="",1,0)</f>
        <v>0</v>
      </c>
      <c r="W217" s="7" t="n">
        <f aca="false">IF(AND(O217=1,K217&lt;&gt;"",COUNTIFS(Owners!$A$5:$A$32,K217,Owners!$E$5:$E$32,"No")&gt;0),1,0)</f>
        <v>0</v>
      </c>
      <c r="X217" s="7" t="n">
        <f aca="false">IF(AND(O217=1,I217&lt;Inputs!$B$4),1,0)</f>
        <v>0</v>
      </c>
      <c r="Y217" s="7" t="n">
        <f aca="false">IF(AND(O217=1,T217&gt;Inputs!$B$5),1,0)</f>
        <v>0</v>
      </c>
      <c r="Z217" s="7" t="n">
        <f aca="false">IF(AND(O217=1,G217&lt;&gt;R217),1,0)</f>
        <v>0</v>
      </c>
      <c r="AA217" s="7" t="n">
        <f aca="false">IF(AND(O217=1,M217=""),1,0)</f>
        <v>0</v>
      </c>
      <c r="AB217" s="7" t="n">
        <f aca="false">IF(AND(E217="Closed Lost",N217=""),1,0)</f>
        <v>0</v>
      </c>
      <c r="AC217" s="7" t="n">
        <f aca="false">SUM(U217:AB217)</f>
        <v>0</v>
      </c>
      <c r="AD217" s="7" t="n">
        <f aca="false">IF(AC217=0,1,0)</f>
        <v>1</v>
      </c>
      <c r="AE217" s="7" t="n">
        <f aca="false">IF(AND(O217=1,I217&gt;=Inputs!$B$6,I217&lt;=Inputs!$B$7),1,0)</f>
        <v>0</v>
      </c>
      <c r="AF217" s="7" t="n">
        <f aca="false">IF(AND(E217="Closed Won",I217&gt;=Inputs!$B$6,I217&lt;=Inputs!$B$4),1,0)</f>
        <v>1</v>
      </c>
      <c r="AG217" s="7" t="n">
        <f aca="false">IF(AND(O217=0,I217&gt;Inputs!$B$4-Inputs!$B$8,I217&lt;=Inputs!$B$4),1,0)</f>
        <v>1</v>
      </c>
      <c r="AH217" s="7" t="n">
        <f aca="false">I217-H217</f>
        <v>105</v>
      </c>
    </row>
    <row r="218" customFormat="false" ht="15" hidden="false" customHeight="false" outlineLevel="0" collapsed="false">
      <c r="A218" s="16" t="s">
        <v>1096</v>
      </c>
      <c r="B218" s="16" t="s">
        <v>656</v>
      </c>
      <c r="C218" s="16" t="s">
        <v>1097</v>
      </c>
      <c r="D218" s="16" t="s">
        <v>167</v>
      </c>
      <c r="E218" s="16" t="s">
        <v>528</v>
      </c>
      <c r="F218" s="26" t="n">
        <v>4419000</v>
      </c>
      <c r="G218" s="25" t="n">
        <v>50</v>
      </c>
      <c r="H218" s="22" t="n">
        <v>46260</v>
      </c>
      <c r="I218" s="22" t="n">
        <v>46283</v>
      </c>
      <c r="J218" s="22" t="n">
        <v>46282</v>
      </c>
      <c r="K218" s="16" t="s">
        <v>717</v>
      </c>
      <c r="L218" s="16" t="s">
        <v>592</v>
      </c>
      <c r="M218" s="16" t="s">
        <v>601</v>
      </c>
      <c r="N218" s="16"/>
      <c r="O218" s="7" t="n">
        <f aca="false">IF(OR(E218="Closed Won",E218="Closed Lost"),0,1)</f>
        <v>1</v>
      </c>
      <c r="P218" s="17" t="str">
        <f aca="false">INDEX(Accounts!$K$5:$K$336,MATCH(B218,Accounts!$A$5:$A$336,0))</f>
        <v>Unassigned</v>
      </c>
      <c r="Q218" s="17" t="str">
        <f aca="false">INDEX(Accounts!$D$5:$D$336,MATCH(B218,Accounts!$A$5:$A$336,0))</f>
        <v>Standard</v>
      </c>
      <c r="R218" s="7" t="n">
        <f aca="false">INDEX(Inputs!$B$11:$B$16,MATCH(E218,Inputs!$A$11:$A$16,0))</f>
        <v>50</v>
      </c>
      <c r="S218" s="27" t="n">
        <f aca="false">IF(F218="",0,F218)*R218/100</f>
        <v>2209500</v>
      </c>
      <c r="T218" s="7" t="n">
        <f aca="false">Inputs!$B$4-J218</f>
        <v>32</v>
      </c>
      <c r="U218" s="7" t="n">
        <f aca="false">IF(OR(F218="",F218=0),1,0)</f>
        <v>0</v>
      </c>
      <c r="V218" s="7" t="n">
        <f aca="false">IF(K218="",1,0)</f>
        <v>0</v>
      </c>
      <c r="W218" s="7" t="n">
        <f aca="false">IF(AND(O218=1,K218&lt;&gt;"",COUNTIFS(Owners!$A$5:$A$32,K218,Owners!$E$5:$E$32,"No")&gt;0),1,0)</f>
        <v>0</v>
      </c>
      <c r="X218" s="7" t="n">
        <f aca="false">IF(AND(O218=1,I218&lt;Inputs!$B$4),1,0)</f>
        <v>1</v>
      </c>
      <c r="Y218" s="7" t="n">
        <f aca="false">IF(AND(O218=1,T218&gt;Inputs!$B$5),1,0)</f>
        <v>0</v>
      </c>
      <c r="Z218" s="7" t="n">
        <f aca="false">IF(AND(O218=1,G218&lt;&gt;R218),1,0)</f>
        <v>0</v>
      </c>
      <c r="AA218" s="7" t="n">
        <f aca="false">IF(AND(O218=1,M218=""),1,0)</f>
        <v>0</v>
      </c>
      <c r="AB218" s="7" t="n">
        <f aca="false">IF(AND(E218="Closed Lost",N218=""),1,0)</f>
        <v>0</v>
      </c>
      <c r="AC218" s="7" t="n">
        <f aca="false">SUM(U218:AB218)</f>
        <v>1</v>
      </c>
      <c r="AD218" s="7" t="n">
        <f aca="false">IF(AC218=0,1,0)</f>
        <v>0</v>
      </c>
      <c r="AE218" s="7" t="n">
        <f aca="false">IF(AND(O218=1,I218&gt;=Inputs!$B$6,I218&lt;=Inputs!$B$7),1,0)</f>
        <v>1</v>
      </c>
      <c r="AF218" s="7" t="n">
        <f aca="false">IF(AND(E218="Closed Won",I218&gt;=Inputs!$B$6,I218&lt;=Inputs!$B$4),1,0)</f>
        <v>0</v>
      </c>
      <c r="AG218" s="7" t="n">
        <f aca="false">IF(AND(O218=0,I218&gt;Inputs!$B$4-Inputs!$B$8,I218&lt;=Inputs!$B$4),1,0)</f>
        <v>0</v>
      </c>
      <c r="AH218" s="7" t="n">
        <f aca="false">I218-H218</f>
        <v>23</v>
      </c>
    </row>
    <row r="219" customFormat="false" ht="15" hidden="false" customHeight="false" outlineLevel="0" collapsed="false">
      <c r="A219" s="16" t="s">
        <v>1098</v>
      </c>
      <c r="B219" s="16" t="s">
        <v>208</v>
      </c>
      <c r="C219" s="16" t="s">
        <v>1099</v>
      </c>
      <c r="D219" s="16" t="s">
        <v>165</v>
      </c>
      <c r="E219" s="16" t="s">
        <v>530</v>
      </c>
      <c r="F219" s="26" t="n">
        <v>20568000</v>
      </c>
      <c r="G219" s="25" t="n">
        <v>100</v>
      </c>
      <c r="H219" s="22" t="n">
        <v>45983</v>
      </c>
      <c r="I219" s="22" t="n">
        <v>46194</v>
      </c>
      <c r="J219" s="22" t="n">
        <v>46194</v>
      </c>
      <c r="K219" s="16" t="s">
        <v>640</v>
      </c>
      <c r="L219" s="16" t="s">
        <v>592</v>
      </c>
      <c r="M219" s="16"/>
      <c r="N219" s="16"/>
      <c r="O219" s="7" t="n">
        <f aca="false">IF(OR(E219="Closed Won",E219="Closed Lost"),0,1)</f>
        <v>0</v>
      </c>
      <c r="P219" s="17" t="str">
        <f aca="false">INDEX(Accounts!$K$5:$K$336,MATCH(B219,Accounts!$A$5:$A$336,0))</f>
        <v>Financial Services</v>
      </c>
      <c r="Q219" s="17" t="str">
        <f aca="false">INDEX(Accounts!$D$5:$D$336,MATCH(B219,Accounts!$A$5:$A$336,0))</f>
        <v>Standard</v>
      </c>
      <c r="R219" s="7" t="n">
        <f aca="false">INDEX(Inputs!$B$11:$B$16,MATCH(E219,Inputs!$A$11:$A$16,0))</f>
        <v>100</v>
      </c>
      <c r="S219" s="27" t="n">
        <f aca="false">IF(F219="",0,F219)*R219/100</f>
        <v>20568000</v>
      </c>
      <c r="T219" s="7" t="n">
        <f aca="false">Inputs!$B$4-J219</f>
        <v>120</v>
      </c>
      <c r="U219" s="7" t="n">
        <f aca="false">IF(OR(F219="",F219=0),1,0)</f>
        <v>0</v>
      </c>
      <c r="V219" s="7" t="n">
        <f aca="false">IF(K219="",1,0)</f>
        <v>0</v>
      </c>
      <c r="W219" s="7" t="n">
        <f aca="false">IF(AND(O219=1,K219&lt;&gt;"",COUNTIFS(Owners!$A$5:$A$32,K219,Owners!$E$5:$E$32,"No")&gt;0),1,0)</f>
        <v>0</v>
      </c>
      <c r="X219" s="7" t="n">
        <f aca="false">IF(AND(O219=1,I219&lt;Inputs!$B$4),1,0)</f>
        <v>0</v>
      </c>
      <c r="Y219" s="7" t="n">
        <f aca="false">IF(AND(O219=1,T219&gt;Inputs!$B$5),1,0)</f>
        <v>0</v>
      </c>
      <c r="Z219" s="7" t="n">
        <f aca="false">IF(AND(O219=1,G219&lt;&gt;R219),1,0)</f>
        <v>0</v>
      </c>
      <c r="AA219" s="7" t="n">
        <f aca="false">IF(AND(O219=1,M219=""),1,0)</f>
        <v>0</v>
      </c>
      <c r="AB219" s="7" t="n">
        <f aca="false">IF(AND(E219="Closed Lost",N219=""),1,0)</f>
        <v>0</v>
      </c>
      <c r="AC219" s="7" t="n">
        <f aca="false">SUM(U219:AB219)</f>
        <v>0</v>
      </c>
      <c r="AD219" s="7" t="n">
        <f aca="false">IF(AC219=0,1,0)</f>
        <v>1</v>
      </c>
      <c r="AE219" s="7" t="n">
        <f aca="false">IF(AND(O219=1,I219&gt;=Inputs!$B$6,I219&lt;=Inputs!$B$7),1,0)</f>
        <v>0</v>
      </c>
      <c r="AF219" s="7" t="n">
        <f aca="false">IF(AND(E219="Closed Won",I219&gt;=Inputs!$B$6,I219&lt;=Inputs!$B$4),1,0)</f>
        <v>0</v>
      </c>
      <c r="AG219" s="7" t="n">
        <f aca="false">IF(AND(O219=0,I219&gt;Inputs!$B$4-Inputs!$B$8,I219&lt;=Inputs!$B$4),1,0)</f>
        <v>1</v>
      </c>
      <c r="AH219" s="7" t="n">
        <f aca="false">I219-H219</f>
        <v>211</v>
      </c>
    </row>
    <row r="220" customFormat="false" ht="15" hidden="false" customHeight="false" outlineLevel="0" collapsed="false">
      <c r="A220" s="16" t="s">
        <v>1100</v>
      </c>
      <c r="B220" s="16" t="s">
        <v>709</v>
      </c>
      <c r="C220" s="16" t="s">
        <v>1101</v>
      </c>
      <c r="D220" s="16" t="s">
        <v>165</v>
      </c>
      <c r="E220" s="16" t="s">
        <v>531</v>
      </c>
      <c r="F220" s="26" t="n">
        <v>9797000</v>
      </c>
      <c r="G220" s="25" t="n">
        <v>0</v>
      </c>
      <c r="H220" s="22" t="n">
        <v>45990</v>
      </c>
      <c r="I220" s="22" t="n">
        <v>46081</v>
      </c>
      <c r="J220" s="22" t="n">
        <v>46081</v>
      </c>
      <c r="K220" s="16" t="s">
        <v>685</v>
      </c>
      <c r="L220" s="16" t="s">
        <v>584</v>
      </c>
      <c r="M220" s="16"/>
      <c r="N220" s="16" t="s">
        <v>610</v>
      </c>
      <c r="O220" s="7" t="n">
        <f aca="false">IF(OR(E220="Closed Won",E220="Closed Lost"),0,1)</f>
        <v>0</v>
      </c>
      <c r="P220" s="17" t="str">
        <f aca="false">INDEX(Accounts!$K$5:$K$336,MATCH(B220,Accounts!$A$5:$A$336,0))</f>
        <v>Health</v>
      </c>
      <c r="Q220" s="17" t="str">
        <f aca="false">INDEX(Accounts!$D$5:$D$336,MATCH(B220,Accounts!$A$5:$A$336,0))</f>
        <v>Key</v>
      </c>
      <c r="R220" s="7" t="n">
        <f aca="false">INDEX(Inputs!$B$11:$B$16,MATCH(E220,Inputs!$A$11:$A$16,0))</f>
        <v>0</v>
      </c>
      <c r="S220" s="27" t="n">
        <f aca="false">IF(F220="",0,F220)*R220/100</f>
        <v>0</v>
      </c>
      <c r="T220" s="7" t="n">
        <f aca="false">Inputs!$B$4-J220</f>
        <v>233</v>
      </c>
      <c r="U220" s="7" t="n">
        <f aca="false">IF(OR(F220="",F220=0),1,0)</f>
        <v>0</v>
      </c>
      <c r="V220" s="7" t="n">
        <f aca="false">IF(K220="",1,0)</f>
        <v>0</v>
      </c>
      <c r="W220" s="7" t="n">
        <f aca="false">IF(AND(O220=1,K220&lt;&gt;"",COUNTIFS(Owners!$A$5:$A$32,K220,Owners!$E$5:$E$32,"No")&gt;0),1,0)</f>
        <v>0</v>
      </c>
      <c r="X220" s="7" t="n">
        <f aca="false">IF(AND(O220=1,I220&lt;Inputs!$B$4),1,0)</f>
        <v>0</v>
      </c>
      <c r="Y220" s="7" t="n">
        <f aca="false">IF(AND(O220=1,T220&gt;Inputs!$B$5),1,0)</f>
        <v>0</v>
      </c>
      <c r="Z220" s="7" t="n">
        <f aca="false">IF(AND(O220=1,G220&lt;&gt;R220),1,0)</f>
        <v>0</v>
      </c>
      <c r="AA220" s="7" t="n">
        <f aca="false">IF(AND(O220=1,M220=""),1,0)</f>
        <v>0</v>
      </c>
      <c r="AB220" s="7" t="n">
        <f aca="false">IF(AND(E220="Closed Lost",N220=""),1,0)</f>
        <v>0</v>
      </c>
      <c r="AC220" s="7" t="n">
        <f aca="false">SUM(U220:AB220)</f>
        <v>0</v>
      </c>
      <c r="AD220" s="7" t="n">
        <f aca="false">IF(AC220=0,1,0)</f>
        <v>1</v>
      </c>
      <c r="AE220" s="7" t="n">
        <f aca="false">IF(AND(O220=1,I220&gt;=Inputs!$B$6,I220&lt;=Inputs!$B$7),1,0)</f>
        <v>0</v>
      </c>
      <c r="AF220" s="7" t="n">
        <f aca="false">IF(AND(E220="Closed Won",I220&gt;=Inputs!$B$6,I220&lt;=Inputs!$B$4),1,0)</f>
        <v>0</v>
      </c>
      <c r="AG220" s="7" t="n">
        <f aca="false">IF(AND(O220=0,I220&gt;Inputs!$B$4-Inputs!$B$8,I220&lt;=Inputs!$B$4),1,0)</f>
        <v>1</v>
      </c>
      <c r="AH220" s="7" t="n">
        <f aca="false">I220-H220</f>
        <v>91</v>
      </c>
    </row>
    <row r="221" customFormat="false" ht="15" hidden="false" customHeight="false" outlineLevel="0" collapsed="false">
      <c r="A221" s="16" t="s">
        <v>1102</v>
      </c>
      <c r="B221" s="16" t="s">
        <v>367</v>
      </c>
      <c r="C221" s="16" t="s">
        <v>1103</v>
      </c>
      <c r="D221" s="16" t="s">
        <v>165</v>
      </c>
      <c r="E221" s="16" t="s">
        <v>531</v>
      </c>
      <c r="F221" s="26" t="n">
        <v>11981000</v>
      </c>
      <c r="G221" s="25" t="n">
        <v>0</v>
      </c>
      <c r="H221" s="22" t="n">
        <v>46033</v>
      </c>
      <c r="I221" s="22" t="n">
        <v>46284</v>
      </c>
      <c r="J221" s="22" t="n">
        <v>46284</v>
      </c>
      <c r="K221" s="16" t="s">
        <v>640</v>
      </c>
      <c r="L221" s="16" t="s">
        <v>584</v>
      </c>
      <c r="M221" s="16"/>
      <c r="N221" s="16" t="s">
        <v>597</v>
      </c>
      <c r="O221" s="7" t="n">
        <f aca="false">IF(OR(E221="Closed Won",E221="Closed Lost"),0,1)</f>
        <v>0</v>
      </c>
      <c r="P221" s="17" t="str">
        <f aca="false">INDEX(Accounts!$K$5:$K$336,MATCH(B221,Accounts!$A$5:$A$336,0))</f>
        <v>Agribusiness</v>
      </c>
      <c r="Q221" s="17" t="str">
        <f aca="false">INDEX(Accounts!$D$5:$D$336,MATCH(B221,Accounts!$A$5:$A$336,0))</f>
        <v>Standard</v>
      </c>
      <c r="R221" s="7" t="n">
        <f aca="false">INDEX(Inputs!$B$11:$B$16,MATCH(E221,Inputs!$A$11:$A$16,0))</f>
        <v>0</v>
      </c>
      <c r="S221" s="27" t="n">
        <f aca="false">IF(F221="",0,F221)*R221/100</f>
        <v>0</v>
      </c>
      <c r="T221" s="7" t="n">
        <f aca="false">Inputs!$B$4-J221</f>
        <v>30</v>
      </c>
      <c r="U221" s="7" t="n">
        <f aca="false">IF(OR(F221="",F221=0),1,0)</f>
        <v>0</v>
      </c>
      <c r="V221" s="7" t="n">
        <f aca="false">IF(K221="",1,0)</f>
        <v>0</v>
      </c>
      <c r="W221" s="7" t="n">
        <f aca="false">IF(AND(O221=1,K221&lt;&gt;"",COUNTIFS(Owners!$A$5:$A$32,K221,Owners!$E$5:$E$32,"No")&gt;0),1,0)</f>
        <v>0</v>
      </c>
      <c r="X221" s="7" t="n">
        <f aca="false">IF(AND(O221=1,I221&lt;Inputs!$B$4),1,0)</f>
        <v>0</v>
      </c>
      <c r="Y221" s="7" t="n">
        <f aca="false">IF(AND(O221=1,T221&gt;Inputs!$B$5),1,0)</f>
        <v>0</v>
      </c>
      <c r="Z221" s="7" t="n">
        <f aca="false">IF(AND(O221=1,G221&lt;&gt;R221),1,0)</f>
        <v>0</v>
      </c>
      <c r="AA221" s="7" t="n">
        <f aca="false">IF(AND(O221=1,M221=""),1,0)</f>
        <v>0</v>
      </c>
      <c r="AB221" s="7" t="n">
        <f aca="false">IF(AND(E221="Closed Lost",N221=""),1,0)</f>
        <v>0</v>
      </c>
      <c r="AC221" s="7" t="n">
        <f aca="false">SUM(U221:AB221)</f>
        <v>0</v>
      </c>
      <c r="AD221" s="7" t="n">
        <f aca="false">IF(AC221=0,1,0)</f>
        <v>1</v>
      </c>
      <c r="AE221" s="7" t="n">
        <f aca="false">IF(AND(O221=1,I221&gt;=Inputs!$B$6,I221&lt;=Inputs!$B$7),1,0)</f>
        <v>0</v>
      </c>
      <c r="AF221" s="7" t="n">
        <f aca="false">IF(AND(E221="Closed Won",I221&gt;=Inputs!$B$6,I221&lt;=Inputs!$B$4),1,0)</f>
        <v>0</v>
      </c>
      <c r="AG221" s="7" t="n">
        <f aca="false">IF(AND(O221=0,I221&gt;Inputs!$B$4-Inputs!$B$8,I221&lt;=Inputs!$B$4),1,0)</f>
        <v>1</v>
      </c>
      <c r="AH221" s="7" t="n">
        <f aca="false">I221-H221</f>
        <v>251</v>
      </c>
    </row>
    <row r="222" customFormat="false" ht="15" hidden="false" customHeight="false" outlineLevel="0" collapsed="false">
      <c r="A222" s="16" t="s">
        <v>1104</v>
      </c>
      <c r="B222" s="16" t="s">
        <v>70</v>
      </c>
      <c r="C222" s="16" t="s">
        <v>1105</v>
      </c>
      <c r="D222" s="16" t="s">
        <v>167</v>
      </c>
      <c r="E222" s="16" t="s">
        <v>531</v>
      </c>
      <c r="F222" s="26" t="n">
        <v>4354000</v>
      </c>
      <c r="G222" s="25" t="n">
        <v>0</v>
      </c>
      <c r="H222" s="22" t="n">
        <v>46147</v>
      </c>
      <c r="I222" s="22" t="n">
        <v>46257</v>
      </c>
      <c r="J222" s="22" t="n">
        <v>46257</v>
      </c>
      <c r="K222" s="16" t="s">
        <v>633</v>
      </c>
      <c r="L222" s="16" t="s">
        <v>500</v>
      </c>
      <c r="M222" s="16"/>
      <c r="N222" s="16" t="s">
        <v>579</v>
      </c>
      <c r="O222" s="7" t="n">
        <f aca="false">IF(OR(E222="Closed Won",E222="Closed Lost"),0,1)</f>
        <v>0</v>
      </c>
      <c r="P222" s="17" t="str">
        <f aca="false">INDEX(Accounts!$K$5:$K$336,MATCH(B222,Accounts!$A$5:$A$336,0))</f>
        <v>Consumer &amp; Retail</v>
      </c>
      <c r="Q222" s="17" t="str">
        <f aca="false">INDEX(Accounts!$D$5:$D$336,MATCH(B222,Accounts!$A$5:$A$336,0))</f>
        <v>Priority</v>
      </c>
      <c r="R222" s="7" t="n">
        <f aca="false">INDEX(Inputs!$B$11:$B$16,MATCH(E222,Inputs!$A$11:$A$16,0))</f>
        <v>0</v>
      </c>
      <c r="S222" s="27" t="n">
        <f aca="false">IF(F222="",0,F222)*R222/100</f>
        <v>0</v>
      </c>
      <c r="T222" s="7" t="n">
        <f aca="false">Inputs!$B$4-J222</f>
        <v>57</v>
      </c>
      <c r="U222" s="7" t="n">
        <f aca="false">IF(OR(F222="",F222=0),1,0)</f>
        <v>0</v>
      </c>
      <c r="V222" s="7" t="n">
        <f aca="false">IF(K222="",1,0)</f>
        <v>0</v>
      </c>
      <c r="W222" s="7" t="n">
        <f aca="false">IF(AND(O222=1,K222&lt;&gt;"",COUNTIFS(Owners!$A$5:$A$32,K222,Owners!$E$5:$E$32,"No")&gt;0),1,0)</f>
        <v>0</v>
      </c>
      <c r="X222" s="7" t="n">
        <f aca="false">IF(AND(O222=1,I222&lt;Inputs!$B$4),1,0)</f>
        <v>0</v>
      </c>
      <c r="Y222" s="7" t="n">
        <f aca="false">IF(AND(O222=1,T222&gt;Inputs!$B$5),1,0)</f>
        <v>0</v>
      </c>
      <c r="Z222" s="7" t="n">
        <f aca="false">IF(AND(O222=1,G222&lt;&gt;R222),1,0)</f>
        <v>0</v>
      </c>
      <c r="AA222" s="7" t="n">
        <f aca="false">IF(AND(O222=1,M222=""),1,0)</f>
        <v>0</v>
      </c>
      <c r="AB222" s="7" t="n">
        <f aca="false">IF(AND(E222="Closed Lost",N222=""),1,0)</f>
        <v>0</v>
      </c>
      <c r="AC222" s="7" t="n">
        <f aca="false">SUM(U222:AB222)</f>
        <v>0</v>
      </c>
      <c r="AD222" s="7" t="n">
        <f aca="false">IF(AC222=0,1,0)</f>
        <v>1</v>
      </c>
      <c r="AE222" s="7" t="n">
        <f aca="false">IF(AND(O222=1,I222&gt;=Inputs!$B$6,I222&lt;=Inputs!$B$7),1,0)</f>
        <v>0</v>
      </c>
      <c r="AF222" s="7" t="n">
        <f aca="false">IF(AND(E222="Closed Won",I222&gt;=Inputs!$B$6,I222&lt;=Inputs!$B$4),1,0)</f>
        <v>0</v>
      </c>
      <c r="AG222" s="7" t="n">
        <f aca="false">IF(AND(O222=0,I222&gt;Inputs!$B$4-Inputs!$B$8,I222&lt;=Inputs!$B$4),1,0)</f>
        <v>1</v>
      </c>
      <c r="AH222" s="7" t="n">
        <f aca="false">I222-H222</f>
        <v>110</v>
      </c>
    </row>
    <row r="223" customFormat="false" ht="15" hidden="false" customHeight="false" outlineLevel="0" collapsed="false">
      <c r="A223" s="16" t="s">
        <v>1106</v>
      </c>
      <c r="B223" s="16" t="s">
        <v>250</v>
      </c>
      <c r="C223" s="16" t="s">
        <v>1107</v>
      </c>
      <c r="D223" s="16" t="s">
        <v>177</v>
      </c>
      <c r="E223" s="16" t="s">
        <v>531</v>
      </c>
      <c r="F223" s="26" t="n">
        <v>4670000</v>
      </c>
      <c r="G223" s="25" t="n">
        <v>0</v>
      </c>
      <c r="H223" s="22" t="n">
        <v>46123</v>
      </c>
      <c r="I223" s="22" t="n">
        <v>46263</v>
      </c>
      <c r="J223" s="22" t="n">
        <v>46263</v>
      </c>
      <c r="K223" s="16" t="s">
        <v>622</v>
      </c>
      <c r="L223" s="16" t="s">
        <v>592</v>
      </c>
      <c r="M223" s="16"/>
      <c r="N223" s="16" t="s">
        <v>579</v>
      </c>
      <c r="O223" s="7" t="n">
        <f aca="false">IF(OR(E223="Closed Won",E223="Closed Lost"),0,1)</f>
        <v>0</v>
      </c>
      <c r="P223" s="17" t="str">
        <f aca="false">INDEX(Accounts!$K$5:$K$336,MATCH(B223,Accounts!$A$5:$A$336,0))</f>
        <v>Public Sector &amp; Development</v>
      </c>
      <c r="Q223" s="17" t="str">
        <f aca="false">INDEX(Accounts!$D$5:$D$336,MATCH(B223,Accounts!$A$5:$A$336,0))</f>
        <v>Standard</v>
      </c>
      <c r="R223" s="7" t="n">
        <f aca="false">INDEX(Inputs!$B$11:$B$16,MATCH(E223,Inputs!$A$11:$A$16,0))</f>
        <v>0</v>
      </c>
      <c r="S223" s="27" t="n">
        <f aca="false">IF(F223="",0,F223)*R223/100</f>
        <v>0</v>
      </c>
      <c r="T223" s="7" t="n">
        <f aca="false">Inputs!$B$4-J223</f>
        <v>51</v>
      </c>
      <c r="U223" s="7" t="n">
        <f aca="false">IF(OR(F223="",F223=0),1,0)</f>
        <v>0</v>
      </c>
      <c r="V223" s="7" t="n">
        <f aca="false">IF(K223="",1,0)</f>
        <v>0</v>
      </c>
      <c r="W223" s="7" t="n">
        <f aca="false">IF(AND(O223=1,K223&lt;&gt;"",COUNTIFS(Owners!$A$5:$A$32,K223,Owners!$E$5:$E$32,"No")&gt;0),1,0)</f>
        <v>0</v>
      </c>
      <c r="X223" s="7" t="n">
        <f aca="false">IF(AND(O223=1,I223&lt;Inputs!$B$4),1,0)</f>
        <v>0</v>
      </c>
      <c r="Y223" s="7" t="n">
        <f aca="false">IF(AND(O223=1,T223&gt;Inputs!$B$5),1,0)</f>
        <v>0</v>
      </c>
      <c r="Z223" s="7" t="n">
        <f aca="false">IF(AND(O223=1,G223&lt;&gt;R223),1,0)</f>
        <v>0</v>
      </c>
      <c r="AA223" s="7" t="n">
        <f aca="false">IF(AND(O223=1,M223=""),1,0)</f>
        <v>0</v>
      </c>
      <c r="AB223" s="7" t="n">
        <f aca="false">IF(AND(E223="Closed Lost",N223=""),1,0)</f>
        <v>0</v>
      </c>
      <c r="AC223" s="7" t="n">
        <f aca="false">SUM(U223:AB223)</f>
        <v>0</v>
      </c>
      <c r="AD223" s="7" t="n">
        <f aca="false">IF(AC223=0,1,0)</f>
        <v>1</v>
      </c>
      <c r="AE223" s="7" t="n">
        <f aca="false">IF(AND(O223=1,I223&gt;=Inputs!$B$6,I223&lt;=Inputs!$B$7),1,0)</f>
        <v>0</v>
      </c>
      <c r="AF223" s="7" t="n">
        <f aca="false">IF(AND(E223="Closed Won",I223&gt;=Inputs!$B$6,I223&lt;=Inputs!$B$4),1,0)</f>
        <v>0</v>
      </c>
      <c r="AG223" s="7" t="n">
        <f aca="false">IF(AND(O223=0,I223&gt;Inputs!$B$4-Inputs!$B$8,I223&lt;=Inputs!$B$4),1,0)</f>
        <v>1</v>
      </c>
      <c r="AH223" s="7" t="n">
        <f aca="false">I223-H223</f>
        <v>140</v>
      </c>
    </row>
    <row r="224" customFormat="false" ht="15" hidden="false" customHeight="false" outlineLevel="0" collapsed="false">
      <c r="A224" s="16" t="s">
        <v>1108</v>
      </c>
      <c r="B224" s="16" t="s">
        <v>86</v>
      </c>
      <c r="C224" s="16" t="s">
        <v>1109</v>
      </c>
      <c r="D224" s="16" t="s">
        <v>158</v>
      </c>
      <c r="E224" s="16" t="s">
        <v>527</v>
      </c>
      <c r="F224" s="26"/>
      <c r="G224" s="25" t="n">
        <v>25</v>
      </c>
      <c r="H224" s="22" t="n">
        <v>46227</v>
      </c>
      <c r="I224" s="22" t="n">
        <v>46403</v>
      </c>
      <c r="J224" s="22" t="n">
        <v>46287</v>
      </c>
      <c r="K224" s="16" t="s">
        <v>633</v>
      </c>
      <c r="L224" s="16" t="s">
        <v>584</v>
      </c>
      <c r="M224" s="16" t="s">
        <v>569</v>
      </c>
      <c r="N224" s="16"/>
      <c r="O224" s="7" t="n">
        <f aca="false">IF(OR(E224="Closed Won",E224="Closed Lost"),0,1)</f>
        <v>1</v>
      </c>
      <c r="P224" s="17" t="str">
        <f aca="false">INDEX(Accounts!$K$5:$K$336,MATCH(B224,Accounts!$A$5:$A$336,0))</f>
        <v>Technology, Media &amp; Telecom</v>
      </c>
      <c r="Q224" s="17" t="str">
        <f aca="false">INDEX(Accounts!$D$5:$D$336,MATCH(B224,Accounts!$A$5:$A$336,0))</f>
        <v>Priority</v>
      </c>
      <c r="R224" s="7" t="n">
        <f aca="false">INDEX(Inputs!$B$11:$B$16,MATCH(E224,Inputs!$A$11:$A$16,0))</f>
        <v>25</v>
      </c>
      <c r="S224" s="27" t="n">
        <f aca="false">IF(F224="",0,F224)*R224/100</f>
        <v>0</v>
      </c>
      <c r="T224" s="7" t="n">
        <f aca="false">Inputs!$B$4-J224</f>
        <v>27</v>
      </c>
      <c r="U224" s="7" t="n">
        <f aca="false">IF(OR(F224="",F224=0),1,0)</f>
        <v>1</v>
      </c>
      <c r="V224" s="7" t="n">
        <f aca="false">IF(K224="",1,0)</f>
        <v>0</v>
      </c>
      <c r="W224" s="7" t="n">
        <f aca="false">IF(AND(O224=1,K224&lt;&gt;"",COUNTIFS(Owners!$A$5:$A$32,K224,Owners!$E$5:$E$32,"No")&gt;0),1,0)</f>
        <v>0</v>
      </c>
      <c r="X224" s="7" t="n">
        <f aca="false">IF(AND(O224=1,I224&lt;Inputs!$B$4),1,0)</f>
        <v>0</v>
      </c>
      <c r="Y224" s="7" t="n">
        <f aca="false">IF(AND(O224=1,T224&gt;Inputs!$B$5),1,0)</f>
        <v>0</v>
      </c>
      <c r="Z224" s="7" t="n">
        <f aca="false">IF(AND(O224=1,G224&lt;&gt;R224),1,0)</f>
        <v>0</v>
      </c>
      <c r="AA224" s="7" t="n">
        <f aca="false">IF(AND(O224=1,M224=""),1,0)</f>
        <v>0</v>
      </c>
      <c r="AB224" s="7" t="n">
        <f aca="false">IF(AND(E224="Closed Lost",N224=""),1,0)</f>
        <v>0</v>
      </c>
      <c r="AC224" s="7" t="n">
        <f aca="false">SUM(U224:AB224)</f>
        <v>1</v>
      </c>
      <c r="AD224" s="7" t="n">
        <f aca="false">IF(AC224=0,1,0)</f>
        <v>0</v>
      </c>
      <c r="AE224" s="7" t="n">
        <f aca="false">IF(AND(O224=1,I224&gt;=Inputs!$B$6,I224&lt;=Inputs!$B$7),1,0)</f>
        <v>1</v>
      </c>
      <c r="AF224" s="7" t="n">
        <f aca="false">IF(AND(E224="Closed Won",I224&gt;=Inputs!$B$6,I224&lt;=Inputs!$B$4),1,0)</f>
        <v>0</v>
      </c>
      <c r="AG224" s="7" t="n">
        <f aca="false">IF(AND(O224=0,I224&gt;Inputs!$B$4-Inputs!$B$8,I224&lt;=Inputs!$B$4),1,0)</f>
        <v>0</v>
      </c>
      <c r="AH224" s="7" t="n">
        <f aca="false">I224-H224</f>
        <v>176</v>
      </c>
    </row>
    <row r="225" customFormat="false" ht="15" hidden="false" customHeight="false" outlineLevel="0" collapsed="false">
      <c r="A225" s="16" t="s">
        <v>1110</v>
      </c>
      <c r="B225" s="16" t="s">
        <v>61</v>
      </c>
      <c r="C225" s="16" t="s">
        <v>1111</v>
      </c>
      <c r="D225" s="16" t="s">
        <v>167</v>
      </c>
      <c r="E225" s="16" t="s">
        <v>530</v>
      </c>
      <c r="F225" s="26" t="n">
        <v>5154000</v>
      </c>
      <c r="G225" s="25" t="n">
        <v>100</v>
      </c>
      <c r="H225" s="22" t="n">
        <v>46095</v>
      </c>
      <c r="I225" s="22" t="n">
        <v>46267</v>
      </c>
      <c r="J225" s="22" t="n">
        <v>46267</v>
      </c>
      <c r="K225" s="16" t="s">
        <v>640</v>
      </c>
      <c r="L225" s="16" t="s">
        <v>584</v>
      </c>
      <c r="M225" s="16"/>
      <c r="N225" s="16"/>
      <c r="O225" s="7" t="n">
        <f aca="false">IF(OR(E225="Closed Won",E225="Closed Lost"),0,1)</f>
        <v>0</v>
      </c>
      <c r="P225" s="17" t="str">
        <f aca="false">INDEX(Accounts!$K$5:$K$336,MATCH(B225,Accounts!$A$5:$A$336,0))</f>
        <v>Agribusiness</v>
      </c>
      <c r="Q225" s="17" t="str">
        <f aca="false">INDEX(Accounts!$D$5:$D$336,MATCH(B225,Accounts!$A$5:$A$336,0))</f>
        <v>Priority</v>
      </c>
      <c r="R225" s="7" t="n">
        <f aca="false">INDEX(Inputs!$B$11:$B$16,MATCH(E225,Inputs!$A$11:$A$16,0))</f>
        <v>100</v>
      </c>
      <c r="S225" s="27" t="n">
        <f aca="false">IF(F225="",0,F225)*R225/100</f>
        <v>5154000</v>
      </c>
      <c r="T225" s="7" t="n">
        <f aca="false">Inputs!$B$4-J225</f>
        <v>47</v>
      </c>
      <c r="U225" s="7" t="n">
        <f aca="false">IF(OR(F225="",F225=0),1,0)</f>
        <v>0</v>
      </c>
      <c r="V225" s="7" t="n">
        <f aca="false">IF(K225="",1,0)</f>
        <v>0</v>
      </c>
      <c r="W225" s="7" t="n">
        <f aca="false">IF(AND(O225=1,K225&lt;&gt;"",COUNTIFS(Owners!$A$5:$A$32,K225,Owners!$E$5:$E$32,"No")&gt;0),1,0)</f>
        <v>0</v>
      </c>
      <c r="X225" s="7" t="n">
        <f aca="false">IF(AND(O225=1,I225&lt;Inputs!$B$4),1,0)</f>
        <v>0</v>
      </c>
      <c r="Y225" s="7" t="n">
        <f aca="false">IF(AND(O225=1,T225&gt;Inputs!$B$5),1,0)</f>
        <v>0</v>
      </c>
      <c r="Z225" s="7" t="n">
        <f aca="false">IF(AND(O225=1,G225&lt;&gt;R225),1,0)</f>
        <v>0</v>
      </c>
      <c r="AA225" s="7" t="n">
        <f aca="false">IF(AND(O225=1,M225=""),1,0)</f>
        <v>0</v>
      </c>
      <c r="AB225" s="7" t="n">
        <f aca="false">IF(AND(E225="Closed Lost",N225=""),1,0)</f>
        <v>0</v>
      </c>
      <c r="AC225" s="7" t="n">
        <f aca="false">SUM(U225:AB225)</f>
        <v>0</v>
      </c>
      <c r="AD225" s="7" t="n">
        <f aca="false">IF(AC225=0,1,0)</f>
        <v>1</v>
      </c>
      <c r="AE225" s="7" t="n">
        <f aca="false">IF(AND(O225=1,I225&gt;=Inputs!$B$6,I225&lt;=Inputs!$B$7),1,0)</f>
        <v>0</v>
      </c>
      <c r="AF225" s="7" t="n">
        <f aca="false">IF(AND(E225="Closed Won",I225&gt;=Inputs!$B$6,I225&lt;=Inputs!$B$4),1,0)</f>
        <v>1</v>
      </c>
      <c r="AG225" s="7" t="n">
        <f aca="false">IF(AND(O225=0,I225&gt;Inputs!$B$4-Inputs!$B$8,I225&lt;=Inputs!$B$4),1,0)</f>
        <v>1</v>
      </c>
      <c r="AH225" s="7" t="n">
        <f aca="false">I225-H225</f>
        <v>172</v>
      </c>
    </row>
    <row r="226" customFormat="false" ht="15" hidden="false" customHeight="false" outlineLevel="0" collapsed="false">
      <c r="A226" s="16" t="s">
        <v>1112</v>
      </c>
      <c r="B226" s="16" t="s">
        <v>224</v>
      </c>
      <c r="C226" s="16" t="s">
        <v>1113</v>
      </c>
      <c r="D226" s="16" t="s">
        <v>162</v>
      </c>
      <c r="E226" s="16" t="s">
        <v>531</v>
      </c>
      <c r="F226" s="26" t="n">
        <v>4792000</v>
      </c>
      <c r="G226" s="25" t="n">
        <v>0</v>
      </c>
      <c r="H226" s="22" t="n">
        <v>45974</v>
      </c>
      <c r="I226" s="22" t="n">
        <v>46177</v>
      </c>
      <c r="J226" s="22" t="n">
        <v>46177</v>
      </c>
      <c r="K226" s="16" t="s">
        <v>640</v>
      </c>
      <c r="L226" s="16" t="s">
        <v>592</v>
      </c>
      <c r="M226" s="16"/>
      <c r="N226" s="16" t="s">
        <v>722</v>
      </c>
      <c r="O226" s="7" t="n">
        <f aca="false">IF(OR(E226="Closed Won",E226="Closed Lost"),0,1)</f>
        <v>0</v>
      </c>
      <c r="P226" s="17" t="str">
        <f aca="false">INDEX(Accounts!$K$5:$K$336,MATCH(B226,Accounts!$A$5:$A$336,0))</f>
        <v>Energy &amp; Resources</v>
      </c>
      <c r="Q226" s="17" t="str">
        <f aca="false">INDEX(Accounts!$D$5:$D$336,MATCH(B226,Accounts!$A$5:$A$336,0))</f>
        <v>Standard</v>
      </c>
      <c r="R226" s="7" t="n">
        <f aca="false">INDEX(Inputs!$B$11:$B$16,MATCH(E226,Inputs!$A$11:$A$16,0))</f>
        <v>0</v>
      </c>
      <c r="S226" s="27" t="n">
        <f aca="false">IF(F226="",0,F226)*R226/100</f>
        <v>0</v>
      </c>
      <c r="T226" s="7" t="n">
        <f aca="false">Inputs!$B$4-J226</f>
        <v>137</v>
      </c>
      <c r="U226" s="7" t="n">
        <f aca="false">IF(OR(F226="",F226=0),1,0)</f>
        <v>0</v>
      </c>
      <c r="V226" s="7" t="n">
        <f aca="false">IF(K226="",1,0)</f>
        <v>0</v>
      </c>
      <c r="W226" s="7" t="n">
        <f aca="false">IF(AND(O226=1,K226&lt;&gt;"",COUNTIFS(Owners!$A$5:$A$32,K226,Owners!$E$5:$E$32,"No")&gt;0),1,0)</f>
        <v>0</v>
      </c>
      <c r="X226" s="7" t="n">
        <f aca="false">IF(AND(O226=1,I226&lt;Inputs!$B$4),1,0)</f>
        <v>0</v>
      </c>
      <c r="Y226" s="7" t="n">
        <f aca="false">IF(AND(O226=1,T226&gt;Inputs!$B$5),1,0)</f>
        <v>0</v>
      </c>
      <c r="Z226" s="7" t="n">
        <f aca="false">IF(AND(O226=1,G226&lt;&gt;R226),1,0)</f>
        <v>0</v>
      </c>
      <c r="AA226" s="7" t="n">
        <f aca="false">IF(AND(O226=1,M226=""),1,0)</f>
        <v>0</v>
      </c>
      <c r="AB226" s="7" t="n">
        <f aca="false">IF(AND(E226="Closed Lost",N226=""),1,0)</f>
        <v>0</v>
      </c>
      <c r="AC226" s="7" t="n">
        <f aca="false">SUM(U226:AB226)</f>
        <v>0</v>
      </c>
      <c r="AD226" s="7" t="n">
        <f aca="false">IF(AC226=0,1,0)</f>
        <v>1</v>
      </c>
      <c r="AE226" s="7" t="n">
        <f aca="false">IF(AND(O226=1,I226&gt;=Inputs!$B$6,I226&lt;=Inputs!$B$7),1,0)</f>
        <v>0</v>
      </c>
      <c r="AF226" s="7" t="n">
        <f aca="false">IF(AND(E226="Closed Won",I226&gt;=Inputs!$B$6,I226&lt;=Inputs!$B$4),1,0)</f>
        <v>0</v>
      </c>
      <c r="AG226" s="7" t="n">
        <f aca="false">IF(AND(O226=0,I226&gt;Inputs!$B$4-Inputs!$B$8,I226&lt;=Inputs!$B$4),1,0)</f>
        <v>1</v>
      </c>
      <c r="AH226" s="7" t="n">
        <f aca="false">I226-H226</f>
        <v>203</v>
      </c>
    </row>
    <row r="227" customFormat="false" ht="15" hidden="false" customHeight="false" outlineLevel="0" collapsed="false">
      <c r="A227" s="16" t="s">
        <v>1114</v>
      </c>
      <c r="B227" s="16" t="s">
        <v>72</v>
      </c>
      <c r="C227" s="16" t="s">
        <v>1115</v>
      </c>
      <c r="D227" s="16" t="s">
        <v>167</v>
      </c>
      <c r="E227" s="16" t="s">
        <v>531</v>
      </c>
      <c r="F227" s="26" t="n">
        <v>9322000</v>
      </c>
      <c r="G227" s="25" t="n">
        <v>0</v>
      </c>
      <c r="H227" s="22" t="n">
        <v>46013</v>
      </c>
      <c r="I227" s="22" t="n">
        <v>46288</v>
      </c>
      <c r="J227" s="22" t="n">
        <v>46288</v>
      </c>
      <c r="K227" s="16" t="s">
        <v>654</v>
      </c>
      <c r="L227" s="16" t="s">
        <v>609</v>
      </c>
      <c r="M227" s="16"/>
      <c r="N227" s="16" t="s">
        <v>579</v>
      </c>
      <c r="O227" s="7" t="n">
        <f aca="false">IF(OR(E227="Closed Won",E227="Closed Lost"),0,1)</f>
        <v>0</v>
      </c>
      <c r="P227" s="17" t="str">
        <f aca="false">INDEX(Accounts!$K$5:$K$336,MATCH(B227,Accounts!$A$5:$A$336,0))</f>
        <v>Consumer &amp; Retail</v>
      </c>
      <c r="Q227" s="17" t="str">
        <f aca="false">INDEX(Accounts!$D$5:$D$336,MATCH(B227,Accounts!$A$5:$A$336,0))</f>
        <v>Priority</v>
      </c>
      <c r="R227" s="7" t="n">
        <f aca="false">INDEX(Inputs!$B$11:$B$16,MATCH(E227,Inputs!$A$11:$A$16,0))</f>
        <v>0</v>
      </c>
      <c r="S227" s="27" t="n">
        <f aca="false">IF(F227="",0,F227)*R227/100</f>
        <v>0</v>
      </c>
      <c r="T227" s="7" t="n">
        <f aca="false">Inputs!$B$4-J227</f>
        <v>26</v>
      </c>
      <c r="U227" s="7" t="n">
        <f aca="false">IF(OR(F227="",F227=0),1,0)</f>
        <v>0</v>
      </c>
      <c r="V227" s="7" t="n">
        <f aca="false">IF(K227="",1,0)</f>
        <v>0</v>
      </c>
      <c r="W227" s="7" t="n">
        <f aca="false">IF(AND(O227=1,K227&lt;&gt;"",COUNTIFS(Owners!$A$5:$A$32,K227,Owners!$E$5:$E$32,"No")&gt;0),1,0)</f>
        <v>0</v>
      </c>
      <c r="X227" s="7" t="n">
        <f aca="false">IF(AND(O227=1,I227&lt;Inputs!$B$4),1,0)</f>
        <v>0</v>
      </c>
      <c r="Y227" s="7" t="n">
        <f aca="false">IF(AND(O227=1,T227&gt;Inputs!$B$5),1,0)</f>
        <v>0</v>
      </c>
      <c r="Z227" s="7" t="n">
        <f aca="false">IF(AND(O227=1,G227&lt;&gt;R227),1,0)</f>
        <v>0</v>
      </c>
      <c r="AA227" s="7" t="n">
        <f aca="false">IF(AND(O227=1,M227=""),1,0)</f>
        <v>0</v>
      </c>
      <c r="AB227" s="7" t="n">
        <f aca="false">IF(AND(E227="Closed Lost",N227=""),1,0)</f>
        <v>0</v>
      </c>
      <c r="AC227" s="7" t="n">
        <f aca="false">SUM(U227:AB227)</f>
        <v>0</v>
      </c>
      <c r="AD227" s="7" t="n">
        <f aca="false">IF(AC227=0,1,0)</f>
        <v>1</v>
      </c>
      <c r="AE227" s="7" t="n">
        <f aca="false">IF(AND(O227=1,I227&gt;=Inputs!$B$6,I227&lt;=Inputs!$B$7),1,0)</f>
        <v>0</v>
      </c>
      <c r="AF227" s="7" t="n">
        <f aca="false">IF(AND(E227="Closed Won",I227&gt;=Inputs!$B$6,I227&lt;=Inputs!$B$4),1,0)</f>
        <v>0</v>
      </c>
      <c r="AG227" s="7" t="n">
        <f aca="false">IF(AND(O227=0,I227&gt;Inputs!$B$4-Inputs!$B$8,I227&lt;=Inputs!$B$4),1,0)</f>
        <v>1</v>
      </c>
      <c r="AH227" s="7" t="n">
        <f aca="false">I227-H227</f>
        <v>275</v>
      </c>
    </row>
    <row r="228" customFormat="false" ht="15" hidden="false" customHeight="false" outlineLevel="0" collapsed="false">
      <c r="A228" s="16" t="s">
        <v>1116</v>
      </c>
      <c r="B228" s="16" t="s">
        <v>399</v>
      </c>
      <c r="C228" s="16" t="s">
        <v>1117</v>
      </c>
      <c r="D228" s="16" t="s">
        <v>165</v>
      </c>
      <c r="E228" s="16" t="s">
        <v>531</v>
      </c>
      <c r="F228" s="26" t="n">
        <v>2058000</v>
      </c>
      <c r="G228" s="25" t="n">
        <v>0</v>
      </c>
      <c r="H228" s="22" t="n">
        <v>46047</v>
      </c>
      <c r="I228" s="22" t="n">
        <v>46107</v>
      </c>
      <c r="J228" s="22" t="n">
        <v>46107</v>
      </c>
      <c r="K228" s="16" t="s">
        <v>600</v>
      </c>
      <c r="L228" s="16" t="s">
        <v>609</v>
      </c>
      <c r="M228" s="16"/>
      <c r="N228" s="16" t="s">
        <v>597</v>
      </c>
      <c r="O228" s="7" t="n">
        <f aca="false">IF(OR(E228="Closed Won",E228="Closed Lost"),0,1)</f>
        <v>0</v>
      </c>
      <c r="P228" s="17" t="str">
        <f aca="false">INDEX(Accounts!$K$5:$K$336,MATCH(B228,Accounts!$A$5:$A$336,0))</f>
        <v>Technology, Media &amp; Telecom</v>
      </c>
      <c r="Q228" s="17" t="str">
        <f aca="false">INDEX(Accounts!$D$5:$D$336,MATCH(B228,Accounts!$A$5:$A$336,0))</f>
        <v>Standard</v>
      </c>
      <c r="R228" s="7" t="n">
        <f aca="false">INDEX(Inputs!$B$11:$B$16,MATCH(E228,Inputs!$A$11:$A$16,0))</f>
        <v>0</v>
      </c>
      <c r="S228" s="27" t="n">
        <f aca="false">IF(F228="",0,F228)*R228/100</f>
        <v>0</v>
      </c>
      <c r="T228" s="7" t="n">
        <f aca="false">Inputs!$B$4-J228</f>
        <v>207</v>
      </c>
      <c r="U228" s="7" t="n">
        <f aca="false">IF(OR(F228="",F228=0),1,0)</f>
        <v>0</v>
      </c>
      <c r="V228" s="7" t="n">
        <f aca="false">IF(K228="",1,0)</f>
        <v>0</v>
      </c>
      <c r="W228" s="7" t="n">
        <f aca="false">IF(AND(O228=1,K228&lt;&gt;"",COUNTIFS(Owners!$A$5:$A$32,K228,Owners!$E$5:$E$32,"No")&gt;0),1,0)</f>
        <v>0</v>
      </c>
      <c r="X228" s="7" t="n">
        <f aca="false">IF(AND(O228=1,I228&lt;Inputs!$B$4),1,0)</f>
        <v>0</v>
      </c>
      <c r="Y228" s="7" t="n">
        <f aca="false">IF(AND(O228=1,T228&gt;Inputs!$B$5),1,0)</f>
        <v>0</v>
      </c>
      <c r="Z228" s="7" t="n">
        <f aca="false">IF(AND(O228=1,G228&lt;&gt;R228),1,0)</f>
        <v>0</v>
      </c>
      <c r="AA228" s="7" t="n">
        <f aca="false">IF(AND(O228=1,M228=""),1,0)</f>
        <v>0</v>
      </c>
      <c r="AB228" s="7" t="n">
        <f aca="false">IF(AND(E228="Closed Lost",N228=""),1,0)</f>
        <v>0</v>
      </c>
      <c r="AC228" s="7" t="n">
        <f aca="false">SUM(U228:AB228)</f>
        <v>0</v>
      </c>
      <c r="AD228" s="7" t="n">
        <f aca="false">IF(AC228=0,1,0)</f>
        <v>1</v>
      </c>
      <c r="AE228" s="7" t="n">
        <f aca="false">IF(AND(O228=1,I228&gt;=Inputs!$B$6,I228&lt;=Inputs!$B$7),1,0)</f>
        <v>0</v>
      </c>
      <c r="AF228" s="7" t="n">
        <f aca="false">IF(AND(E228="Closed Won",I228&gt;=Inputs!$B$6,I228&lt;=Inputs!$B$4),1,0)</f>
        <v>0</v>
      </c>
      <c r="AG228" s="7" t="n">
        <f aca="false">IF(AND(O228=0,I228&gt;Inputs!$B$4-Inputs!$B$8,I228&lt;=Inputs!$B$4),1,0)</f>
        <v>1</v>
      </c>
      <c r="AH228" s="7" t="n">
        <f aca="false">I228-H228</f>
        <v>60</v>
      </c>
    </row>
    <row r="229" customFormat="false" ht="15" hidden="false" customHeight="false" outlineLevel="0" collapsed="false">
      <c r="A229" s="16" t="s">
        <v>1118</v>
      </c>
      <c r="B229" s="16" t="s">
        <v>83</v>
      </c>
      <c r="C229" s="16" t="s">
        <v>1119</v>
      </c>
      <c r="D229" s="16" t="s">
        <v>167</v>
      </c>
      <c r="E229" s="16" t="s">
        <v>531</v>
      </c>
      <c r="F229" s="26" t="n">
        <v>7234000</v>
      </c>
      <c r="G229" s="25" t="n">
        <v>0</v>
      </c>
      <c r="H229" s="22" t="n">
        <v>45945</v>
      </c>
      <c r="I229" s="22" t="n">
        <v>46197</v>
      </c>
      <c r="J229" s="22" t="n">
        <v>46197</v>
      </c>
      <c r="K229" s="16" t="s">
        <v>651</v>
      </c>
      <c r="L229" s="16" t="s">
        <v>568</v>
      </c>
      <c r="M229" s="16"/>
      <c r="N229" s="16" t="s">
        <v>697</v>
      </c>
      <c r="O229" s="7" t="n">
        <f aca="false">IF(OR(E229="Closed Won",E229="Closed Lost"),0,1)</f>
        <v>0</v>
      </c>
      <c r="P229" s="17" t="str">
        <f aca="false">INDEX(Accounts!$K$5:$K$336,MATCH(B229,Accounts!$A$5:$A$336,0))</f>
        <v>Agribusiness</v>
      </c>
      <c r="Q229" s="17" t="str">
        <f aca="false">INDEX(Accounts!$D$5:$D$336,MATCH(B229,Accounts!$A$5:$A$336,0))</f>
        <v>Priority</v>
      </c>
      <c r="R229" s="7" t="n">
        <f aca="false">INDEX(Inputs!$B$11:$B$16,MATCH(E229,Inputs!$A$11:$A$16,0))</f>
        <v>0</v>
      </c>
      <c r="S229" s="27" t="n">
        <f aca="false">IF(F229="",0,F229)*R229/100</f>
        <v>0</v>
      </c>
      <c r="T229" s="7" t="n">
        <f aca="false">Inputs!$B$4-J229</f>
        <v>117</v>
      </c>
      <c r="U229" s="7" t="n">
        <f aca="false">IF(OR(F229="",F229=0),1,0)</f>
        <v>0</v>
      </c>
      <c r="V229" s="7" t="n">
        <f aca="false">IF(K229="",1,0)</f>
        <v>0</v>
      </c>
      <c r="W229" s="7" t="n">
        <f aca="false">IF(AND(O229=1,K229&lt;&gt;"",COUNTIFS(Owners!$A$5:$A$32,K229,Owners!$E$5:$E$32,"No")&gt;0),1,0)</f>
        <v>0</v>
      </c>
      <c r="X229" s="7" t="n">
        <f aca="false">IF(AND(O229=1,I229&lt;Inputs!$B$4),1,0)</f>
        <v>0</v>
      </c>
      <c r="Y229" s="7" t="n">
        <f aca="false">IF(AND(O229=1,T229&gt;Inputs!$B$5),1,0)</f>
        <v>0</v>
      </c>
      <c r="Z229" s="7" t="n">
        <f aca="false">IF(AND(O229=1,G229&lt;&gt;R229),1,0)</f>
        <v>0</v>
      </c>
      <c r="AA229" s="7" t="n">
        <f aca="false">IF(AND(O229=1,M229=""),1,0)</f>
        <v>0</v>
      </c>
      <c r="AB229" s="7" t="n">
        <f aca="false">IF(AND(E229="Closed Lost",N229=""),1,0)</f>
        <v>0</v>
      </c>
      <c r="AC229" s="7" t="n">
        <f aca="false">SUM(U229:AB229)</f>
        <v>0</v>
      </c>
      <c r="AD229" s="7" t="n">
        <f aca="false">IF(AC229=0,1,0)</f>
        <v>1</v>
      </c>
      <c r="AE229" s="7" t="n">
        <f aca="false">IF(AND(O229=1,I229&gt;=Inputs!$B$6,I229&lt;=Inputs!$B$7),1,0)</f>
        <v>0</v>
      </c>
      <c r="AF229" s="7" t="n">
        <f aca="false">IF(AND(E229="Closed Won",I229&gt;=Inputs!$B$6,I229&lt;=Inputs!$B$4),1,0)</f>
        <v>0</v>
      </c>
      <c r="AG229" s="7" t="n">
        <f aca="false">IF(AND(O229=0,I229&gt;Inputs!$B$4-Inputs!$B$8,I229&lt;=Inputs!$B$4),1,0)</f>
        <v>1</v>
      </c>
      <c r="AH229" s="7" t="n">
        <f aca="false">I229-H229</f>
        <v>252</v>
      </c>
    </row>
    <row r="230" customFormat="false" ht="15" hidden="false" customHeight="false" outlineLevel="0" collapsed="false">
      <c r="A230" s="16" t="s">
        <v>1120</v>
      </c>
      <c r="B230" s="16" t="s">
        <v>1121</v>
      </c>
      <c r="C230" s="16" t="s">
        <v>1122</v>
      </c>
      <c r="D230" s="16" t="s">
        <v>158</v>
      </c>
      <c r="E230" s="16" t="s">
        <v>527</v>
      </c>
      <c r="F230" s="26" t="n">
        <v>51027000</v>
      </c>
      <c r="G230" s="25" t="n">
        <v>25</v>
      </c>
      <c r="H230" s="22" t="n">
        <v>46268</v>
      </c>
      <c r="I230" s="22" t="n">
        <v>46431</v>
      </c>
      <c r="J230" s="22" t="n">
        <v>46150</v>
      </c>
      <c r="K230" s="16" t="s">
        <v>765</v>
      </c>
      <c r="L230" s="16" t="s">
        <v>574</v>
      </c>
      <c r="M230" s="16" t="s">
        <v>619</v>
      </c>
      <c r="N230" s="16"/>
      <c r="O230" s="7" t="n">
        <f aca="false">IF(OR(E230="Closed Won",E230="Closed Lost"),0,1)</f>
        <v>1</v>
      </c>
      <c r="P230" s="17" t="str">
        <f aca="false">INDEX(Accounts!$K$5:$K$336,MATCH(B230,Accounts!$A$5:$A$336,0))</f>
        <v>Consumer &amp; Retail</v>
      </c>
      <c r="Q230" s="17" t="str">
        <f aca="false">INDEX(Accounts!$D$5:$D$336,MATCH(B230,Accounts!$A$5:$A$336,0))</f>
        <v>Standard</v>
      </c>
      <c r="R230" s="7" t="n">
        <f aca="false">INDEX(Inputs!$B$11:$B$16,MATCH(E230,Inputs!$A$11:$A$16,0))</f>
        <v>25</v>
      </c>
      <c r="S230" s="27" t="n">
        <f aca="false">IF(F230="",0,F230)*R230/100</f>
        <v>12756750</v>
      </c>
      <c r="T230" s="7" t="n">
        <f aca="false">Inputs!$B$4-J230</f>
        <v>164</v>
      </c>
      <c r="U230" s="7" t="n">
        <f aca="false">IF(OR(F230="",F230=0),1,0)</f>
        <v>0</v>
      </c>
      <c r="V230" s="7" t="n">
        <f aca="false">IF(K230="",1,0)</f>
        <v>0</v>
      </c>
      <c r="W230" s="7" t="n">
        <f aca="false">IF(AND(O230=1,K230&lt;&gt;"",COUNTIFS(Owners!$A$5:$A$32,K230,Owners!$E$5:$E$32,"No")&gt;0),1,0)</f>
        <v>0</v>
      </c>
      <c r="X230" s="7" t="n">
        <f aca="false">IF(AND(O230=1,I230&lt;Inputs!$B$4),1,0)</f>
        <v>0</v>
      </c>
      <c r="Y230" s="7" t="n">
        <f aca="false">IF(AND(O230=1,T230&gt;Inputs!$B$5),1,0)</f>
        <v>1</v>
      </c>
      <c r="Z230" s="7" t="n">
        <f aca="false">IF(AND(O230=1,G230&lt;&gt;R230),1,0)</f>
        <v>0</v>
      </c>
      <c r="AA230" s="7" t="n">
        <f aca="false">IF(AND(O230=1,M230=""),1,0)</f>
        <v>0</v>
      </c>
      <c r="AB230" s="7" t="n">
        <f aca="false">IF(AND(E230="Closed Lost",N230=""),1,0)</f>
        <v>0</v>
      </c>
      <c r="AC230" s="7" t="n">
        <f aca="false">SUM(U230:AB230)</f>
        <v>1</v>
      </c>
      <c r="AD230" s="7" t="n">
        <f aca="false">IF(AC230=0,1,0)</f>
        <v>0</v>
      </c>
      <c r="AE230" s="7" t="n">
        <f aca="false">IF(AND(O230=1,I230&gt;=Inputs!$B$6,I230&lt;=Inputs!$B$7),1,0)</f>
        <v>1</v>
      </c>
      <c r="AF230" s="7" t="n">
        <f aca="false">IF(AND(E230="Closed Won",I230&gt;=Inputs!$B$6,I230&lt;=Inputs!$B$4),1,0)</f>
        <v>0</v>
      </c>
      <c r="AG230" s="7" t="n">
        <f aca="false">IF(AND(O230=0,I230&gt;Inputs!$B$4-Inputs!$B$8,I230&lt;=Inputs!$B$4),1,0)</f>
        <v>0</v>
      </c>
      <c r="AH230" s="7" t="n">
        <f aca="false">I230-H230</f>
        <v>163</v>
      </c>
    </row>
    <row r="231" customFormat="false" ht="15" hidden="false" customHeight="false" outlineLevel="0" collapsed="false">
      <c r="A231" s="16" t="s">
        <v>1123</v>
      </c>
      <c r="B231" s="16" t="s">
        <v>411</v>
      </c>
      <c r="C231" s="16" t="s">
        <v>1124</v>
      </c>
      <c r="D231" s="16" t="s">
        <v>162</v>
      </c>
      <c r="E231" s="16" t="s">
        <v>528</v>
      </c>
      <c r="F231" s="26" t="n">
        <v>10877000</v>
      </c>
      <c r="G231" s="25" t="n">
        <v>50</v>
      </c>
      <c r="H231" s="22" t="n">
        <v>46161</v>
      </c>
      <c r="I231" s="22" t="n">
        <v>46294</v>
      </c>
      <c r="J231" s="22" t="n">
        <v>46305</v>
      </c>
      <c r="K231" s="16" t="s">
        <v>622</v>
      </c>
      <c r="L231" s="16" t="s">
        <v>584</v>
      </c>
      <c r="M231" s="16" t="s">
        <v>601</v>
      </c>
      <c r="N231" s="16"/>
      <c r="O231" s="7" t="n">
        <f aca="false">IF(OR(E231="Closed Won",E231="Closed Lost"),0,1)</f>
        <v>1</v>
      </c>
      <c r="P231" s="17" t="str">
        <f aca="false">INDEX(Accounts!$K$5:$K$336,MATCH(B231,Accounts!$A$5:$A$336,0))</f>
        <v>Public Sector &amp; Development</v>
      </c>
      <c r="Q231" s="17" t="str">
        <f aca="false">INDEX(Accounts!$D$5:$D$336,MATCH(B231,Accounts!$A$5:$A$336,0))</f>
        <v>Key</v>
      </c>
      <c r="R231" s="7" t="n">
        <f aca="false">INDEX(Inputs!$B$11:$B$16,MATCH(E231,Inputs!$A$11:$A$16,0))</f>
        <v>50</v>
      </c>
      <c r="S231" s="27" t="n">
        <f aca="false">IF(F231="",0,F231)*R231/100</f>
        <v>5438500</v>
      </c>
      <c r="T231" s="7" t="n">
        <f aca="false">Inputs!$B$4-J231</f>
        <v>9</v>
      </c>
      <c r="U231" s="7" t="n">
        <f aca="false">IF(OR(F231="",F231=0),1,0)</f>
        <v>0</v>
      </c>
      <c r="V231" s="7" t="n">
        <f aca="false">IF(K231="",1,0)</f>
        <v>0</v>
      </c>
      <c r="W231" s="7" t="n">
        <f aca="false">IF(AND(O231=1,K231&lt;&gt;"",COUNTIFS(Owners!$A$5:$A$32,K231,Owners!$E$5:$E$32,"No")&gt;0),1,0)</f>
        <v>0</v>
      </c>
      <c r="X231" s="7" t="n">
        <f aca="false">IF(AND(O231=1,I231&lt;Inputs!$B$4),1,0)</f>
        <v>1</v>
      </c>
      <c r="Y231" s="7" t="n">
        <f aca="false">IF(AND(O231=1,T231&gt;Inputs!$B$5),1,0)</f>
        <v>0</v>
      </c>
      <c r="Z231" s="7" t="n">
        <f aca="false">IF(AND(O231=1,G231&lt;&gt;R231),1,0)</f>
        <v>0</v>
      </c>
      <c r="AA231" s="7" t="n">
        <f aca="false">IF(AND(O231=1,M231=""),1,0)</f>
        <v>0</v>
      </c>
      <c r="AB231" s="7" t="n">
        <f aca="false">IF(AND(E231="Closed Lost",N231=""),1,0)</f>
        <v>0</v>
      </c>
      <c r="AC231" s="7" t="n">
        <f aca="false">SUM(U231:AB231)</f>
        <v>1</v>
      </c>
      <c r="AD231" s="7" t="n">
        <f aca="false">IF(AC231=0,1,0)</f>
        <v>0</v>
      </c>
      <c r="AE231" s="7" t="n">
        <f aca="false">IF(AND(O231=1,I231&gt;=Inputs!$B$6,I231&lt;=Inputs!$B$7),1,0)</f>
        <v>1</v>
      </c>
      <c r="AF231" s="7" t="n">
        <f aca="false">IF(AND(E231="Closed Won",I231&gt;=Inputs!$B$6,I231&lt;=Inputs!$B$4),1,0)</f>
        <v>0</v>
      </c>
      <c r="AG231" s="7" t="n">
        <f aca="false">IF(AND(O231=0,I231&gt;Inputs!$B$4-Inputs!$B$8,I231&lt;=Inputs!$B$4),1,0)</f>
        <v>0</v>
      </c>
      <c r="AH231" s="7" t="n">
        <f aca="false">I231-H231</f>
        <v>133</v>
      </c>
    </row>
    <row r="232" customFormat="false" ht="15" hidden="false" customHeight="false" outlineLevel="0" collapsed="false">
      <c r="A232" s="16" t="s">
        <v>1125</v>
      </c>
      <c r="B232" s="16" t="s">
        <v>1075</v>
      </c>
      <c r="C232" s="16" t="s">
        <v>1126</v>
      </c>
      <c r="D232" s="16" t="s">
        <v>158</v>
      </c>
      <c r="E232" s="16" t="s">
        <v>529</v>
      </c>
      <c r="F232" s="26" t="n">
        <v>31106000</v>
      </c>
      <c r="G232" s="25" t="n">
        <v>75</v>
      </c>
      <c r="H232" s="22" t="n">
        <v>46114</v>
      </c>
      <c r="I232" s="22" t="n">
        <v>46355</v>
      </c>
      <c r="J232" s="22" t="n">
        <v>46302</v>
      </c>
      <c r="K232" s="16" t="s">
        <v>677</v>
      </c>
      <c r="L232" s="16" t="s">
        <v>500</v>
      </c>
      <c r="M232" s="16" t="s">
        <v>601</v>
      </c>
      <c r="N232" s="16"/>
      <c r="O232" s="7" t="n">
        <f aca="false">IF(OR(E232="Closed Won",E232="Closed Lost"),0,1)</f>
        <v>1</v>
      </c>
      <c r="P232" s="17" t="str">
        <f aca="false">INDEX(Accounts!$K$5:$K$336,MATCH(B232,Accounts!$A$5:$A$336,0))</f>
        <v>Agribusiness</v>
      </c>
      <c r="Q232" s="17" t="str">
        <f aca="false">INDEX(Accounts!$D$5:$D$336,MATCH(B232,Accounts!$A$5:$A$336,0))</f>
        <v>Standard</v>
      </c>
      <c r="R232" s="7" t="n">
        <f aca="false">INDEX(Inputs!$B$11:$B$16,MATCH(E232,Inputs!$A$11:$A$16,0))</f>
        <v>75</v>
      </c>
      <c r="S232" s="27" t="n">
        <f aca="false">IF(F232="",0,F232)*R232/100</f>
        <v>23329500</v>
      </c>
      <c r="T232" s="7" t="n">
        <f aca="false">Inputs!$B$4-J232</f>
        <v>12</v>
      </c>
      <c r="U232" s="7" t="n">
        <f aca="false">IF(OR(F232="",F232=0),1,0)</f>
        <v>0</v>
      </c>
      <c r="V232" s="7" t="n">
        <f aca="false">IF(K232="",1,0)</f>
        <v>0</v>
      </c>
      <c r="W232" s="7" t="n">
        <f aca="false">IF(AND(O232=1,K232&lt;&gt;"",COUNTIFS(Owners!$A$5:$A$32,K232,Owners!$E$5:$E$32,"No")&gt;0),1,0)</f>
        <v>0</v>
      </c>
      <c r="X232" s="7" t="n">
        <f aca="false">IF(AND(O232=1,I232&lt;Inputs!$B$4),1,0)</f>
        <v>0</v>
      </c>
      <c r="Y232" s="7" t="n">
        <f aca="false">IF(AND(O232=1,T232&gt;Inputs!$B$5),1,0)</f>
        <v>0</v>
      </c>
      <c r="Z232" s="7" t="n">
        <f aca="false">IF(AND(O232=1,G232&lt;&gt;R232),1,0)</f>
        <v>0</v>
      </c>
      <c r="AA232" s="7" t="n">
        <f aca="false">IF(AND(O232=1,M232=""),1,0)</f>
        <v>0</v>
      </c>
      <c r="AB232" s="7" t="n">
        <f aca="false">IF(AND(E232="Closed Lost",N232=""),1,0)</f>
        <v>0</v>
      </c>
      <c r="AC232" s="7" t="n">
        <f aca="false">SUM(U232:AB232)</f>
        <v>0</v>
      </c>
      <c r="AD232" s="7" t="n">
        <f aca="false">IF(AC232=0,1,0)</f>
        <v>1</v>
      </c>
      <c r="AE232" s="7" t="n">
        <f aca="false">IF(AND(O232=1,I232&gt;=Inputs!$B$6,I232&lt;=Inputs!$B$7),1,0)</f>
        <v>1</v>
      </c>
      <c r="AF232" s="7" t="n">
        <f aca="false">IF(AND(E232="Closed Won",I232&gt;=Inputs!$B$6,I232&lt;=Inputs!$B$4),1,0)</f>
        <v>0</v>
      </c>
      <c r="AG232" s="7" t="n">
        <f aca="false">IF(AND(O232=0,I232&gt;Inputs!$B$4-Inputs!$B$8,I232&lt;=Inputs!$B$4),1,0)</f>
        <v>0</v>
      </c>
      <c r="AH232" s="7" t="n">
        <f aca="false">I232-H232</f>
        <v>241</v>
      </c>
    </row>
    <row r="233" customFormat="false" ht="15" hidden="false" customHeight="false" outlineLevel="0" collapsed="false">
      <c r="A233" s="16" t="s">
        <v>1127</v>
      </c>
      <c r="B233" s="16" t="s">
        <v>796</v>
      </c>
      <c r="C233" s="16" t="s">
        <v>1128</v>
      </c>
      <c r="D233" s="16" t="s">
        <v>167</v>
      </c>
      <c r="E233" s="16" t="s">
        <v>531</v>
      </c>
      <c r="F233" s="26" t="n">
        <v>2824000</v>
      </c>
      <c r="G233" s="25" t="n">
        <v>0</v>
      </c>
      <c r="H233" s="22" t="n">
        <v>45961</v>
      </c>
      <c r="I233" s="22" t="n">
        <v>46259</v>
      </c>
      <c r="J233" s="22" t="n">
        <v>46259</v>
      </c>
      <c r="K233" s="16" t="s">
        <v>622</v>
      </c>
      <c r="L233" s="16" t="s">
        <v>584</v>
      </c>
      <c r="M233" s="16"/>
      <c r="N233" s="16" t="s">
        <v>713</v>
      </c>
      <c r="O233" s="7" t="n">
        <f aca="false">IF(OR(E233="Closed Won",E233="Closed Lost"),0,1)</f>
        <v>0</v>
      </c>
      <c r="P233" s="17" t="str">
        <f aca="false">INDEX(Accounts!$K$5:$K$336,MATCH(B233,Accounts!$A$5:$A$336,0))</f>
        <v>Technology, Media &amp; Telecom</v>
      </c>
      <c r="Q233" s="17" t="str">
        <f aca="false">INDEX(Accounts!$D$5:$D$336,MATCH(B233,Accounts!$A$5:$A$336,0))</f>
        <v>Key</v>
      </c>
      <c r="R233" s="7" t="n">
        <f aca="false">INDEX(Inputs!$B$11:$B$16,MATCH(E233,Inputs!$A$11:$A$16,0))</f>
        <v>0</v>
      </c>
      <c r="S233" s="27" t="n">
        <f aca="false">IF(F233="",0,F233)*R233/100</f>
        <v>0</v>
      </c>
      <c r="T233" s="7" t="n">
        <f aca="false">Inputs!$B$4-J233</f>
        <v>55</v>
      </c>
      <c r="U233" s="7" t="n">
        <f aca="false">IF(OR(F233="",F233=0),1,0)</f>
        <v>0</v>
      </c>
      <c r="V233" s="7" t="n">
        <f aca="false">IF(K233="",1,0)</f>
        <v>0</v>
      </c>
      <c r="W233" s="7" t="n">
        <f aca="false">IF(AND(O233=1,K233&lt;&gt;"",COUNTIFS(Owners!$A$5:$A$32,K233,Owners!$E$5:$E$32,"No")&gt;0),1,0)</f>
        <v>0</v>
      </c>
      <c r="X233" s="7" t="n">
        <f aca="false">IF(AND(O233=1,I233&lt;Inputs!$B$4),1,0)</f>
        <v>0</v>
      </c>
      <c r="Y233" s="7" t="n">
        <f aca="false">IF(AND(O233=1,T233&gt;Inputs!$B$5),1,0)</f>
        <v>0</v>
      </c>
      <c r="Z233" s="7" t="n">
        <f aca="false">IF(AND(O233=1,G233&lt;&gt;R233),1,0)</f>
        <v>0</v>
      </c>
      <c r="AA233" s="7" t="n">
        <f aca="false">IF(AND(O233=1,M233=""),1,0)</f>
        <v>0</v>
      </c>
      <c r="AB233" s="7" t="n">
        <f aca="false">IF(AND(E233="Closed Lost",N233=""),1,0)</f>
        <v>0</v>
      </c>
      <c r="AC233" s="7" t="n">
        <f aca="false">SUM(U233:AB233)</f>
        <v>0</v>
      </c>
      <c r="AD233" s="7" t="n">
        <f aca="false">IF(AC233=0,1,0)</f>
        <v>1</v>
      </c>
      <c r="AE233" s="7" t="n">
        <f aca="false">IF(AND(O233=1,I233&gt;=Inputs!$B$6,I233&lt;=Inputs!$B$7),1,0)</f>
        <v>0</v>
      </c>
      <c r="AF233" s="7" t="n">
        <f aca="false">IF(AND(E233="Closed Won",I233&gt;=Inputs!$B$6,I233&lt;=Inputs!$B$4),1,0)</f>
        <v>0</v>
      </c>
      <c r="AG233" s="7" t="n">
        <f aca="false">IF(AND(O233=0,I233&gt;Inputs!$B$4-Inputs!$B$8,I233&lt;=Inputs!$B$4),1,0)</f>
        <v>1</v>
      </c>
      <c r="AH233" s="7" t="n">
        <f aca="false">I233-H233</f>
        <v>298</v>
      </c>
    </row>
    <row r="234" customFormat="false" ht="15" hidden="false" customHeight="false" outlineLevel="0" collapsed="false">
      <c r="A234" s="16" t="s">
        <v>1129</v>
      </c>
      <c r="B234" s="16" t="s">
        <v>1060</v>
      </c>
      <c r="C234" s="16" t="s">
        <v>1130</v>
      </c>
      <c r="D234" s="16" t="s">
        <v>162</v>
      </c>
      <c r="E234" s="16" t="s">
        <v>527</v>
      </c>
      <c r="F234" s="26" t="n">
        <v>11301000</v>
      </c>
      <c r="G234" s="25" t="n">
        <v>25</v>
      </c>
      <c r="H234" s="22" t="n">
        <v>46306</v>
      </c>
      <c r="I234" s="22" t="n">
        <v>46548</v>
      </c>
      <c r="J234" s="22" t="n">
        <v>46293</v>
      </c>
      <c r="K234" s="16" t="s">
        <v>880</v>
      </c>
      <c r="L234" s="16" t="s">
        <v>584</v>
      </c>
      <c r="M234" s="16" t="s">
        <v>601</v>
      </c>
      <c r="N234" s="16"/>
      <c r="O234" s="7" t="n">
        <f aca="false">IF(OR(E234="Closed Won",E234="Closed Lost"),0,1)</f>
        <v>1</v>
      </c>
      <c r="P234" s="17" t="str">
        <f aca="false">INDEX(Accounts!$K$5:$K$336,MATCH(B234,Accounts!$A$5:$A$336,0))</f>
        <v>Consumer &amp; Retail</v>
      </c>
      <c r="Q234" s="17" t="str">
        <f aca="false">INDEX(Accounts!$D$5:$D$336,MATCH(B234,Accounts!$A$5:$A$336,0))</f>
        <v>Standard</v>
      </c>
      <c r="R234" s="7" t="n">
        <f aca="false">INDEX(Inputs!$B$11:$B$16,MATCH(E234,Inputs!$A$11:$A$16,0))</f>
        <v>25</v>
      </c>
      <c r="S234" s="27" t="n">
        <f aca="false">IF(F234="",0,F234)*R234/100</f>
        <v>2825250</v>
      </c>
      <c r="T234" s="7" t="n">
        <f aca="false">Inputs!$B$4-J234</f>
        <v>21</v>
      </c>
      <c r="U234" s="7" t="n">
        <f aca="false">IF(OR(F234="",F234=0),1,0)</f>
        <v>0</v>
      </c>
      <c r="V234" s="7" t="n">
        <f aca="false">IF(K234="",1,0)</f>
        <v>0</v>
      </c>
      <c r="W234" s="7" t="n">
        <f aca="false">IF(AND(O234=1,K234&lt;&gt;"",COUNTIFS(Owners!$A$5:$A$32,K234,Owners!$E$5:$E$32,"No")&gt;0),1,0)</f>
        <v>1</v>
      </c>
      <c r="X234" s="7" t="n">
        <f aca="false">IF(AND(O234=1,I234&lt;Inputs!$B$4),1,0)</f>
        <v>0</v>
      </c>
      <c r="Y234" s="7" t="n">
        <f aca="false">IF(AND(O234=1,T234&gt;Inputs!$B$5),1,0)</f>
        <v>0</v>
      </c>
      <c r="Z234" s="7" t="n">
        <f aca="false">IF(AND(O234=1,G234&lt;&gt;R234),1,0)</f>
        <v>0</v>
      </c>
      <c r="AA234" s="7" t="n">
        <f aca="false">IF(AND(O234=1,M234=""),1,0)</f>
        <v>0</v>
      </c>
      <c r="AB234" s="7" t="n">
        <f aca="false">IF(AND(E234="Closed Lost",N234=""),1,0)</f>
        <v>0</v>
      </c>
      <c r="AC234" s="7" t="n">
        <f aca="false">SUM(U234:AB234)</f>
        <v>1</v>
      </c>
      <c r="AD234" s="7" t="n">
        <f aca="false">IF(AC234=0,1,0)</f>
        <v>0</v>
      </c>
      <c r="AE234" s="7" t="n">
        <f aca="false">IF(AND(O234=1,I234&gt;=Inputs!$B$6,I234&lt;=Inputs!$B$7),1,0)</f>
        <v>1</v>
      </c>
      <c r="AF234" s="7" t="n">
        <f aca="false">IF(AND(E234="Closed Won",I234&gt;=Inputs!$B$6,I234&lt;=Inputs!$B$4),1,0)</f>
        <v>0</v>
      </c>
      <c r="AG234" s="7" t="n">
        <f aca="false">IF(AND(O234=0,I234&gt;Inputs!$B$4-Inputs!$B$8,I234&lt;=Inputs!$B$4),1,0)</f>
        <v>0</v>
      </c>
      <c r="AH234" s="7" t="n">
        <f aca="false">I234-H234</f>
        <v>242</v>
      </c>
    </row>
    <row r="235" customFormat="false" ht="15" hidden="false" customHeight="false" outlineLevel="0" collapsed="false">
      <c r="A235" s="16" t="s">
        <v>1131</v>
      </c>
      <c r="B235" s="16" t="s">
        <v>75</v>
      </c>
      <c r="C235" s="16" t="s">
        <v>1132</v>
      </c>
      <c r="D235" s="16" t="s">
        <v>165</v>
      </c>
      <c r="E235" s="16" t="s">
        <v>527</v>
      </c>
      <c r="F235" s="26" t="n">
        <v>61195000</v>
      </c>
      <c r="G235" s="25" t="n">
        <v>25</v>
      </c>
      <c r="H235" s="22" t="n">
        <v>46192</v>
      </c>
      <c r="I235" s="22" t="n">
        <v>46291</v>
      </c>
      <c r="J235" s="22" t="n">
        <v>46269</v>
      </c>
      <c r="K235" s="16" t="s">
        <v>704</v>
      </c>
      <c r="L235" s="16" t="s">
        <v>568</v>
      </c>
      <c r="M235" s="16" t="s">
        <v>613</v>
      </c>
      <c r="N235" s="16"/>
      <c r="O235" s="7" t="n">
        <f aca="false">IF(OR(E235="Closed Won",E235="Closed Lost"),0,1)</f>
        <v>1</v>
      </c>
      <c r="P235" s="17" t="str">
        <f aca="false">INDEX(Accounts!$K$5:$K$336,MATCH(B235,Accounts!$A$5:$A$336,0))</f>
        <v>Technology, Media &amp; Telecom</v>
      </c>
      <c r="Q235" s="17" t="str">
        <f aca="false">INDEX(Accounts!$D$5:$D$336,MATCH(B235,Accounts!$A$5:$A$336,0))</f>
        <v>Priority</v>
      </c>
      <c r="R235" s="7" t="n">
        <f aca="false">INDEX(Inputs!$B$11:$B$16,MATCH(E235,Inputs!$A$11:$A$16,0))</f>
        <v>25</v>
      </c>
      <c r="S235" s="27" t="n">
        <f aca="false">IF(F235="",0,F235)*R235/100</f>
        <v>15298750</v>
      </c>
      <c r="T235" s="7" t="n">
        <f aca="false">Inputs!$B$4-J235</f>
        <v>45</v>
      </c>
      <c r="U235" s="7" t="n">
        <f aca="false">IF(OR(F235="",F235=0),1,0)</f>
        <v>0</v>
      </c>
      <c r="V235" s="7" t="n">
        <f aca="false">IF(K235="",1,0)</f>
        <v>0</v>
      </c>
      <c r="W235" s="7" t="n">
        <f aca="false">IF(AND(O235=1,K235&lt;&gt;"",COUNTIFS(Owners!$A$5:$A$32,K235,Owners!$E$5:$E$32,"No")&gt;0),1,0)</f>
        <v>0</v>
      </c>
      <c r="X235" s="7" t="n">
        <f aca="false">IF(AND(O235=1,I235&lt;Inputs!$B$4),1,0)</f>
        <v>1</v>
      </c>
      <c r="Y235" s="7" t="n">
        <f aca="false">IF(AND(O235=1,T235&gt;Inputs!$B$5),1,0)</f>
        <v>0</v>
      </c>
      <c r="Z235" s="7" t="n">
        <f aca="false">IF(AND(O235=1,G235&lt;&gt;R235),1,0)</f>
        <v>0</v>
      </c>
      <c r="AA235" s="7" t="n">
        <f aca="false">IF(AND(O235=1,M235=""),1,0)</f>
        <v>0</v>
      </c>
      <c r="AB235" s="7" t="n">
        <f aca="false">IF(AND(E235="Closed Lost",N235=""),1,0)</f>
        <v>0</v>
      </c>
      <c r="AC235" s="7" t="n">
        <f aca="false">SUM(U235:AB235)</f>
        <v>1</v>
      </c>
      <c r="AD235" s="7" t="n">
        <f aca="false">IF(AC235=0,1,0)</f>
        <v>0</v>
      </c>
      <c r="AE235" s="7" t="n">
        <f aca="false">IF(AND(O235=1,I235&gt;=Inputs!$B$6,I235&lt;=Inputs!$B$7),1,0)</f>
        <v>1</v>
      </c>
      <c r="AF235" s="7" t="n">
        <f aca="false">IF(AND(E235="Closed Won",I235&gt;=Inputs!$B$6,I235&lt;=Inputs!$B$4),1,0)</f>
        <v>0</v>
      </c>
      <c r="AG235" s="7" t="n">
        <f aca="false">IF(AND(O235=0,I235&gt;Inputs!$B$4-Inputs!$B$8,I235&lt;=Inputs!$B$4),1,0)</f>
        <v>0</v>
      </c>
      <c r="AH235" s="7" t="n">
        <f aca="false">I235-H235</f>
        <v>99</v>
      </c>
    </row>
    <row r="236" customFormat="false" ht="15" hidden="false" customHeight="false" outlineLevel="0" collapsed="false">
      <c r="A236" s="16" t="s">
        <v>1133</v>
      </c>
      <c r="B236" s="16" t="s">
        <v>1134</v>
      </c>
      <c r="C236" s="16" t="s">
        <v>1135</v>
      </c>
      <c r="D236" s="16" t="s">
        <v>158</v>
      </c>
      <c r="E236" s="16" t="s">
        <v>530</v>
      </c>
      <c r="F236" s="26" t="n">
        <v>3165000</v>
      </c>
      <c r="G236" s="25" t="n">
        <v>100</v>
      </c>
      <c r="H236" s="22" t="n">
        <v>46145</v>
      </c>
      <c r="I236" s="22" t="n">
        <v>46293</v>
      </c>
      <c r="J236" s="22" t="n">
        <v>46293</v>
      </c>
      <c r="K236" s="16" t="s">
        <v>591</v>
      </c>
      <c r="L236" s="16" t="s">
        <v>609</v>
      </c>
      <c r="M236" s="16"/>
      <c r="N236" s="16"/>
      <c r="O236" s="7" t="n">
        <f aca="false">IF(OR(E236="Closed Won",E236="Closed Lost"),0,1)</f>
        <v>0</v>
      </c>
      <c r="P236" s="17" t="str">
        <f aca="false">INDEX(Accounts!$K$5:$K$336,MATCH(B236,Accounts!$A$5:$A$336,0))</f>
        <v>Agribusiness</v>
      </c>
      <c r="Q236" s="17" t="str">
        <f aca="false">INDEX(Accounts!$D$5:$D$336,MATCH(B236,Accounts!$A$5:$A$336,0))</f>
        <v>Key</v>
      </c>
      <c r="R236" s="7" t="n">
        <f aca="false">INDEX(Inputs!$B$11:$B$16,MATCH(E236,Inputs!$A$11:$A$16,0))</f>
        <v>100</v>
      </c>
      <c r="S236" s="27" t="n">
        <f aca="false">IF(F236="",0,F236)*R236/100</f>
        <v>3165000</v>
      </c>
      <c r="T236" s="7" t="n">
        <f aca="false">Inputs!$B$4-J236</f>
        <v>21</v>
      </c>
      <c r="U236" s="7" t="n">
        <f aca="false">IF(OR(F236="",F236=0),1,0)</f>
        <v>0</v>
      </c>
      <c r="V236" s="7" t="n">
        <f aca="false">IF(K236="",1,0)</f>
        <v>0</v>
      </c>
      <c r="W236" s="7" t="n">
        <f aca="false">IF(AND(O236=1,K236&lt;&gt;"",COUNTIFS(Owners!$A$5:$A$32,K236,Owners!$E$5:$E$32,"No")&gt;0),1,0)</f>
        <v>0</v>
      </c>
      <c r="X236" s="7" t="n">
        <f aca="false">IF(AND(O236=1,I236&lt;Inputs!$B$4),1,0)</f>
        <v>0</v>
      </c>
      <c r="Y236" s="7" t="n">
        <f aca="false">IF(AND(O236=1,T236&gt;Inputs!$B$5),1,0)</f>
        <v>0</v>
      </c>
      <c r="Z236" s="7" t="n">
        <f aca="false">IF(AND(O236=1,G236&lt;&gt;R236),1,0)</f>
        <v>0</v>
      </c>
      <c r="AA236" s="7" t="n">
        <f aca="false">IF(AND(O236=1,M236=""),1,0)</f>
        <v>0</v>
      </c>
      <c r="AB236" s="7" t="n">
        <f aca="false">IF(AND(E236="Closed Lost",N236=""),1,0)</f>
        <v>0</v>
      </c>
      <c r="AC236" s="7" t="n">
        <f aca="false">SUM(U236:AB236)</f>
        <v>0</v>
      </c>
      <c r="AD236" s="7" t="n">
        <f aca="false">IF(AC236=0,1,0)</f>
        <v>1</v>
      </c>
      <c r="AE236" s="7" t="n">
        <f aca="false">IF(AND(O236=1,I236&gt;=Inputs!$B$6,I236&lt;=Inputs!$B$7),1,0)</f>
        <v>0</v>
      </c>
      <c r="AF236" s="7" t="n">
        <f aca="false">IF(AND(E236="Closed Won",I236&gt;=Inputs!$B$6,I236&lt;=Inputs!$B$4),1,0)</f>
        <v>1</v>
      </c>
      <c r="AG236" s="7" t="n">
        <f aca="false">IF(AND(O236=0,I236&gt;Inputs!$B$4-Inputs!$B$8,I236&lt;=Inputs!$B$4),1,0)</f>
        <v>1</v>
      </c>
      <c r="AH236" s="7" t="n">
        <f aca="false">I236-H236</f>
        <v>148</v>
      </c>
    </row>
    <row r="237" customFormat="false" ht="15" hidden="false" customHeight="false" outlineLevel="0" collapsed="false">
      <c r="A237" s="16" t="s">
        <v>1136</v>
      </c>
      <c r="B237" s="16" t="s">
        <v>1137</v>
      </c>
      <c r="C237" s="16" t="s">
        <v>1138</v>
      </c>
      <c r="D237" s="16" t="s">
        <v>165</v>
      </c>
      <c r="E237" s="16" t="s">
        <v>531</v>
      </c>
      <c r="F237" s="26" t="n">
        <v>5464000</v>
      </c>
      <c r="G237" s="25" t="n">
        <v>0</v>
      </c>
      <c r="H237" s="22" t="n">
        <v>46017</v>
      </c>
      <c r="I237" s="22" t="n">
        <v>46283</v>
      </c>
      <c r="J237" s="22" t="n">
        <v>46283</v>
      </c>
      <c r="K237" s="16" t="s">
        <v>666</v>
      </c>
      <c r="L237" s="16" t="s">
        <v>584</v>
      </c>
      <c r="M237" s="16"/>
      <c r="N237" s="16"/>
      <c r="O237" s="7" t="n">
        <f aca="false">IF(OR(E237="Closed Won",E237="Closed Lost"),0,1)</f>
        <v>0</v>
      </c>
      <c r="P237" s="17" t="str">
        <f aca="false">INDEX(Accounts!$K$5:$K$336,MATCH(B237,Accounts!$A$5:$A$336,0))</f>
        <v>Consumer &amp; Retail</v>
      </c>
      <c r="Q237" s="17" t="str">
        <f aca="false">INDEX(Accounts!$D$5:$D$336,MATCH(B237,Accounts!$A$5:$A$336,0))</f>
        <v>Key</v>
      </c>
      <c r="R237" s="7" t="n">
        <f aca="false">INDEX(Inputs!$B$11:$B$16,MATCH(E237,Inputs!$A$11:$A$16,0))</f>
        <v>0</v>
      </c>
      <c r="S237" s="27" t="n">
        <f aca="false">IF(F237="",0,F237)*R237/100</f>
        <v>0</v>
      </c>
      <c r="T237" s="7" t="n">
        <f aca="false">Inputs!$B$4-J237</f>
        <v>31</v>
      </c>
      <c r="U237" s="7" t="n">
        <f aca="false">IF(OR(F237="",F237=0),1,0)</f>
        <v>0</v>
      </c>
      <c r="V237" s="7" t="n">
        <f aca="false">IF(K237="",1,0)</f>
        <v>0</v>
      </c>
      <c r="W237" s="7" t="n">
        <f aca="false">IF(AND(O237=1,K237&lt;&gt;"",COUNTIFS(Owners!$A$5:$A$32,K237,Owners!$E$5:$E$32,"No")&gt;0),1,0)</f>
        <v>0</v>
      </c>
      <c r="X237" s="7" t="n">
        <f aca="false">IF(AND(O237=1,I237&lt;Inputs!$B$4),1,0)</f>
        <v>0</v>
      </c>
      <c r="Y237" s="7" t="n">
        <f aca="false">IF(AND(O237=1,T237&gt;Inputs!$B$5),1,0)</f>
        <v>0</v>
      </c>
      <c r="Z237" s="7" t="n">
        <f aca="false">IF(AND(O237=1,G237&lt;&gt;R237),1,0)</f>
        <v>0</v>
      </c>
      <c r="AA237" s="7" t="n">
        <f aca="false">IF(AND(O237=1,M237=""),1,0)</f>
        <v>0</v>
      </c>
      <c r="AB237" s="7" t="n">
        <f aca="false">IF(AND(E237="Closed Lost",N237=""),1,0)</f>
        <v>1</v>
      </c>
      <c r="AC237" s="7" t="n">
        <f aca="false">SUM(U237:AB237)</f>
        <v>1</v>
      </c>
      <c r="AD237" s="7" t="n">
        <f aca="false">IF(AC237=0,1,0)</f>
        <v>0</v>
      </c>
      <c r="AE237" s="7" t="n">
        <f aca="false">IF(AND(O237=1,I237&gt;=Inputs!$B$6,I237&lt;=Inputs!$B$7),1,0)</f>
        <v>0</v>
      </c>
      <c r="AF237" s="7" t="n">
        <f aca="false">IF(AND(E237="Closed Won",I237&gt;=Inputs!$B$6,I237&lt;=Inputs!$B$4),1,0)</f>
        <v>0</v>
      </c>
      <c r="AG237" s="7" t="n">
        <f aca="false">IF(AND(O237=0,I237&gt;Inputs!$B$4-Inputs!$B$8,I237&lt;=Inputs!$B$4),1,0)</f>
        <v>1</v>
      </c>
      <c r="AH237" s="7" t="n">
        <f aca="false">I237-H237</f>
        <v>266</v>
      </c>
    </row>
    <row r="238" customFormat="false" ht="15" hidden="false" customHeight="false" outlineLevel="0" collapsed="false">
      <c r="A238" s="16" t="s">
        <v>1139</v>
      </c>
      <c r="B238" s="16" t="s">
        <v>581</v>
      </c>
      <c r="C238" s="16" t="s">
        <v>1140</v>
      </c>
      <c r="D238" s="16" t="s">
        <v>158</v>
      </c>
      <c r="E238" s="16" t="s">
        <v>531</v>
      </c>
      <c r="F238" s="26" t="n">
        <v>27426000</v>
      </c>
      <c r="G238" s="25" t="n">
        <v>0</v>
      </c>
      <c r="H238" s="22" t="n">
        <v>46210</v>
      </c>
      <c r="I238" s="22" t="n">
        <v>46275</v>
      </c>
      <c r="J238" s="22" t="n">
        <v>46275</v>
      </c>
      <c r="K238" s="16" t="s">
        <v>666</v>
      </c>
      <c r="L238" s="16" t="s">
        <v>584</v>
      </c>
      <c r="M238" s="16"/>
      <c r="N238" s="16" t="s">
        <v>722</v>
      </c>
      <c r="O238" s="7" t="n">
        <f aca="false">IF(OR(E238="Closed Won",E238="Closed Lost"),0,1)</f>
        <v>0</v>
      </c>
      <c r="P238" s="17" t="str">
        <f aca="false">INDEX(Accounts!$K$5:$K$336,MATCH(B238,Accounts!$A$5:$A$336,0))</f>
        <v>Financial Services</v>
      </c>
      <c r="Q238" s="17" t="str">
        <f aca="false">INDEX(Accounts!$D$5:$D$336,MATCH(B238,Accounts!$A$5:$A$336,0))</f>
        <v>Standard</v>
      </c>
      <c r="R238" s="7" t="n">
        <f aca="false">INDEX(Inputs!$B$11:$B$16,MATCH(E238,Inputs!$A$11:$A$16,0))</f>
        <v>0</v>
      </c>
      <c r="S238" s="27" t="n">
        <f aca="false">IF(F238="",0,F238)*R238/100</f>
        <v>0</v>
      </c>
      <c r="T238" s="7" t="n">
        <f aca="false">Inputs!$B$4-J238</f>
        <v>39</v>
      </c>
      <c r="U238" s="7" t="n">
        <f aca="false">IF(OR(F238="",F238=0),1,0)</f>
        <v>0</v>
      </c>
      <c r="V238" s="7" t="n">
        <f aca="false">IF(K238="",1,0)</f>
        <v>0</v>
      </c>
      <c r="W238" s="7" t="n">
        <f aca="false">IF(AND(O238=1,K238&lt;&gt;"",COUNTIFS(Owners!$A$5:$A$32,K238,Owners!$E$5:$E$32,"No")&gt;0),1,0)</f>
        <v>0</v>
      </c>
      <c r="X238" s="7" t="n">
        <f aca="false">IF(AND(O238=1,I238&lt;Inputs!$B$4),1,0)</f>
        <v>0</v>
      </c>
      <c r="Y238" s="7" t="n">
        <f aca="false">IF(AND(O238=1,T238&gt;Inputs!$B$5),1,0)</f>
        <v>0</v>
      </c>
      <c r="Z238" s="7" t="n">
        <f aca="false">IF(AND(O238=1,G238&lt;&gt;R238),1,0)</f>
        <v>0</v>
      </c>
      <c r="AA238" s="7" t="n">
        <f aca="false">IF(AND(O238=1,M238=""),1,0)</f>
        <v>0</v>
      </c>
      <c r="AB238" s="7" t="n">
        <f aca="false">IF(AND(E238="Closed Lost",N238=""),1,0)</f>
        <v>0</v>
      </c>
      <c r="AC238" s="7" t="n">
        <f aca="false">SUM(U238:AB238)</f>
        <v>0</v>
      </c>
      <c r="AD238" s="7" t="n">
        <f aca="false">IF(AC238=0,1,0)</f>
        <v>1</v>
      </c>
      <c r="AE238" s="7" t="n">
        <f aca="false">IF(AND(O238=1,I238&gt;=Inputs!$B$6,I238&lt;=Inputs!$B$7),1,0)</f>
        <v>0</v>
      </c>
      <c r="AF238" s="7" t="n">
        <f aca="false">IF(AND(E238="Closed Won",I238&gt;=Inputs!$B$6,I238&lt;=Inputs!$B$4),1,0)</f>
        <v>0</v>
      </c>
      <c r="AG238" s="7" t="n">
        <f aca="false">IF(AND(O238=0,I238&gt;Inputs!$B$4-Inputs!$B$8,I238&lt;=Inputs!$B$4),1,0)</f>
        <v>1</v>
      </c>
      <c r="AH238" s="7" t="n">
        <f aca="false">I238-H238</f>
        <v>65</v>
      </c>
    </row>
    <row r="239" customFormat="false" ht="15" hidden="false" customHeight="false" outlineLevel="0" collapsed="false">
      <c r="A239" s="16" t="s">
        <v>1141</v>
      </c>
      <c r="B239" s="16" t="s">
        <v>62</v>
      </c>
      <c r="C239" s="16" t="s">
        <v>1142</v>
      </c>
      <c r="D239" s="16" t="s">
        <v>165</v>
      </c>
      <c r="E239" s="16" t="s">
        <v>528</v>
      </c>
      <c r="F239" s="26" t="n">
        <v>35734000</v>
      </c>
      <c r="G239" s="25" t="n">
        <v>50</v>
      </c>
      <c r="H239" s="22" t="n">
        <v>46305</v>
      </c>
      <c r="I239" s="22" t="n">
        <v>46323</v>
      </c>
      <c r="J239" s="22" t="n">
        <v>46309</v>
      </c>
      <c r="K239" s="16" t="s">
        <v>637</v>
      </c>
      <c r="L239" s="16" t="s">
        <v>574</v>
      </c>
      <c r="M239" s="16" t="s">
        <v>619</v>
      </c>
      <c r="N239" s="16"/>
      <c r="O239" s="7" t="n">
        <f aca="false">IF(OR(E239="Closed Won",E239="Closed Lost"),0,1)</f>
        <v>1</v>
      </c>
      <c r="P239" s="17" t="str">
        <f aca="false">INDEX(Accounts!$K$5:$K$336,MATCH(B239,Accounts!$A$5:$A$336,0))</f>
        <v>Financial Services</v>
      </c>
      <c r="Q239" s="17" t="str">
        <f aca="false">INDEX(Accounts!$D$5:$D$336,MATCH(B239,Accounts!$A$5:$A$336,0))</f>
        <v>Priority</v>
      </c>
      <c r="R239" s="7" t="n">
        <f aca="false">INDEX(Inputs!$B$11:$B$16,MATCH(E239,Inputs!$A$11:$A$16,0))</f>
        <v>50</v>
      </c>
      <c r="S239" s="27" t="n">
        <f aca="false">IF(F239="",0,F239)*R239/100</f>
        <v>17867000</v>
      </c>
      <c r="T239" s="7" t="n">
        <f aca="false">Inputs!$B$4-J239</f>
        <v>5</v>
      </c>
      <c r="U239" s="7" t="n">
        <f aca="false">IF(OR(F239="",F239=0),1,0)</f>
        <v>0</v>
      </c>
      <c r="V239" s="7" t="n">
        <f aca="false">IF(K239="",1,0)</f>
        <v>0</v>
      </c>
      <c r="W239" s="7" t="n">
        <f aca="false">IF(AND(O239=1,K239&lt;&gt;"",COUNTIFS(Owners!$A$5:$A$32,K239,Owners!$E$5:$E$32,"No")&gt;0),1,0)</f>
        <v>0</v>
      </c>
      <c r="X239" s="7" t="n">
        <f aca="false">IF(AND(O239=1,I239&lt;Inputs!$B$4),1,0)</f>
        <v>0</v>
      </c>
      <c r="Y239" s="7" t="n">
        <f aca="false">IF(AND(O239=1,T239&gt;Inputs!$B$5),1,0)</f>
        <v>0</v>
      </c>
      <c r="Z239" s="7" t="n">
        <f aca="false">IF(AND(O239=1,G239&lt;&gt;R239),1,0)</f>
        <v>0</v>
      </c>
      <c r="AA239" s="7" t="n">
        <f aca="false">IF(AND(O239=1,M239=""),1,0)</f>
        <v>0</v>
      </c>
      <c r="AB239" s="7" t="n">
        <f aca="false">IF(AND(E239="Closed Lost",N239=""),1,0)</f>
        <v>0</v>
      </c>
      <c r="AC239" s="7" t="n">
        <f aca="false">SUM(U239:AB239)</f>
        <v>0</v>
      </c>
      <c r="AD239" s="7" t="n">
        <f aca="false">IF(AC239=0,1,0)</f>
        <v>1</v>
      </c>
      <c r="AE239" s="7" t="n">
        <f aca="false">IF(AND(O239=1,I239&gt;=Inputs!$B$6,I239&lt;=Inputs!$B$7),1,0)</f>
        <v>1</v>
      </c>
      <c r="AF239" s="7" t="n">
        <f aca="false">IF(AND(E239="Closed Won",I239&gt;=Inputs!$B$6,I239&lt;=Inputs!$B$4),1,0)</f>
        <v>0</v>
      </c>
      <c r="AG239" s="7" t="n">
        <f aca="false">IF(AND(O239=0,I239&gt;Inputs!$B$4-Inputs!$B$8,I239&lt;=Inputs!$B$4),1,0)</f>
        <v>0</v>
      </c>
      <c r="AH239" s="7" t="n">
        <f aca="false">I239-H239</f>
        <v>18</v>
      </c>
    </row>
    <row r="240" customFormat="false" ht="15" hidden="false" customHeight="false" outlineLevel="0" collapsed="false">
      <c r="A240" s="16" t="s">
        <v>1143</v>
      </c>
      <c r="B240" s="16" t="s">
        <v>1144</v>
      </c>
      <c r="C240" s="16" t="s">
        <v>1145</v>
      </c>
      <c r="D240" s="16" t="s">
        <v>165</v>
      </c>
      <c r="E240" s="16" t="s">
        <v>530</v>
      </c>
      <c r="F240" s="26"/>
      <c r="G240" s="25" t="n">
        <v>100</v>
      </c>
      <c r="H240" s="22" t="n">
        <v>46021</v>
      </c>
      <c r="I240" s="22" t="n">
        <v>46307</v>
      </c>
      <c r="J240" s="22" t="n">
        <v>46307</v>
      </c>
      <c r="K240" s="16" t="s">
        <v>729</v>
      </c>
      <c r="L240" s="16" t="s">
        <v>584</v>
      </c>
      <c r="M240" s="16"/>
      <c r="N240" s="16"/>
      <c r="O240" s="7" t="n">
        <f aca="false">IF(OR(E240="Closed Won",E240="Closed Lost"),0,1)</f>
        <v>0</v>
      </c>
      <c r="P240" s="17" t="str">
        <f aca="false">INDEX(Accounts!$K$5:$K$336,MATCH(B240,Accounts!$A$5:$A$336,0))</f>
        <v>Financial Services</v>
      </c>
      <c r="Q240" s="17" t="str">
        <f aca="false">INDEX(Accounts!$D$5:$D$336,MATCH(B240,Accounts!$A$5:$A$336,0))</f>
        <v>Standard</v>
      </c>
      <c r="R240" s="7" t="n">
        <f aca="false">INDEX(Inputs!$B$11:$B$16,MATCH(E240,Inputs!$A$11:$A$16,0))</f>
        <v>100</v>
      </c>
      <c r="S240" s="27" t="n">
        <f aca="false">IF(F240="",0,F240)*R240/100</f>
        <v>0</v>
      </c>
      <c r="T240" s="7" t="n">
        <f aca="false">Inputs!$B$4-J240</f>
        <v>7</v>
      </c>
      <c r="U240" s="7" t="n">
        <f aca="false">IF(OR(F240="",F240=0),1,0)</f>
        <v>1</v>
      </c>
      <c r="V240" s="7" t="n">
        <f aca="false">IF(K240="",1,0)</f>
        <v>0</v>
      </c>
      <c r="W240" s="7" t="n">
        <f aca="false">IF(AND(O240=1,K240&lt;&gt;"",COUNTIFS(Owners!$A$5:$A$32,K240,Owners!$E$5:$E$32,"No")&gt;0),1,0)</f>
        <v>0</v>
      </c>
      <c r="X240" s="7" t="n">
        <f aca="false">IF(AND(O240=1,I240&lt;Inputs!$B$4),1,0)</f>
        <v>0</v>
      </c>
      <c r="Y240" s="7" t="n">
        <f aca="false">IF(AND(O240=1,T240&gt;Inputs!$B$5),1,0)</f>
        <v>0</v>
      </c>
      <c r="Z240" s="7" t="n">
        <f aca="false">IF(AND(O240=1,G240&lt;&gt;R240),1,0)</f>
        <v>0</v>
      </c>
      <c r="AA240" s="7" t="n">
        <f aca="false">IF(AND(O240=1,M240=""),1,0)</f>
        <v>0</v>
      </c>
      <c r="AB240" s="7" t="n">
        <f aca="false">IF(AND(E240="Closed Lost",N240=""),1,0)</f>
        <v>0</v>
      </c>
      <c r="AC240" s="7" t="n">
        <f aca="false">SUM(U240:AB240)</f>
        <v>1</v>
      </c>
      <c r="AD240" s="7" t="n">
        <f aca="false">IF(AC240=0,1,0)</f>
        <v>0</v>
      </c>
      <c r="AE240" s="7" t="n">
        <f aca="false">IF(AND(O240=1,I240&gt;=Inputs!$B$6,I240&lt;=Inputs!$B$7),1,0)</f>
        <v>0</v>
      </c>
      <c r="AF240" s="7" t="n">
        <f aca="false">IF(AND(E240="Closed Won",I240&gt;=Inputs!$B$6,I240&lt;=Inputs!$B$4),1,0)</f>
        <v>1</v>
      </c>
      <c r="AG240" s="7" t="n">
        <f aca="false">IF(AND(O240=0,I240&gt;Inputs!$B$4-Inputs!$B$8,I240&lt;=Inputs!$B$4),1,0)</f>
        <v>1</v>
      </c>
      <c r="AH240" s="7" t="n">
        <f aca="false">I240-H240</f>
        <v>286</v>
      </c>
    </row>
    <row r="241" customFormat="false" ht="15" hidden="false" customHeight="false" outlineLevel="0" collapsed="false">
      <c r="A241" s="16" t="s">
        <v>1146</v>
      </c>
      <c r="B241" s="16" t="s">
        <v>1147</v>
      </c>
      <c r="C241" s="16" t="s">
        <v>1148</v>
      </c>
      <c r="D241" s="16" t="s">
        <v>177</v>
      </c>
      <c r="E241" s="16" t="s">
        <v>531</v>
      </c>
      <c r="F241" s="26" t="n">
        <v>11575000</v>
      </c>
      <c r="G241" s="25" t="n">
        <v>0</v>
      </c>
      <c r="H241" s="22" t="n">
        <v>45936</v>
      </c>
      <c r="I241" s="22" t="n">
        <v>46019</v>
      </c>
      <c r="J241" s="22" t="n">
        <v>46019</v>
      </c>
      <c r="K241" s="16" t="s">
        <v>729</v>
      </c>
      <c r="L241" s="16" t="s">
        <v>609</v>
      </c>
      <c r="M241" s="16"/>
      <c r="N241" s="16" t="s">
        <v>722</v>
      </c>
      <c r="O241" s="7" t="n">
        <f aca="false">IF(OR(E241="Closed Won",E241="Closed Lost"),0,1)</f>
        <v>0</v>
      </c>
      <c r="P241" s="17" t="str">
        <f aca="false">INDEX(Accounts!$K$5:$K$336,MATCH(B241,Accounts!$A$5:$A$336,0))</f>
        <v>Financial Services</v>
      </c>
      <c r="Q241" s="17" t="str">
        <f aca="false">INDEX(Accounts!$D$5:$D$336,MATCH(B241,Accounts!$A$5:$A$336,0))</f>
        <v>Standard</v>
      </c>
      <c r="R241" s="7" t="n">
        <f aca="false">INDEX(Inputs!$B$11:$B$16,MATCH(E241,Inputs!$A$11:$A$16,0))</f>
        <v>0</v>
      </c>
      <c r="S241" s="27" t="n">
        <f aca="false">IF(F241="",0,F241)*R241/100</f>
        <v>0</v>
      </c>
      <c r="T241" s="7" t="n">
        <f aca="false">Inputs!$B$4-J241</f>
        <v>295</v>
      </c>
      <c r="U241" s="7" t="n">
        <f aca="false">IF(OR(F241="",F241=0),1,0)</f>
        <v>0</v>
      </c>
      <c r="V241" s="7" t="n">
        <f aca="false">IF(K241="",1,0)</f>
        <v>0</v>
      </c>
      <c r="W241" s="7" t="n">
        <f aca="false">IF(AND(O241=1,K241&lt;&gt;"",COUNTIFS(Owners!$A$5:$A$32,K241,Owners!$E$5:$E$32,"No")&gt;0),1,0)</f>
        <v>0</v>
      </c>
      <c r="X241" s="7" t="n">
        <f aca="false">IF(AND(O241=1,I241&lt;Inputs!$B$4),1,0)</f>
        <v>0</v>
      </c>
      <c r="Y241" s="7" t="n">
        <f aca="false">IF(AND(O241=1,T241&gt;Inputs!$B$5),1,0)</f>
        <v>0</v>
      </c>
      <c r="Z241" s="7" t="n">
        <f aca="false">IF(AND(O241=1,G241&lt;&gt;R241),1,0)</f>
        <v>0</v>
      </c>
      <c r="AA241" s="7" t="n">
        <f aca="false">IF(AND(O241=1,M241=""),1,0)</f>
        <v>0</v>
      </c>
      <c r="AB241" s="7" t="n">
        <f aca="false">IF(AND(E241="Closed Lost",N241=""),1,0)</f>
        <v>0</v>
      </c>
      <c r="AC241" s="7" t="n">
        <f aca="false">SUM(U241:AB241)</f>
        <v>0</v>
      </c>
      <c r="AD241" s="7" t="n">
        <f aca="false">IF(AC241=0,1,0)</f>
        <v>1</v>
      </c>
      <c r="AE241" s="7" t="n">
        <f aca="false">IF(AND(O241=1,I241&gt;=Inputs!$B$6,I241&lt;=Inputs!$B$7),1,0)</f>
        <v>0</v>
      </c>
      <c r="AF241" s="7" t="n">
        <f aca="false">IF(AND(E241="Closed Won",I241&gt;=Inputs!$B$6,I241&lt;=Inputs!$B$4),1,0)</f>
        <v>0</v>
      </c>
      <c r="AG241" s="7" t="n">
        <f aca="false">IF(AND(O241=0,I241&gt;Inputs!$B$4-Inputs!$B$8,I241&lt;=Inputs!$B$4),1,0)</f>
        <v>1</v>
      </c>
      <c r="AH241" s="7" t="n">
        <f aca="false">I241-H241</f>
        <v>83</v>
      </c>
    </row>
    <row r="242" customFormat="false" ht="15" hidden="false" customHeight="false" outlineLevel="0" collapsed="false">
      <c r="A242" s="16" t="s">
        <v>1149</v>
      </c>
      <c r="B242" s="16" t="s">
        <v>67</v>
      </c>
      <c r="C242" s="16" t="s">
        <v>1150</v>
      </c>
      <c r="D242" s="16" t="s">
        <v>167</v>
      </c>
      <c r="E242" s="16" t="s">
        <v>530</v>
      </c>
      <c r="F242" s="26" t="n">
        <v>8990000</v>
      </c>
      <c r="G242" s="25" t="n">
        <v>100</v>
      </c>
      <c r="H242" s="22" t="n">
        <v>46058</v>
      </c>
      <c r="I242" s="22" t="n">
        <v>46238</v>
      </c>
      <c r="J242" s="22" t="n">
        <v>46238</v>
      </c>
      <c r="K242" s="16" t="s">
        <v>596</v>
      </c>
      <c r="L242" s="16" t="s">
        <v>609</v>
      </c>
      <c r="M242" s="16"/>
      <c r="N242" s="16"/>
      <c r="O242" s="7" t="n">
        <f aca="false">IF(OR(E242="Closed Won",E242="Closed Lost"),0,1)</f>
        <v>0</v>
      </c>
      <c r="P242" s="17" t="str">
        <f aca="false">INDEX(Accounts!$K$5:$K$336,MATCH(B242,Accounts!$A$5:$A$336,0))</f>
        <v>Financial Services</v>
      </c>
      <c r="Q242" s="17" t="str">
        <f aca="false">INDEX(Accounts!$D$5:$D$336,MATCH(B242,Accounts!$A$5:$A$336,0))</f>
        <v>Priority</v>
      </c>
      <c r="R242" s="7" t="n">
        <f aca="false">INDEX(Inputs!$B$11:$B$16,MATCH(E242,Inputs!$A$11:$A$16,0))</f>
        <v>100</v>
      </c>
      <c r="S242" s="27" t="n">
        <f aca="false">IF(F242="",0,F242)*R242/100</f>
        <v>8990000</v>
      </c>
      <c r="T242" s="7" t="n">
        <f aca="false">Inputs!$B$4-J242</f>
        <v>76</v>
      </c>
      <c r="U242" s="7" t="n">
        <f aca="false">IF(OR(F242="",F242=0),1,0)</f>
        <v>0</v>
      </c>
      <c r="V242" s="7" t="n">
        <f aca="false">IF(K242="",1,0)</f>
        <v>0</v>
      </c>
      <c r="W242" s="7" t="n">
        <f aca="false">IF(AND(O242=1,K242&lt;&gt;"",COUNTIFS(Owners!$A$5:$A$32,K242,Owners!$E$5:$E$32,"No")&gt;0),1,0)</f>
        <v>0</v>
      </c>
      <c r="X242" s="7" t="n">
        <f aca="false">IF(AND(O242=1,I242&lt;Inputs!$B$4),1,0)</f>
        <v>0</v>
      </c>
      <c r="Y242" s="7" t="n">
        <f aca="false">IF(AND(O242=1,T242&gt;Inputs!$B$5),1,0)</f>
        <v>0</v>
      </c>
      <c r="Z242" s="7" t="n">
        <f aca="false">IF(AND(O242=1,G242&lt;&gt;R242),1,0)</f>
        <v>0</v>
      </c>
      <c r="AA242" s="7" t="n">
        <f aca="false">IF(AND(O242=1,M242=""),1,0)</f>
        <v>0</v>
      </c>
      <c r="AB242" s="7" t="n">
        <f aca="false">IF(AND(E242="Closed Lost",N242=""),1,0)</f>
        <v>0</v>
      </c>
      <c r="AC242" s="7" t="n">
        <f aca="false">SUM(U242:AB242)</f>
        <v>0</v>
      </c>
      <c r="AD242" s="7" t="n">
        <f aca="false">IF(AC242=0,1,0)</f>
        <v>1</v>
      </c>
      <c r="AE242" s="7" t="n">
        <f aca="false">IF(AND(O242=1,I242&gt;=Inputs!$B$6,I242&lt;=Inputs!$B$7),1,0)</f>
        <v>0</v>
      </c>
      <c r="AF242" s="7" t="n">
        <f aca="false">IF(AND(E242="Closed Won",I242&gt;=Inputs!$B$6,I242&lt;=Inputs!$B$4),1,0)</f>
        <v>1</v>
      </c>
      <c r="AG242" s="7" t="n">
        <f aca="false">IF(AND(O242=0,I242&gt;Inputs!$B$4-Inputs!$B$8,I242&lt;=Inputs!$B$4),1,0)</f>
        <v>1</v>
      </c>
      <c r="AH242" s="7" t="n">
        <f aca="false">I242-H242</f>
        <v>180</v>
      </c>
    </row>
    <row r="243" customFormat="false" ht="15" hidden="false" customHeight="false" outlineLevel="0" collapsed="false">
      <c r="A243" s="16" t="s">
        <v>1151</v>
      </c>
      <c r="B243" s="16" t="s">
        <v>1152</v>
      </c>
      <c r="C243" s="16" t="s">
        <v>1153</v>
      </c>
      <c r="D243" s="16" t="s">
        <v>165</v>
      </c>
      <c r="E243" s="16" t="s">
        <v>530</v>
      </c>
      <c r="F243" s="26" t="n">
        <v>19749000</v>
      </c>
      <c r="G243" s="25" t="n">
        <v>100</v>
      </c>
      <c r="H243" s="22" t="n">
        <v>46052</v>
      </c>
      <c r="I243" s="22" t="n">
        <v>46234</v>
      </c>
      <c r="J243" s="22" t="n">
        <v>46234</v>
      </c>
      <c r="K243" s="16" t="s">
        <v>604</v>
      </c>
      <c r="L243" s="16" t="s">
        <v>592</v>
      </c>
      <c r="M243" s="16"/>
      <c r="N243" s="16"/>
      <c r="O243" s="7" t="n">
        <f aca="false">IF(OR(E243="Closed Won",E243="Closed Lost"),0,1)</f>
        <v>0</v>
      </c>
      <c r="P243" s="17" t="str">
        <f aca="false">INDEX(Accounts!$K$5:$K$336,MATCH(B243,Accounts!$A$5:$A$336,0))</f>
        <v>Public Sector &amp; Development</v>
      </c>
      <c r="Q243" s="17" t="str">
        <f aca="false">INDEX(Accounts!$D$5:$D$336,MATCH(B243,Accounts!$A$5:$A$336,0))</f>
        <v>Standard</v>
      </c>
      <c r="R243" s="7" t="n">
        <f aca="false">INDEX(Inputs!$B$11:$B$16,MATCH(E243,Inputs!$A$11:$A$16,0))</f>
        <v>100</v>
      </c>
      <c r="S243" s="27" t="n">
        <f aca="false">IF(F243="",0,F243)*R243/100</f>
        <v>19749000</v>
      </c>
      <c r="T243" s="7" t="n">
        <f aca="false">Inputs!$B$4-J243</f>
        <v>80</v>
      </c>
      <c r="U243" s="7" t="n">
        <f aca="false">IF(OR(F243="",F243=0),1,0)</f>
        <v>0</v>
      </c>
      <c r="V243" s="7" t="n">
        <f aca="false">IF(K243="",1,0)</f>
        <v>0</v>
      </c>
      <c r="W243" s="7" t="n">
        <f aca="false">IF(AND(O243=1,K243&lt;&gt;"",COUNTIFS(Owners!$A$5:$A$32,K243,Owners!$E$5:$E$32,"No")&gt;0),1,0)</f>
        <v>0</v>
      </c>
      <c r="X243" s="7" t="n">
        <f aca="false">IF(AND(O243=1,I243&lt;Inputs!$B$4),1,0)</f>
        <v>0</v>
      </c>
      <c r="Y243" s="7" t="n">
        <f aca="false">IF(AND(O243=1,T243&gt;Inputs!$B$5),1,0)</f>
        <v>0</v>
      </c>
      <c r="Z243" s="7" t="n">
        <f aca="false">IF(AND(O243=1,G243&lt;&gt;R243),1,0)</f>
        <v>0</v>
      </c>
      <c r="AA243" s="7" t="n">
        <f aca="false">IF(AND(O243=1,M243=""),1,0)</f>
        <v>0</v>
      </c>
      <c r="AB243" s="7" t="n">
        <f aca="false">IF(AND(E243="Closed Lost",N243=""),1,0)</f>
        <v>0</v>
      </c>
      <c r="AC243" s="7" t="n">
        <f aca="false">SUM(U243:AB243)</f>
        <v>0</v>
      </c>
      <c r="AD243" s="7" t="n">
        <f aca="false">IF(AC243=0,1,0)</f>
        <v>1</v>
      </c>
      <c r="AE243" s="7" t="n">
        <f aca="false">IF(AND(O243=1,I243&gt;=Inputs!$B$6,I243&lt;=Inputs!$B$7),1,0)</f>
        <v>0</v>
      </c>
      <c r="AF243" s="7" t="n">
        <f aca="false">IF(AND(E243="Closed Won",I243&gt;=Inputs!$B$6,I243&lt;=Inputs!$B$4),1,0)</f>
        <v>1</v>
      </c>
      <c r="AG243" s="7" t="n">
        <f aca="false">IF(AND(O243=0,I243&gt;Inputs!$B$4-Inputs!$B$8,I243&lt;=Inputs!$B$4),1,0)</f>
        <v>1</v>
      </c>
      <c r="AH243" s="7" t="n">
        <f aca="false">I243-H243</f>
        <v>182</v>
      </c>
    </row>
    <row r="244" customFormat="false" ht="15" hidden="false" customHeight="false" outlineLevel="0" collapsed="false">
      <c r="A244" s="16" t="s">
        <v>1154</v>
      </c>
      <c r="B244" s="16" t="s">
        <v>92</v>
      </c>
      <c r="C244" s="16" t="s">
        <v>1155</v>
      </c>
      <c r="D244" s="16" t="s">
        <v>165</v>
      </c>
      <c r="E244" s="16" t="s">
        <v>530</v>
      </c>
      <c r="F244" s="26" t="n">
        <v>20719000</v>
      </c>
      <c r="G244" s="25" t="n">
        <v>100</v>
      </c>
      <c r="H244" s="22" t="n">
        <v>46149</v>
      </c>
      <c r="I244" s="22" t="n">
        <v>46215</v>
      </c>
      <c r="J244" s="22" t="n">
        <v>46215</v>
      </c>
      <c r="K244" s="16" t="s">
        <v>704</v>
      </c>
      <c r="L244" s="16" t="s">
        <v>568</v>
      </c>
      <c r="M244" s="16"/>
      <c r="N244" s="16"/>
      <c r="O244" s="7" t="n">
        <f aca="false">IF(OR(E244="Closed Won",E244="Closed Lost"),0,1)</f>
        <v>0</v>
      </c>
      <c r="P244" s="17" t="str">
        <f aca="false">INDEX(Accounts!$K$5:$K$336,MATCH(B244,Accounts!$A$5:$A$336,0))</f>
        <v>Public Sector &amp; Development</v>
      </c>
      <c r="Q244" s="17" t="str">
        <f aca="false">INDEX(Accounts!$D$5:$D$336,MATCH(B244,Accounts!$A$5:$A$336,0))</f>
        <v>Priority</v>
      </c>
      <c r="R244" s="7" t="n">
        <f aca="false">INDEX(Inputs!$B$11:$B$16,MATCH(E244,Inputs!$A$11:$A$16,0))</f>
        <v>100</v>
      </c>
      <c r="S244" s="27" t="n">
        <f aca="false">IF(F244="",0,F244)*R244/100</f>
        <v>20719000</v>
      </c>
      <c r="T244" s="7" t="n">
        <f aca="false">Inputs!$B$4-J244</f>
        <v>99</v>
      </c>
      <c r="U244" s="7" t="n">
        <f aca="false">IF(OR(F244="",F244=0),1,0)</f>
        <v>0</v>
      </c>
      <c r="V244" s="7" t="n">
        <f aca="false">IF(K244="",1,0)</f>
        <v>0</v>
      </c>
      <c r="W244" s="7" t="n">
        <f aca="false">IF(AND(O244=1,K244&lt;&gt;"",COUNTIFS(Owners!$A$5:$A$32,K244,Owners!$E$5:$E$32,"No")&gt;0),1,0)</f>
        <v>0</v>
      </c>
      <c r="X244" s="7" t="n">
        <f aca="false">IF(AND(O244=1,I244&lt;Inputs!$B$4),1,0)</f>
        <v>0</v>
      </c>
      <c r="Y244" s="7" t="n">
        <f aca="false">IF(AND(O244=1,T244&gt;Inputs!$B$5),1,0)</f>
        <v>0</v>
      </c>
      <c r="Z244" s="7" t="n">
        <f aca="false">IF(AND(O244=1,G244&lt;&gt;R244),1,0)</f>
        <v>0</v>
      </c>
      <c r="AA244" s="7" t="n">
        <f aca="false">IF(AND(O244=1,M244=""),1,0)</f>
        <v>0</v>
      </c>
      <c r="AB244" s="7" t="n">
        <f aca="false">IF(AND(E244="Closed Lost",N244=""),1,0)</f>
        <v>0</v>
      </c>
      <c r="AC244" s="7" t="n">
        <f aca="false">SUM(U244:AB244)</f>
        <v>0</v>
      </c>
      <c r="AD244" s="7" t="n">
        <f aca="false">IF(AC244=0,1,0)</f>
        <v>1</v>
      </c>
      <c r="AE244" s="7" t="n">
        <f aca="false">IF(AND(O244=1,I244&gt;=Inputs!$B$6,I244&lt;=Inputs!$B$7),1,0)</f>
        <v>0</v>
      </c>
      <c r="AF244" s="7" t="n">
        <f aca="false">IF(AND(E244="Closed Won",I244&gt;=Inputs!$B$6,I244&lt;=Inputs!$B$4),1,0)</f>
        <v>1</v>
      </c>
      <c r="AG244" s="7" t="n">
        <f aca="false">IF(AND(O244=0,I244&gt;Inputs!$B$4-Inputs!$B$8,I244&lt;=Inputs!$B$4),1,0)</f>
        <v>1</v>
      </c>
      <c r="AH244" s="7" t="n">
        <f aca="false">I244-H244</f>
        <v>66</v>
      </c>
    </row>
    <row r="245" customFormat="false" ht="15" hidden="false" customHeight="false" outlineLevel="0" collapsed="false">
      <c r="A245" s="16" t="s">
        <v>1156</v>
      </c>
      <c r="B245" s="16" t="s">
        <v>88</v>
      </c>
      <c r="C245" s="16" t="s">
        <v>1157</v>
      </c>
      <c r="D245" s="16" t="s">
        <v>167</v>
      </c>
      <c r="E245" s="16" t="s">
        <v>530</v>
      </c>
      <c r="F245" s="26" t="n">
        <v>9259000</v>
      </c>
      <c r="G245" s="25" t="n">
        <v>100</v>
      </c>
      <c r="H245" s="22" t="n">
        <v>46075</v>
      </c>
      <c r="I245" s="22" t="n">
        <v>46174</v>
      </c>
      <c r="J245" s="22" t="n">
        <v>46174</v>
      </c>
      <c r="K245" s="16" t="s">
        <v>596</v>
      </c>
      <c r="L245" s="16" t="s">
        <v>500</v>
      </c>
      <c r="M245" s="16"/>
      <c r="N245" s="16"/>
      <c r="O245" s="7" t="n">
        <f aca="false">IF(OR(E245="Closed Won",E245="Closed Lost"),0,1)</f>
        <v>0</v>
      </c>
      <c r="P245" s="17" t="str">
        <f aca="false">INDEX(Accounts!$K$5:$K$336,MATCH(B245,Accounts!$A$5:$A$336,0))</f>
        <v>Agribusiness</v>
      </c>
      <c r="Q245" s="17" t="str">
        <f aca="false">INDEX(Accounts!$D$5:$D$336,MATCH(B245,Accounts!$A$5:$A$336,0))</f>
        <v>Priority</v>
      </c>
      <c r="R245" s="7" t="n">
        <f aca="false">INDEX(Inputs!$B$11:$B$16,MATCH(E245,Inputs!$A$11:$A$16,0))</f>
        <v>100</v>
      </c>
      <c r="S245" s="27" t="n">
        <f aca="false">IF(F245="",0,F245)*R245/100</f>
        <v>9259000</v>
      </c>
      <c r="T245" s="7" t="n">
        <f aca="false">Inputs!$B$4-J245</f>
        <v>140</v>
      </c>
      <c r="U245" s="7" t="n">
        <f aca="false">IF(OR(F245="",F245=0),1,0)</f>
        <v>0</v>
      </c>
      <c r="V245" s="7" t="n">
        <f aca="false">IF(K245="",1,0)</f>
        <v>0</v>
      </c>
      <c r="W245" s="7" t="n">
        <f aca="false">IF(AND(O245=1,K245&lt;&gt;"",COUNTIFS(Owners!$A$5:$A$32,K245,Owners!$E$5:$E$32,"No")&gt;0),1,0)</f>
        <v>0</v>
      </c>
      <c r="X245" s="7" t="n">
        <f aca="false">IF(AND(O245=1,I245&lt;Inputs!$B$4),1,0)</f>
        <v>0</v>
      </c>
      <c r="Y245" s="7" t="n">
        <f aca="false">IF(AND(O245=1,T245&gt;Inputs!$B$5),1,0)</f>
        <v>0</v>
      </c>
      <c r="Z245" s="7" t="n">
        <f aca="false">IF(AND(O245=1,G245&lt;&gt;R245),1,0)</f>
        <v>0</v>
      </c>
      <c r="AA245" s="7" t="n">
        <f aca="false">IF(AND(O245=1,M245=""),1,0)</f>
        <v>0</v>
      </c>
      <c r="AB245" s="7" t="n">
        <f aca="false">IF(AND(E245="Closed Lost",N245=""),1,0)</f>
        <v>0</v>
      </c>
      <c r="AC245" s="7" t="n">
        <f aca="false">SUM(U245:AB245)</f>
        <v>0</v>
      </c>
      <c r="AD245" s="7" t="n">
        <f aca="false">IF(AC245=0,1,0)</f>
        <v>1</v>
      </c>
      <c r="AE245" s="7" t="n">
        <f aca="false">IF(AND(O245=1,I245&gt;=Inputs!$B$6,I245&lt;=Inputs!$B$7),1,0)</f>
        <v>0</v>
      </c>
      <c r="AF245" s="7" t="n">
        <f aca="false">IF(AND(E245="Closed Won",I245&gt;=Inputs!$B$6,I245&lt;=Inputs!$B$4),1,0)</f>
        <v>0</v>
      </c>
      <c r="AG245" s="7" t="n">
        <f aca="false">IF(AND(O245=0,I245&gt;Inputs!$B$4-Inputs!$B$8,I245&lt;=Inputs!$B$4),1,0)</f>
        <v>1</v>
      </c>
      <c r="AH245" s="7" t="n">
        <f aca="false">I245-H245</f>
        <v>99</v>
      </c>
    </row>
    <row r="246" customFormat="false" ht="15" hidden="false" customHeight="false" outlineLevel="0" collapsed="false">
      <c r="A246" s="16" t="s">
        <v>1158</v>
      </c>
      <c r="B246" s="16" t="s">
        <v>1159</v>
      </c>
      <c r="C246" s="16" t="s">
        <v>1160</v>
      </c>
      <c r="D246" s="16" t="s">
        <v>167</v>
      </c>
      <c r="E246" s="16" t="s">
        <v>528</v>
      </c>
      <c r="F246" s="26" t="n">
        <v>3864000</v>
      </c>
      <c r="G246" s="25" t="n">
        <v>50</v>
      </c>
      <c r="H246" s="22" t="n">
        <v>46091</v>
      </c>
      <c r="I246" s="22" t="n">
        <v>46572</v>
      </c>
      <c r="J246" s="22" t="n">
        <v>46289</v>
      </c>
      <c r="K246" s="16" t="s">
        <v>663</v>
      </c>
      <c r="L246" s="16" t="s">
        <v>584</v>
      </c>
      <c r="M246" s="16" t="s">
        <v>569</v>
      </c>
      <c r="N246" s="16"/>
      <c r="O246" s="7" t="n">
        <f aca="false">IF(OR(E246="Closed Won",E246="Closed Lost"),0,1)</f>
        <v>1</v>
      </c>
      <c r="P246" s="17" t="str">
        <f aca="false">INDEX(Accounts!$K$5:$K$336,MATCH(B246,Accounts!$A$5:$A$336,0))</f>
        <v>Consumer &amp; Retail</v>
      </c>
      <c r="Q246" s="17" t="str">
        <f aca="false">INDEX(Accounts!$D$5:$D$336,MATCH(B246,Accounts!$A$5:$A$336,0))</f>
        <v>Standard</v>
      </c>
      <c r="R246" s="7" t="n">
        <f aca="false">INDEX(Inputs!$B$11:$B$16,MATCH(E246,Inputs!$A$11:$A$16,0))</f>
        <v>50</v>
      </c>
      <c r="S246" s="27" t="n">
        <f aca="false">IF(F246="",0,F246)*R246/100</f>
        <v>1932000</v>
      </c>
      <c r="T246" s="7" t="n">
        <f aca="false">Inputs!$B$4-J246</f>
        <v>25</v>
      </c>
      <c r="U246" s="7" t="n">
        <f aca="false">IF(OR(F246="",F246=0),1,0)</f>
        <v>0</v>
      </c>
      <c r="V246" s="7" t="n">
        <f aca="false">IF(K246="",1,0)</f>
        <v>0</v>
      </c>
      <c r="W246" s="7" t="n">
        <f aca="false">IF(AND(O246=1,K246&lt;&gt;"",COUNTIFS(Owners!$A$5:$A$32,K246,Owners!$E$5:$E$32,"No")&gt;0),1,0)</f>
        <v>0</v>
      </c>
      <c r="X246" s="7" t="n">
        <f aca="false">IF(AND(O246=1,I246&lt;Inputs!$B$4),1,0)</f>
        <v>0</v>
      </c>
      <c r="Y246" s="7" t="n">
        <f aca="false">IF(AND(O246=1,T246&gt;Inputs!$B$5),1,0)</f>
        <v>0</v>
      </c>
      <c r="Z246" s="7" t="n">
        <f aca="false">IF(AND(O246=1,G246&lt;&gt;R246),1,0)</f>
        <v>0</v>
      </c>
      <c r="AA246" s="7" t="n">
        <f aca="false">IF(AND(O246=1,M246=""),1,0)</f>
        <v>0</v>
      </c>
      <c r="AB246" s="7" t="n">
        <f aca="false">IF(AND(E246="Closed Lost",N246=""),1,0)</f>
        <v>0</v>
      </c>
      <c r="AC246" s="7" t="n">
        <f aca="false">SUM(U246:AB246)</f>
        <v>0</v>
      </c>
      <c r="AD246" s="7" t="n">
        <f aca="false">IF(AC246=0,1,0)</f>
        <v>1</v>
      </c>
      <c r="AE246" s="7" t="n">
        <f aca="false">IF(AND(O246=1,I246&gt;=Inputs!$B$6,I246&lt;=Inputs!$B$7),1,0)</f>
        <v>0</v>
      </c>
      <c r="AF246" s="7" t="n">
        <f aca="false">IF(AND(E246="Closed Won",I246&gt;=Inputs!$B$6,I246&lt;=Inputs!$B$4),1,0)</f>
        <v>0</v>
      </c>
      <c r="AG246" s="7" t="n">
        <f aca="false">IF(AND(O246=0,I246&gt;Inputs!$B$4-Inputs!$B$8,I246&lt;=Inputs!$B$4),1,0)</f>
        <v>0</v>
      </c>
      <c r="AH246" s="7" t="n">
        <f aca="false">I246-H246</f>
        <v>481</v>
      </c>
    </row>
    <row r="247" customFormat="false" ht="15" hidden="false" customHeight="false" outlineLevel="0" collapsed="false">
      <c r="A247" s="16" t="s">
        <v>1161</v>
      </c>
      <c r="B247" s="16" t="s">
        <v>77</v>
      </c>
      <c r="C247" s="16" t="s">
        <v>1162</v>
      </c>
      <c r="D247" s="16" t="s">
        <v>167</v>
      </c>
      <c r="E247" s="16" t="s">
        <v>529</v>
      </c>
      <c r="F247" s="26"/>
      <c r="G247" s="25" t="n">
        <v>100</v>
      </c>
      <c r="H247" s="22" t="n">
        <v>46288</v>
      </c>
      <c r="I247" s="22" t="n">
        <v>46371</v>
      </c>
      <c r="J247" s="22" t="n">
        <v>46272</v>
      </c>
      <c r="K247" s="16" t="s">
        <v>633</v>
      </c>
      <c r="L247" s="16" t="s">
        <v>500</v>
      </c>
      <c r="M247" s="16" t="s">
        <v>613</v>
      </c>
      <c r="N247" s="16"/>
      <c r="O247" s="7" t="n">
        <f aca="false">IF(OR(E247="Closed Won",E247="Closed Lost"),0,1)</f>
        <v>1</v>
      </c>
      <c r="P247" s="17" t="str">
        <f aca="false">INDEX(Accounts!$K$5:$K$336,MATCH(B247,Accounts!$A$5:$A$336,0))</f>
        <v>Financial Services</v>
      </c>
      <c r="Q247" s="17" t="str">
        <f aca="false">INDEX(Accounts!$D$5:$D$336,MATCH(B247,Accounts!$A$5:$A$336,0))</f>
        <v>Priority</v>
      </c>
      <c r="R247" s="7" t="n">
        <f aca="false">INDEX(Inputs!$B$11:$B$16,MATCH(E247,Inputs!$A$11:$A$16,0))</f>
        <v>75</v>
      </c>
      <c r="S247" s="27" t="n">
        <f aca="false">IF(F247="",0,F247)*R247/100</f>
        <v>0</v>
      </c>
      <c r="T247" s="7" t="n">
        <f aca="false">Inputs!$B$4-J247</f>
        <v>42</v>
      </c>
      <c r="U247" s="7" t="n">
        <f aca="false">IF(OR(F247="",F247=0),1,0)</f>
        <v>1</v>
      </c>
      <c r="V247" s="7" t="n">
        <f aca="false">IF(K247="",1,0)</f>
        <v>0</v>
      </c>
      <c r="W247" s="7" t="n">
        <f aca="false">IF(AND(O247=1,K247&lt;&gt;"",COUNTIFS(Owners!$A$5:$A$32,K247,Owners!$E$5:$E$32,"No")&gt;0),1,0)</f>
        <v>0</v>
      </c>
      <c r="X247" s="7" t="n">
        <f aca="false">IF(AND(O247=1,I247&lt;Inputs!$B$4),1,0)</f>
        <v>0</v>
      </c>
      <c r="Y247" s="7" t="n">
        <f aca="false">IF(AND(O247=1,T247&gt;Inputs!$B$5),1,0)</f>
        <v>0</v>
      </c>
      <c r="Z247" s="7" t="n">
        <f aca="false">IF(AND(O247=1,G247&lt;&gt;R247),1,0)</f>
        <v>1</v>
      </c>
      <c r="AA247" s="7" t="n">
        <f aca="false">IF(AND(O247=1,M247=""),1,0)</f>
        <v>0</v>
      </c>
      <c r="AB247" s="7" t="n">
        <f aca="false">IF(AND(E247="Closed Lost",N247=""),1,0)</f>
        <v>0</v>
      </c>
      <c r="AC247" s="7" t="n">
        <f aca="false">SUM(U247:AB247)</f>
        <v>2</v>
      </c>
      <c r="AD247" s="7" t="n">
        <f aca="false">IF(AC247=0,1,0)</f>
        <v>0</v>
      </c>
      <c r="AE247" s="7" t="n">
        <f aca="false">IF(AND(O247=1,I247&gt;=Inputs!$B$6,I247&lt;=Inputs!$B$7),1,0)</f>
        <v>1</v>
      </c>
      <c r="AF247" s="7" t="n">
        <f aca="false">IF(AND(E247="Closed Won",I247&gt;=Inputs!$B$6,I247&lt;=Inputs!$B$4),1,0)</f>
        <v>0</v>
      </c>
      <c r="AG247" s="7" t="n">
        <f aca="false">IF(AND(O247=0,I247&gt;Inputs!$B$4-Inputs!$B$8,I247&lt;=Inputs!$B$4),1,0)</f>
        <v>0</v>
      </c>
      <c r="AH247" s="7" t="n">
        <f aca="false">I247-H247</f>
        <v>83</v>
      </c>
    </row>
    <row r="248" customFormat="false" ht="15" hidden="false" customHeight="false" outlineLevel="0" collapsed="false">
      <c r="A248" s="16" t="s">
        <v>1163</v>
      </c>
      <c r="B248" s="16" t="s">
        <v>94</v>
      </c>
      <c r="C248" s="16" t="s">
        <v>1164</v>
      </c>
      <c r="D248" s="16" t="s">
        <v>158</v>
      </c>
      <c r="E248" s="16" t="s">
        <v>529</v>
      </c>
      <c r="F248" s="26" t="n">
        <v>114858000</v>
      </c>
      <c r="G248" s="25" t="n">
        <v>75</v>
      </c>
      <c r="H248" s="22" t="n">
        <v>46223</v>
      </c>
      <c r="I248" s="22" t="n">
        <v>46539</v>
      </c>
      <c r="J248" s="22" t="n">
        <v>46138</v>
      </c>
      <c r="K248" s="16" t="s">
        <v>717</v>
      </c>
      <c r="L248" s="16" t="s">
        <v>592</v>
      </c>
      <c r="M248" s="16" t="s">
        <v>601</v>
      </c>
      <c r="N248" s="16"/>
      <c r="O248" s="7" t="n">
        <f aca="false">IF(OR(E248="Closed Won",E248="Closed Lost"),0,1)</f>
        <v>1</v>
      </c>
      <c r="P248" s="17" t="str">
        <f aca="false">INDEX(Accounts!$K$5:$K$336,MATCH(B248,Accounts!$A$5:$A$336,0))</f>
        <v>Technology, Media &amp; Telecom</v>
      </c>
      <c r="Q248" s="17" t="str">
        <f aca="false">INDEX(Accounts!$D$5:$D$336,MATCH(B248,Accounts!$A$5:$A$336,0))</f>
        <v>Priority</v>
      </c>
      <c r="R248" s="7" t="n">
        <f aca="false">INDEX(Inputs!$B$11:$B$16,MATCH(E248,Inputs!$A$11:$A$16,0))</f>
        <v>75</v>
      </c>
      <c r="S248" s="27" t="n">
        <f aca="false">IF(F248="",0,F248)*R248/100</f>
        <v>86143500</v>
      </c>
      <c r="T248" s="7" t="n">
        <f aca="false">Inputs!$B$4-J248</f>
        <v>176</v>
      </c>
      <c r="U248" s="7" t="n">
        <f aca="false">IF(OR(F248="",F248=0),1,0)</f>
        <v>0</v>
      </c>
      <c r="V248" s="7" t="n">
        <f aca="false">IF(K248="",1,0)</f>
        <v>0</v>
      </c>
      <c r="W248" s="7" t="n">
        <f aca="false">IF(AND(O248=1,K248&lt;&gt;"",COUNTIFS(Owners!$A$5:$A$32,K248,Owners!$E$5:$E$32,"No")&gt;0),1,0)</f>
        <v>0</v>
      </c>
      <c r="X248" s="7" t="n">
        <f aca="false">IF(AND(O248=1,I248&lt;Inputs!$B$4),1,0)</f>
        <v>0</v>
      </c>
      <c r="Y248" s="7" t="n">
        <f aca="false">IF(AND(O248=1,T248&gt;Inputs!$B$5),1,0)</f>
        <v>1</v>
      </c>
      <c r="Z248" s="7" t="n">
        <f aca="false">IF(AND(O248=1,G248&lt;&gt;R248),1,0)</f>
        <v>0</v>
      </c>
      <c r="AA248" s="7" t="n">
        <f aca="false">IF(AND(O248=1,M248=""),1,0)</f>
        <v>0</v>
      </c>
      <c r="AB248" s="7" t="n">
        <f aca="false">IF(AND(E248="Closed Lost",N248=""),1,0)</f>
        <v>0</v>
      </c>
      <c r="AC248" s="7" t="n">
        <f aca="false">SUM(U248:AB248)</f>
        <v>1</v>
      </c>
      <c r="AD248" s="7" t="n">
        <f aca="false">IF(AC248=0,1,0)</f>
        <v>0</v>
      </c>
      <c r="AE248" s="7" t="n">
        <f aca="false">IF(AND(O248=1,I248&gt;=Inputs!$B$6,I248&lt;=Inputs!$B$7),1,0)</f>
        <v>1</v>
      </c>
      <c r="AF248" s="7" t="n">
        <f aca="false">IF(AND(E248="Closed Won",I248&gt;=Inputs!$B$6,I248&lt;=Inputs!$B$4),1,0)</f>
        <v>0</v>
      </c>
      <c r="AG248" s="7" t="n">
        <f aca="false">IF(AND(O248=0,I248&gt;Inputs!$B$4-Inputs!$B$8,I248&lt;=Inputs!$B$4),1,0)</f>
        <v>0</v>
      </c>
      <c r="AH248" s="7" t="n">
        <f aca="false">I248-H248</f>
        <v>316</v>
      </c>
    </row>
    <row r="249" customFormat="false" ht="15" hidden="false" customHeight="false" outlineLevel="0" collapsed="false">
      <c r="A249" s="16" t="s">
        <v>1165</v>
      </c>
      <c r="B249" s="16" t="s">
        <v>199</v>
      </c>
      <c r="C249" s="16" t="s">
        <v>1166</v>
      </c>
      <c r="D249" s="16" t="s">
        <v>167</v>
      </c>
      <c r="E249" s="16" t="s">
        <v>527</v>
      </c>
      <c r="F249" s="26" t="n">
        <v>7988000</v>
      </c>
      <c r="G249" s="25" t="n">
        <v>25</v>
      </c>
      <c r="H249" s="22" t="n">
        <v>46280</v>
      </c>
      <c r="I249" s="22" t="n">
        <v>46337</v>
      </c>
      <c r="J249" s="22" t="n">
        <v>46132</v>
      </c>
      <c r="K249" s="16" t="s">
        <v>600</v>
      </c>
      <c r="L249" s="16" t="s">
        <v>584</v>
      </c>
      <c r="M249" s="16" t="s">
        <v>575</v>
      </c>
      <c r="N249" s="16"/>
      <c r="O249" s="7" t="n">
        <f aca="false">IF(OR(E249="Closed Won",E249="Closed Lost"),0,1)</f>
        <v>1</v>
      </c>
      <c r="P249" s="17" t="str">
        <f aca="false">INDEX(Accounts!$K$5:$K$336,MATCH(B249,Accounts!$A$5:$A$336,0))</f>
        <v>Public Sector &amp; Development</v>
      </c>
      <c r="Q249" s="17" t="str">
        <f aca="false">INDEX(Accounts!$D$5:$D$336,MATCH(B249,Accounts!$A$5:$A$336,0))</f>
        <v>Standard</v>
      </c>
      <c r="R249" s="7" t="n">
        <f aca="false">INDEX(Inputs!$B$11:$B$16,MATCH(E249,Inputs!$A$11:$A$16,0))</f>
        <v>25</v>
      </c>
      <c r="S249" s="27" t="n">
        <f aca="false">IF(F249="",0,F249)*R249/100</f>
        <v>1997000</v>
      </c>
      <c r="T249" s="7" t="n">
        <f aca="false">Inputs!$B$4-J249</f>
        <v>182</v>
      </c>
      <c r="U249" s="7" t="n">
        <f aca="false">IF(OR(F249="",F249=0),1,0)</f>
        <v>0</v>
      </c>
      <c r="V249" s="7" t="n">
        <f aca="false">IF(K249="",1,0)</f>
        <v>0</v>
      </c>
      <c r="W249" s="7" t="n">
        <f aca="false">IF(AND(O249=1,K249&lt;&gt;"",COUNTIFS(Owners!$A$5:$A$32,K249,Owners!$E$5:$E$32,"No")&gt;0),1,0)</f>
        <v>0</v>
      </c>
      <c r="X249" s="7" t="n">
        <f aca="false">IF(AND(O249=1,I249&lt;Inputs!$B$4),1,0)</f>
        <v>0</v>
      </c>
      <c r="Y249" s="7" t="n">
        <f aca="false">IF(AND(O249=1,T249&gt;Inputs!$B$5),1,0)</f>
        <v>1</v>
      </c>
      <c r="Z249" s="7" t="n">
        <f aca="false">IF(AND(O249=1,G249&lt;&gt;R249),1,0)</f>
        <v>0</v>
      </c>
      <c r="AA249" s="7" t="n">
        <f aca="false">IF(AND(O249=1,M249=""),1,0)</f>
        <v>0</v>
      </c>
      <c r="AB249" s="7" t="n">
        <f aca="false">IF(AND(E249="Closed Lost",N249=""),1,0)</f>
        <v>0</v>
      </c>
      <c r="AC249" s="7" t="n">
        <f aca="false">SUM(U249:AB249)</f>
        <v>1</v>
      </c>
      <c r="AD249" s="7" t="n">
        <f aca="false">IF(AC249=0,1,0)</f>
        <v>0</v>
      </c>
      <c r="AE249" s="7" t="n">
        <f aca="false">IF(AND(O249=1,I249&gt;=Inputs!$B$6,I249&lt;=Inputs!$B$7),1,0)</f>
        <v>1</v>
      </c>
      <c r="AF249" s="7" t="n">
        <f aca="false">IF(AND(E249="Closed Won",I249&gt;=Inputs!$B$6,I249&lt;=Inputs!$B$4),1,0)</f>
        <v>0</v>
      </c>
      <c r="AG249" s="7" t="n">
        <f aca="false">IF(AND(O249=0,I249&gt;Inputs!$B$4-Inputs!$B$8,I249&lt;=Inputs!$B$4),1,0)</f>
        <v>0</v>
      </c>
      <c r="AH249" s="7" t="n">
        <f aca="false">I249-H249</f>
        <v>57</v>
      </c>
    </row>
    <row r="250" customFormat="false" ht="15" hidden="false" customHeight="false" outlineLevel="0" collapsed="false">
      <c r="A250" s="16" t="s">
        <v>1167</v>
      </c>
      <c r="B250" s="16" t="s">
        <v>66</v>
      </c>
      <c r="C250" s="16" t="s">
        <v>1168</v>
      </c>
      <c r="D250" s="16" t="s">
        <v>165</v>
      </c>
      <c r="E250" s="16" t="s">
        <v>530</v>
      </c>
      <c r="F250" s="26" t="n">
        <v>13289000</v>
      </c>
      <c r="G250" s="25" t="n">
        <v>100</v>
      </c>
      <c r="H250" s="22" t="n">
        <v>45895</v>
      </c>
      <c r="I250" s="22" t="n">
        <v>46177</v>
      </c>
      <c r="J250" s="22" t="n">
        <v>46177</v>
      </c>
      <c r="K250" s="16" t="s">
        <v>640</v>
      </c>
      <c r="L250" s="16" t="s">
        <v>574</v>
      </c>
      <c r="M250" s="16"/>
      <c r="N250" s="16"/>
      <c r="O250" s="7" t="n">
        <f aca="false">IF(OR(E250="Closed Won",E250="Closed Lost"),0,1)</f>
        <v>0</v>
      </c>
      <c r="P250" s="17" t="str">
        <f aca="false">INDEX(Accounts!$K$5:$K$336,MATCH(B250,Accounts!$A$5:$A$336,0))</f>
        <v>Financial Services</v>
      </c>
      <c r="Q250" s="17" t="str">
        <f aca="false">INDEX(Accounts!$D$5:$D$336,MATCH(B250,Accounts!$A$5:$A$336,0))</f>
        <v>Priority</v>
      </c>
      <c r="R250" s="7" t="n">
        <f aca="false">INDEX(Inputs!$B$11:$B$16,MATCH(E250,Inputs!$A$11:$A$16,0))</f>
        <v>100</v>
      </c>
      <c r="S250" s="27" t="n">
        <f aca="false">IF(F250="",0,F250)*R250/100</f>
        <v>13289000</v>
      </c>
      <c r="T250" s="7" t="n">
        <f aca="false">Inputs!$B$4-J250</f>
        <v>137</v>
      </c>
      <c r="U250" s="7" t="n">
        <f aca="false">IF(OR(F250="",F250=0),1,0)</f>
        <v>0</v>
      </c>
      <c r="V250" s="7" t="n">
        <f aca="false">IF(K250="",1,0)</f>
        <v>0</v>
      </c>
      <c r="W250" s="7" t="n">
        <f aca="false">IF(AND(O250=1,K250&lt;&gt;"",COUNTIFS(Owners!$A$5:$A$32,K250,Owners!$E$5:$E$32,"No")&gt;0),1,0)</f>
        <v>0</v>
      </c>
      <c r="X250" s="7" t="n">
        <f aca="false">IF(AND(O250=1,I250&lt;Inputs!$B$4),1,0)</f>
        <v>0</v>
      </c>
      <c r="Y250" s="7" t="n">
        <f aca="false">IF(AND(O250=1,T250&gt;Inputs!$B$5),1,0)</f>
        <v>0</v>
      </c>
      <c r="Z250" s="7" t="n">
        <f aca="false">IF(AND(O250=1,G250&lt;&gt;R250),1,0)</f>
        <v>0</v>
      </c>
      <c r="AA250" s="7" t="n">
        <f aca="false">IF(AND(O250=1,M250=""),1,0)</f>
        <v>0</v>
      </c>
      <c r="AB250" s="7" t="n">
        <f aca="false">IF(AND(E250="Closed Lost",N250=""),1,0)</f>
        <v>0</v>
      </c>
      <c r="AC250" s="7" t="n">
        <f aca="false">SUM(U250:AB250)</f>
        <v>0</v>
      </c>
      <c r="AD250" s="7" t="n">
        <f aca="false">IF(AC250=0,1,0)</f>
        <v>1</v>
      </c>
      <c r="AE250" s="7" t="n">
        <f aca="false">IF(AND(O250=1,I250&gt;=Inputs!$B$6,I250&lt;=Inputs!$B$7),1,0)</f>
        <v>0</v>
      </c>
      <c r="AF250" s="7" t="n">
        <f aca="false">IF(AND(E250="Closed Won",I250&gt;=Inputs!$B$6,I250&lt;=Inputs!$B$4),1,0)</f>
        <v>0</v>
      </c>
      <c r="AG250" s="7" t="n">
        <f aca="false">IF(AND(O250=0,I250&gt;Inputs!$B$4-Inputs!$B$8,I250&lt;=Inputs!$B$4),1,0)</f>
        <v>1</v>
      </c>
      <c r="AH250" s="7" t="n">
        <f aca="false">I250-H250</f>
        <v>282</v>
      </c>
    </row>
    <row r="251" customFormat="false" ht="15" hidden="false" customHeight="false" outlineLevel="0" collapsed="false">
      <c r="A251" s="16" t="s">
        <v>1169</v>
      </c>
      <c r="B251" s="16" t="s">
        <v>1170</v>
      </c>
      <c r="C251" s="16" t="s">
        <v>1171</v>
      </c>
      <c r="D251" s="16" t="s">
        <v>158</v>
      </c>
      <c r="E251" s="16" t="s">
        <v>527</v>
      </c>
      <c r="F251" s="26" t="n">
        <v>22367000</v>
      </c>
      <c r="G251" s="25" t="n">
        <v>25</v>
      </c>
      <c r="H251" s="22" t="n">
        <v>46213</v>
      </c>
      <c r="I251" s="22" t="n">
        <v>46476</v>
      </c>
      <c r="J251" s="22" t="n">
        <v>46291</v>
      </c>
      <c r="K251" s="16" t="s">
        <v>677</v>
      </c>
      <c r="L251" s="16" t="s">
        <v>584</v>
      </c>
      <c r="M251" s="16"/>
      <c r="N251" s="16"/>
      <c r="O251" s="7" t="n">
        <f aca="false">IF(OR(E251="Closed Won",E251="Closed Lost"),0,1)</f>
        <v>1</v>
      </c>
      <c r="P251" s="17" t="str">
        <f aca="false">INDEX(Accounts!$K$5:$K$336,MATCH(B251,Accounts!$A$5:$A$336,0))</f>
        <v>Financial Services</v>
      </c>
      <c r="Q251" s="17" t="str">
        <f aca="false">INDEX(Accounts!$D$5:$D$336,MATCH(B251,Accounts!$A$5:$A$336,0))</f>
        <v>Standard</v>
      </c>
      <c r="R251" s="7" t="n">
        <f aca="false">INDEX(Inputs!$B$11:$B$16,MATCH(E251,Inputs!$A$11:$A$16,0))</f>
        <v>25</v>
      </c>
      <c r="S251" s="27" t="n">
        <f aca="false">IF(F251="",0,F251)*R251/100</f>
        <v>5591750</v>
      </c>
      <c r="T251" s="7" t="n">
        <f aca="false">Inputs!$B$4-J251</f>
        <v>23</v>
      </c>
      <c r="U251" s="7" t="n">
        <f aca="false">IF(OR(F251="",F251=0),1,0)</f>
        <v>0</v>
      </c>
      <c r="V251" s="7" t="n">
        <f aca="false">IF(K251="",1,0)</f>
        <v>0</v>
      </c>
      <c r="W251" s="7" t="n">
        <f aca="false">IF(AND(O251=1,K251&lt;&gt;"",COUNTIFS(Owners!$A$5:$A$32,K251,Owners!$E$5:$E$32,"No")&gt;0),1,0)</f>
        <v>0</v>
      </c>
      <c r="X251" s="7" t="n">
        <f aca="false">IF(AND(O251=1,I251&lt;Inputs!$B$4),1,0)</f>
        <v>0</v>
      </c>
      <c r="Y251" s="7" t="n">
        <f aca="false">IF(AND(O251=1,T251&gt;Inputs!$B$5),1,0)</f>
        <v>0</v>
      </c>
      <c r="Z251" s="7" t="n">
        <f aca="false">IF(AND(O251=1,G251&lt;&gt;R251),1,0)</f>
        <v>0</v>
      </c>
      <c r="AA251" s="7" t="n">
        <f aca="false">IF(AND(O251=1,M251=""),1,0)</f>
        <v>1</v>
      </c>
      <c r="AB251" s="7" t="n">
        <f aca="false">IF(AND(E251="Closed Lost",N251=""),1,0)</f>
        <v>0</v>
      </c>
      <c r="AC251" s="7" t="n">
        <f aca="false">SUM(U251:AB251)</f>
        <v>1</v>
      </c>
      <c r="AD251" s="7" t="n">
        <f aca="false">IF(AC251=0,1,0)</f>
        <v>0</v>
      </c>
      <c r="AE251" s="7" t="n">
        <f aca="false">IF(AND(O251=1,I251&gt;=Inputs!$B$6,I251&lt;=Inputs!$B$7),1,0)</f>
        <v>1</v>
      </c>
      <c r="AF251" s="7" t="n">
        <f aca="false">IF(AND(E251="Closed Won",I251&gt;=Inputs!$B$6,I251&lt;=Inputs!$B$4),1,0)</f>
        <v>0</v>
      </c>
      <c r="AG251" s="7" t="n">
        <f aca="false">IF(AND(O251=0,I251&gt;Inputs!$B$4-Inputs!$B$8,I251&lt;=Inputs!$B$4),1,0)</f>
        <v>0</v>
      </c>
      <c r="AH251" s="7" t="n">
        <f aca="false">I251-H251</f>
        <v>263</v>
      </c>
    </row>
    <row r="252" customFormat="false" ht="15" hidden="false" customHeight="false" outlineLevel="0" collapsed="false">
      <c r="A252" s="16" t="s">
        <v>1172</v>
      </c>
      <c r="B252" s="16" t="s">
        <v>919</v>
      </c>
      <c r="C252" s="16" t="s">
        <v>1173</v>
      </c>
      <c r="D252" s="16" t="s">
        <v>162</v>
      </c>
      <c r="E252" s="16" t="s">
        <v>527</v>
      </c>
      <c r="F252" s="26" t="n">
        <v>31558000</v>
      </c>
      <c r="G252" s="25" t="n">
        <v>25</v>
      </c>
      <c r="H252" s="22" t="n">
        <v>46148</v>
      </c>
      <c r="I252" s="22" t="n">
        <v>46508</v>
      </c>
      <c r="J252" s="22" t="n">
        <v>46246</v>
      </c>
      <c r="K252" s="16" t="s">
        <v>654</v>
      </c>
      <c r="L252" s="16" t="s">
        <v>584</v>
      </c>
      <c r="M252" s="16" t="s">
        <v>569</v>
      </c>
      <c r="N252" s="16"/>
      <c r="O252" s="7" t="n">
        <f aca="false">IF(OR(E252="Closed Won",E252="Closed Lost"),0,1)</f>
        <v>1</v>
      </c>
      <c r="P252" s="17" t="str">
        <f aca="false">INDEX(Accounts!$K$5:$K$336,MATCH(B252,Accounts!$A$5:$A$336,0))</f>
        <v>Financial Services</v>
      </c>
      <c r="Q252" s="17" t="str">
        <f aca="false">INDEX(Accounts!$D$5:$D$336,MATCH(B252,Accounts!$A$5:$A$336,0))</f>
        <v>Standard</v>
      </c>
      <c r="R252" s="7" t="n">
        <f aca="false">INDEX(Inputs!$B$11:$B$16,MATCH(E252,Inputs!$A$11:$A$16,0))</f>
        <v>25</v>
      </c>
      <c r="S252" s="27" t="n">
        <f aca="false">IF(F252="",0,F252)*R252/100</f>
        <v>7889500</v>
      </c>
      <c r="T252" s="7" t="n">
        <f aca="false">Inputs!$B$4-J252</f>
        <v>68</v>
      </c>
      <c r="U252" s="7" t="n">
        <f aca="false">IF(OR(F252="",F252=0),1,0)</f>
        <v>0</v>
      </c>
      <c r="V252" s="7" t="n">
        <f aca="false">IF(K252="",1,0)</f>
        <v>0</v>
      </c>
      <c r="W252" s="7" t="n">
        <f aca="false">IF(AND(O252=1,K252&lt;&gt;"",COUNTIFS(Owners!$A$5:$A$32,K252,Owners!$E$5:$E$32,"No")&gt;0),1,0)</f>
        <v>0</v>
      </c>
      <c r="X252" s="7" t="n">
        <f aca="false">IF(AND(O252=1,I252&lt;Inputs!$B$4),1,0)</f>
        <v>0</v>
      </c>
      <c r="Y252" s="7" t="n">
        <f aca="false">IF(AND(O252=1,T252&gt;Inputs!$B$5),1,0)</f>
        <v>1</v>
      </c>
      <c r="Z252" s="7" t="n">
        <f aca="false">IF(AND(O252=1,G252&lt;&gt;R252),1,0)</f>
        <v>0</v>
      </c>
      <c r="AA252" s="7" t="n">
        <f aca="false">IF(AND(O252=1,M252=""),1,0)</f>
        <v>0</v>
      </c>
      <c r="AB252" s="7" t="n">
        <f aca="false">IF(AND(E252="Closed Lost",N252=""),1,0)</f>
        <v>0</v>
      </c>
      <c r="AC252" s="7" t="n">
        <f aca="false">SUM(U252:AB252)</f>
        <v>1</v>
      </c>
      <c r="AD252" s="7" t="n">
        <f aca="false">IF(AC252=0,1,0)</f>
        <v>0</v>
      </c>
      <c r="AE252" s="7" t="n">
        <f aca="false">IF(AND(O252=1,I252&gt;=Inputs!$B$6,I252&lt;=Inputs!$B$7),1,0)</f>
        <v>1</v>
      </c>
      <c r="AF252" s="7" t="n">
        <f aca="false">IF(AND(E252="Closed Won",I252&gt;=Inputs!$B$6,I252&lt;=Inputs!$B$4),1,0)</f>
        <v>0</v>
      </c>
      <c r="AG252" s="7" t="n">
        <f aca="false">IF(AND(O252=0,I252&gt;Inputs!$B$4-Inputs!$B$8,I252&lt;=Inputs!$B$4),1,0)</f>
        <v>0</v>
      </c>
      <c r="AH252" s="7" t="n">
        <f aca="false">I252-H252</f>
        <v>360</v>
      </c>
    </row>
    <row r="253" customFormat="false" ht="15" hidden="false" customHeight="false" outlineLevel="0" collapsed="false">
      <c r="A253" s="16" t="s">
        <v>1174</v>
      </c>
      <c r="B253" s="16" t="s">
        <v>252</v>
      </c>
      <c r="C253" s="16" t="s">
        <v>1175</v>
      </c>
      <c r="D253" s="16" t="s">
        <v>165</v>
      </c>
      <c r="E253" s="16" t="s">
        <v>531</v>
      </c>
      <c r="F253" s="26" t="n">
        <v>13601000</v>
      </c>
      <c r="G253" s="25" t="n">
        <v>0</v>
      </c>
      <c r="H253" s="22" t="n">
        <v>45927</v>
      </c>
      <c r="I253" s="22" t="n">
        <v>46061</v>
      </c>
      <c r="J253" s="22" t="n">
        <v>46061</v>
      </c>
      <c r="K253" s="16" t="s">
        <v>654</v>
      </c>
      <c r="L253" s="16" t="s">
        <v>500</v>
      </c>
      <c r="M253" s="16"/>
      <c r="N253" s="16" t="s">
        <v>722</v>
      </c>
      <c r="O253" s="7" t="n">
        <f aca="false">IF(OR(E253="Closed Won",E253="Closed Lost"),0,1)</f>
        <v>0</v>
      </c>
      <c r="P253" s="17" t="str">
        <f aca="false">INDEX(Accounts!$K$5:$K$336,MATCH(B253,Accounts!$A$5:$A$336,0))</f>
        <v>Financial Services</v>
      </c>
      <c r="Q253" s="17" t="str">
        <f aca="false">INDEX(Accounts!$D$5:$D$336,MATCH(B253,Accounts!$A$5:$A$336,0))</f>
        <v>Key</v>
      </c>
      <c r="R253" s="7" t="n">
        <f aca="false">INDEX(Inputs!$B$11:$B$16,MATCH(E253,Inputs!$A$11:$A$16,0))</f>
        <v>0</v>
      </c>
      <c r="S253" s="27" t="n">
        <f aca="false">IF(F253="",0,F253)*R253/100</f>
        <v>0</v>
      </c>
      <c r="T253" s="7" t="n">
        <f aca="false">Inputs!$B$4-J253</f>
        <v>253</v>
      </c>
      <c r="U253" s="7" t="n">
        <f aca="false">IF(OR(F253="",F253=0),1,0)</f>
        <v>0</v>
      </c>
      <c r="V253" s="7" t="n">
        <f aca="false">IF(K253="",1,0)</f>
        <v>0</v>
      </c>
      <c r="W253" s="7" t="n">
        <f aca="false">IF(AND(O253=1,K253&lt;&gt;"",COUNTIFS(Owners!$A$5:$A$32,K253,Owners!$E$5:$E$32,"No")&gt;0),1,0)</f>
        <v>0</v>
      </c>
      <c r="X253" s="7" t="n">
        <f aca="false">IF(AND(O253=1,I253&lt;Inputs!$B$4),1,0)</f>
        <v>0</v>
      </c>
      <c r="Y253" s="7" t="n">
        <f aca="false">IF(AND(O253=1,T253&gt;Inputs!$B$5),1,0)</f>
        <v>0</v>
      </c>
      <c r="Z253" s="7" t="n">
        <f aca="false">IF(AND(O253=1,G253&lt;&gt;R253),1,0)</f>
        <v>0</v>
      </c>
      <c r="AA253" s="7" t="n">
        <f aca="false">IF(AND(O253=1,M253=""),1,0)</f>
        <v>0</v>
      </c>
      <c r="AB253" s="7" t="n">
        <f aca="false">IF(AND(E253="Closed Lost",N253=""),1,0)</f>
        <v>0</v>
      </c>
      <c r="AC253" s="7" t="n">
        <f aca="false">SUM(U253:AB253)</f>
        <v>0</v>
      </c>
      <c r="AD253" s="7" t="n">
        <f aca="false">IF(AC253=0,1,0)</f>
        <v>1</v>
      </c>
      <c r="AE253" s="7" t="n">
        <f aca="false">IF(AND(O253=1,I253&gt;=Inputs!$B$6,I253&lt;=Inputs!$B$7),1,0)</f>
        <v>0</v>
      </c>
      <c r="AF253" s="7" t="n">
        <f aca="false">IF(AND(E253="Closed Won",I253&gt;=Inputs!$B$6,I253&lt;=Inputs!$B$4),1,0)</f>
        <v>0</v>
      </c>
      <c r="AG253" s="7" t="n">
        <f aca="false">IF(AND(O253=0,I253&gt;Inputs!$B$4-Inputs!$B$8,I253&lt;=Inputs!$B$4),1,0)</f>
        <v>1</v>
      </c>
      <c r="AH253" s="7" t="n">
        <f aca="false">I253-H253</f>
        <v>134</v>
      </c>
    </row>
    <row r="254" customFormat="false" ht="15" hidden="false" customHeight="false" outlineLevel="0" collapsed="false">
      <c r="A254" s="16" t="s">
        <v>1176</v>
      </c>
      <c r="B254" s="16" t="s">
        <v>1177</v>
      </c>
      <c r="C254" s="16" t="s">
        <v>1178</v>
      </c>
      <c r="D254" s="16" t="s">
        <v>167</v>
      </c>
      <c r="E254" s="16" t="s">
        <v>526</v>
      </c>
      <c r="F254" s="26" t="n">
        <v>3877000</v>
      </c>
      <c r="G254" s="25" t="n">
        <v>90</v>
      </c>
      <c r="H254" s="22" t="n">
        <v>46292</v>
      </c>
      <c r="I254" s="22" t="n">
        <v>46497</v>
      </c>
      <c r="J254" s="22" t="n">
        <v>46281</v>
      </c>
      <c r="K254" s="16" t="s">
        <v>880</v>
      </c>
      <c r="L254" s="16" t="s">
        <v>568</v>
      </c>
      <c r="M254" s="16" t="s">
        <v>593</v>
      </c>
      <c r="N254" s="16"/>
      <c r="O254" s="7" t="n">
        <f aca="false">IF(OR(E254="Closed Won",E254="Closed Lost"),0,1)</f>
        <v>1</v>
      </c>
      <c r="P254" s="17" t="str">
        <f aca="false">INDEX(Accounts!$K$5:$K$336,MATCH(B254,Accounts!$A$5:$A$336,0))</f>
        <v>Consumer &amp; Retail</v>
      </c>
      <c r="Q254" s="17" t="str">
        <f aca="false">INDEX(Accounts!$D$5:$D$336,MATCH(B254,Accounts!$A$5:$A$336,0))</f>
        <v>Standard</v>
      </c>
      <c r="R254" s="7" t="n">
        <f aca="false">INDEX(Inputs!$B$11:$B$16,MATCH(E254,Inputs!$A$11:$A$16,0))</f>
        <v>10</v>
      </c>
      <c r="S254" s="27" t="n">
        <f aca="false">IF(F254="",0,F254)*R254/100</f>
        <v>387700</v>
      </c>
      <c r="T254" s="7" t="n">
        <f aca="false">Inputs!$B$4-J254</f>
        <v>33</v>
      </c>
      <c r="U254" s="7" t="n">
        <f aca="false">IF(OR(F254="",F254=0),1,0)</f>
        <v>0</v>
      </c>
      <c r="V254" s="7" t="n">
        <f aca="false">IF(K254="",1,0)</f>
        <v>0</v>
      </c>
      <c r="W254" s="7" t="n">
        <f aca="false">IF(AND(O254=1,K254&lt;&gt;"",COUNTIFS(Owners!$A$5:$A$32,K254,Owners!$E$5:$E$32,"No")&gt;0),1,0)</f>
        <v>1</v>
      </c>
      <c r="X254" s="7" t="n">
        <f aca="false">IF(AND(O254=1,I254&lt;Inputs!$B$4),1,0)</f>
        <v>0</v>
      </c>
      <c r="Y254" s="7" t="n">
        <f aca="false">IF(AND(O254=1,T254&gt;Inputs!$B$5),1,0)</f>
        <v>0</v>
      </c>
      <c r="Z254" s="7" t="n">
        <f aca="false">IF(AND(O254=1,G254&lt;&gt;R254),1,0)</f>
        <v>1</v>
      </c>
      <c r="AA254" s="7" t="n">
        <f aca="false">IF(AND(O254=1,M254=""),1,0)</f>
        <v>0</v>
      </c>
      <c r="AB254" s="7" t="n">
        <f aca="false">IF(AND(E254="Closed Lost",N254=""),1,0)</f>
        <v>0</v>
      </c>
      <c r="AC254" s="7" t="n">
        <f aca="false">SUM(U254:AB254)</f>
        <v>2</v>
      </c>
      <c r="AD254" s="7" t="n">
        <f aca="false">IF(AC254=0,1,0)</f>
        <v>0</v>
      </c>
      <c r="AE254" s="7" t="n">
        <f aca="false">IF(AND(O254=1,I254&gt;=Inputs!$B$6,I254&lt;=Inputs!$B$7),1,0)</f>
        <v>1</v>
      </c>
      <c r="AF254" s="7" t="n">
        <f aca="false">IF(AND(E254="Closed Won",I254&gt;=Inputs!$B$6,I254&lt;=Inputs!$B$4),1,0)</f>
        <v>0</v>
      </c>
      <c r="AG254" s="7" t="n">
        <f aca="false">IF(AND(O254=0,I254&gt;Inputs!$B$4-Inputs!$B$8,I254&lt;=Inputs!$B$4),1,0)</f>
        <v>0</v>
      </c>
      <c r="AH254" s="7" t="n">
        <f aca="false">I254-H254</f>
        <v>205</v>
      </c>
    </row>
    <row r="255" customFormat="false" ht="15" hidden="false" customHeight="false" outlineLevel="0" collapsed="false">
      <c r="A255" s="16" t="s">
        <v>1179</v>
      </c>
      <c r="B255" s="16" t="s">
        <v>227</v>
      </c>
      <c r="C255" s="16" t="s">
        <v>1180</v>
      </c>
      <c r="D255" s="16" t="s">
        <v>167</v>
      </c>
      <c r="E255" s="16" t="s">
        <v>531</v>
      </c>
      <c r="F255" s="26" t="n">
        <v>9815000</v>
      </c>
      <c r="G255" s="25" t="n">
        <v>0</v>
      </c>
      <c r="H255" s="22" t="n">
        <v>46002</v>
      </c>
      <c r="I255" s="22" t="n">
        <v>46110</v>
      </c>
      <c r="J255" s="22" t="n">
        <v>46110</v>
      </c>
      <c r="K255" s="16" t="s">
        <v>729</v>
      </c>
      <c r="L255" s="16" t="s">
        <v>584</v>
      </c>
      <c r="M255" s="16"/>
      <c r="N255" s="16" t="s">
        <v>610</v>
      </c>
      <c r="O255" s="7" t="n">
        <f aca="false">IF(OR(E255="Closed Won",E255="Closed Lost"),0,1)</f>
        <v>0</v>
      </c>
      <c r="P255" s="17" t="str">
        <f aca="false">INDEX(Accounts!$K$5:$K$336,MATCH(B255,Accounts!$A$5:$A$336,0))</f>
        <v>Unassigned</v>
      </c>
      <c r="Q255" s="17" t="str">
        <f aca="false">INDEX(Accounts!$D$5:$D$336,MATCH(B255,Accounts!$A$5:$A$336,0))</f>
        <v>Standard</v>
      </c>
      <c r="R255" s="7" t="n">
        <f aca="false">INDEX(Inputs!$B$11:$B$16,MATCH(E255,Inputs!$A$11:$A$16,0))</f>
        <v>0</v>
      </c>
      <c r="S255" s="27" t="n">
        <f aca="false">IF(F255="",0,F255)*R255/100</f>
        <v>0</v>
      </c>
      <c r="T255" s="7" t="n">
        <f aca="false">Inputs!$B$4-J255</f>
        <v>204</v>
      </c>
      <c r="U255" s="7" t="n">
        <f aca="false">IF(OR(F255="",F255=0),1,0)</f>
        <v>0</v>
      </c>
      <c r="V255" s="7" t="n">
        <f aca="false">IF(K255="",1,0)</f>
        <v>0</v>
      </c>
      <c r="W255" s="7" t="n">
        <f aca="false">IF(AND(O255=1,K255&lt;&gt;"",COUNTIFS(Owners!$A$5:$A$32,K255,Owners!$E$5:$E$32,"No")&gt;0),1,0)</f>
        <v>0</v>
      </c>
      <c r="X255" s="7" t="n">
        <f aca="false">IF(AND(O255=1,I255&lt;Inputs!$B$4),1,0)</f>
        <v>0</v>
      </c>
      <c r="Y255" s="7" t="n">
        <f aca="false">IF(AND(O255=1,T255&gt;Inputs!$B$5),1,0)</f>
        <v>0</v>
      </c>
      <c r="Z255" s="7" t="n">
        <f aca="false">IF(AND(O255=1,G255&lt;&gt;R255),1,0)</f>
        <v>0</v>
      </c>
      <c r="AA255" s="7" t="n">
        <f aca="false">IF(AND(O255=1,M255=""),1,0)</f>
        <v>0</v>
      </c>
      <c r="AB255" s="7" t="n">
        <f aca="false">IF(AND(E255="Closed Lost",N255=""),1,0)</f>
        <v>0</v>
      </c>
      <c r="AC255" s="7" t="n">
        <f aca="false">SUM(U255:AB255)</f>
        <v>0</v>
      </c>
      <c r="AD255" s="7" t="n">
        <f aca="false">IF(AC255=0,1,0)</f>
        <v>1</v>
      </c>
      <c r="AE255" s="7" t="n">
        <f aca="false">IF(AND(O255=1,I255&gt;=Inputs!$B$6,I255&lt;=Inputs!$B$7),1,0)</f>
        <v>0</v>
      </c>
      <c r="AF255" s="7" t="n">
        <f aca="false">IF(AND(E255="Closed Won",I255&gt;=Inputs!$B$6,I255&lt;=Inputs!$B$4),1,0)</f>
        <v>0</v>
      </c>
      <c r="AG255" s="7" t="n">
        <f aca="false">IF(AND(O255=0,I255&gt;Inputs!$B$4-Inputs!$B$8,I255&lt;=Inputs!$B$4),1,0)</f>
        <v>1</v>
      </c>
      <c r="AH255" s="7" t="n">
        <f aca="false">I255-H255</f>
        <v>108</v>
      </c>
    </row>
    <row r="256" customFormat="false" ht="15" hidden="false" customHeight="false" outlineLevel="0" collapsed="false">
      <c r="A256" s="16" t="s">
        <v>1181</v>
      </c>
      <c r="B256" s="16" t="s">
        <v>94</v>
      </c>
      <c r="C256" s="16" t="s">
        <v>1182</v>
      </c>
      <c r="D256" s="16" t="s">
        <v>167</v>
      </c>
      <c r="E256" s="16" t="s">
        <v>529</v>
      </c>
      <c r="F256" s="26" t="n">
        <v>3874000</v>
      </c>
      <c r="G256" s="25" t="n">
        <v>75</v>
      </c>
      <c r="H256" s="22" t="n">
        <v>46204</v>
      </c>
      <c r="I256" s="22" t="n">
        <v>46356</v>
      </c>
      <c r="J256" s="22" t="n">
        <v>46282</v>
      </c>
      <c r="K256" s="16" t="s">
        <v>640</v>
      </c>
      <c r="L256" s="16" t="s">
        <v>609</v>
      </c>
      <c r="M256" s="16" t="s">
        <v>601</v>
      </c>
      <c r="N256" s="16"/>
      <c r="O256" s="7" t="n">
        <f aca="false">IF(OR(E256="Closed Won",E256="Closed Lost"),0,1)</f>
        <v>1</v>
      </c>
      <c r="P256" s="17" t="str">
        <f aca="false">INDEX(Accounts!$K$5:$K$336,MATCH(B256,Accounts!$A$5:$A$336,0))</f>
        <v>Technology, Media &amp; Telecom</v>
      </c>
      <c r="Q256" s="17" t="str">
        <f aca="false">INDEX(Accounts!$D$5:$D$336,MATCH(B256,Accounts!$A$5:$A$336,0))</f>
        <v>Priority</v>
      </c>
      <c r="R256" s="7" t="n">
        <f aca="false">INDEX(Inputs!$B$11:$B$16,MATCH(E256,Inputs!$A$11:$A$16,0))</f>
        <v>75</v>
      </c>
      <c r="S256" s="27" t="n">
        <f aca="false">IF(F256="",0,F256)*R256/100</f>
        <v>2905500</v>
      </c>
      <c r="T256" s="7" t="n">
        <f aca="false">Inputs!$B$4-J256</f>
        <v>32</v>
      </c>
      <c r="U256" s="7" t="n">
        <f aca="false">IF(OR(F256="",F256=0),1,0)</f>
        <v>0</v>
      </c>
      <c r="V256" s="7" t="n">
        <f aca="false">IF(K256="",1,0)</f>
        <v>0</v>
      </c>
      <c r="W256" s="7" t="n">
        <f aca="false">IF(AND(O256=1,K256&lt;&gt;"",COUNTIFS(Owners!$A$5:$A$32,K256,Owners!$E$5:$E$32,"No")&gt;0),1,0)</f>
        <v>0</v>
      </c>
      <c r="X256" s="7" t="n">
        <f aca="false">IF(AND(O256=1,I256&lt;Inputs!$B$4),1,0)</f>
        <v>0</v>
      </c>
      <c r="Y256" s="7" t="n">
        <f aca="false">IF(AND(O256=1,T256&gt;Inputs!$B$5),1,0)</f>
        <v>0</v>
      </c>
      <c r="Z256" s="7" t="n">
        <f aca="false">IF(AND(O256=1,G256&lt;&gt;R256),1,0)</f>
        <v>0</v>
      </c>
      <c r="AA256" s="7" t="n">
        <f aca="false">IF(AND(O256=1,M256=""),1,0)</f>
        <v>0</v>
      </c>
      <c r="AB256" s="7" t="n">
        <f aca="false">IF(AND(E256="Closed Lost",N256=""),1,0)</f>
        <v>0</v>
      </c>
      <c r="AC256" s="7" t="n">
        <f aca="false">SUM(U256:AB256)</f>
        <v>0</v>
      </c>
      <c r="AD256" s="7" t="n">
        <f aca="false">IF(AC256=0,1,0)</f>
        <v>1</v>
      </c>
      <c r="AE256" s="7" t="n">
        <f aca="false">IF(AND(O256=1,I256&gt;=Inputs!$B$6,I256&lt;=Inputs!$B$7),1,0)</f>
        <v>1</v>
      </c>
      <c r="AF256" s="7" t="n">
        <f aca="false">IF(AND(E256="Closed Won",I256&gt;=Inputs!$B$6,I256&lt;=Inputs!$B$4),1,0)</f>
        <v>0</v>
      </c>
      <c r="AG256" s="7" t="n">
        <f aca="false">IF(AND(O256=0,I256&gt;Inputs!$B$4-Inputs!$B$8,I256&lt;=Inputs!$B$4),1,0)</f>
        <v>0</v>
      </c>
      <c r="AH256" s="7" t="n">
        <f aca="false">I256-H256</f>
        <v>152</v>
      </c>
    </row>
    <row r="257" customFormat="false" ht="15" hidden="false" customHeight="false" outlineLevel="0" collapsed="false">
      <c r="A257" s="16" t="s">
        <v>1183</v>
      </c>
      <c r="B257" s="16" t="s">
        <v>1184</v>
      </c>
      <c r="C257" s="16" t="s">
        <v>1185</v>
      </c>
      <c r="D257" s="16" t="s">
        <v>165</v>
      </c>
      <c r="E257" s="16" t="s">
        <v>531</v>
      </c>
      <c r="F257" s="26" t="n">
        <v>52083000</v>
      </c>
      <c r="G257" s="25" t="n">
        <v>0</v>
      </c>
      <c r="H257" s="22" t="n">
        <v>45896</v>
      </c>
      <c r="I257" s="22" t="n">
        <v>46075</v>
      </c>
      <c r="J257" s="22" t="n">
        <v>46075</v>
      </c>
      <c r="K257" s="16" t="s">
        <v>685</v>
      </c>
      <c r="L257" s="16" t="s">
        <v>584</v>
      </c>
      <c r="M257" s="16"/>
      <c r="N257" s="16"/>
      <c r="O257" s="7" t="n">
        <f aca="false">IF(OR(E257="Closed Won",E257="Closed Lost"),0,1)</f>
        <v>0</v>
      </c>
      <c r="P257" s="17" t="str">
        <f aca="false">INDEX(Accounts!$K$5:$K$336,MATCH(B257,Accounts!$A$5:$A$336,0))</f>
        <v>Consumer &amp; Retail</v>
      </c>
      <c r="Q257" s="17" t="str">
        <f aca="false">INDEX(Accounts!$D$5:$D$336,MATCH(B257,Accounts!$A$5:$A$336,0))</f>
        <v>Key</v>
      </c>
      <c r="R257" s="7" t="n">
        <f aca="false">INDEX(Inputs!$B$11:$B$16,MATCH(E257,Inputs!$A$11:$A$16,0))</f>
        <v>0</v>
      </c>
      <c r="S257" s="27" t="n">
        <f aca="false">IF(F257="",0,F257)*R257/100</f>
        <v>0</v>
      </c>
      <c r="T257" s="7" t="n">
        <f aca="false">Inputs!$B$4-J257</f>
        <v>239</v>
      </c>
      <c r="U257" s="7" t="n">
        <f aca="false">IF(OR(F257="",F257=0),1,0)</f>
        <v>0</v>
      </c>
      <c r="V257" s="7" t="n">
        <f aca="false">IF(K257="",1,0)</f>
        <v>0</v>
      </c>
      <c r="W257" s="7" t="n">
        <f aca="false">IF(AND(O257=1,K257&lt;&gt;"",COUNTIFS(Owners!$A$5:$A$32,K257,Owners!$E$5:$E$32,"No")&gt;0),1,0)</f>
        <v>0</v>
      </c>
      <c r="X257" s="7" t="n">
        <f aca="false">IF(AND(O257=1,I257&lt;Inputs!$B$4),1,0)</f>
        <v>0</v>
      </c>
      <c r="Y257" s="7" t="n">
        <f aca="false">IF(AND(O257=1,T257&gt;Inputs!$B$5),1,0)</f>
        <v>0</v>
      </c>
      <c r="Z257" s="7" t="n">
        <f aca="false">IF(AND(O257=1,G257&lt;&gt;R257),1,0)</f>
        <v>0</v>
      </c>
      <c r="AA257" s="7" t="n">
        <f aca="false">IF(AND(O257=1,M257=""),1,0)</f>
        <v>0</v>
      </c>
      <c r="AB257" s="7" t="n">
        <f aca="false">IF(AND(E257="Closed Lost",N257=""),1,0)</f>
        <v>1</v>
      </c>
      <c r="AC257" s="7" t="n">
        <f aca="false">SUM(U257:AB257)</f>
        <v>1</v>
      </c>
      <c r="AD257" s="7" t="n">
        <f aca="false">IF(AC257=0,1,0)</f>
        <v>0</v>
      </c>
      <c r="AE257" s="7" t="n">
        <f aca="false">IF(AND(O257=1,I257&gt;=Inputs!$B$6,I257&lt;=Inputs!$B$7),1,0)</f>
        <v>0</v>
      </c>
      <c r="AF257" s="7" t="n">
        <f aca="false">IF(AND(E257="Closed Won",I257&gt;=Inputs!$B$6,I257&lt;=Inputs!$B$4),1,0)</f>
        <v>0</v>
      </c>
      <c r="AG257" s="7" t="n">
        <f aca="false">IF(AND(O257=0,I257&gt;Inputs!$B$4-Inputs!$B$8,I257&lt;=Inputs!$B$4),1,0)</f>
        <v>1</v>
      </c>
      <c r="AH257" s="7" t="n">
        <f aca="false">I257-H257</f>
        <v>179</v>
      </c>
    </row>
    <row r="258" customFormat="false" ht="15" hidden="false" customHeight="false" outlineLevel="0" collapsed="false">
      <c r="A258" s="16" t="s">
        <v>1186</v>
      </c>
      <c r="B258" s="16" t="s">
        <v>748</v>
      </c>
      <c r="C258" s="16" t="s">
        <v>1187</v>
      </c>
      <c r="D258" s="16" t="s">
        <v>165</v>
      </c>
      <c r="E258" s="16" t="s">
        <v>531</v>
      </c>
      <c r="F258" s="26" t="n">
        <v>25525000</v>
      </c>
      <c r="G258" s="25" t="n">
        <v>0</v>
      </c>
      <c r="H258" s="22" t="n">
        <v>45899</v>
      </c>
      <c r="I258" s="22" t="n">
        <v>46111</v>
      </c>
      <c r="J258" s="22" t="n">
        <v>46111</v>
      </c>
      <c r="K258" s="16" t="s">
        <v>596</v>
      </c>
      <c r="L258" s="16" t="s">
        <v>568</v>
      </c>
      <c r="M258" s="16"/>
      <c r="N258" s="16" t="s">
        <v>722</v>
      </c>
      <c r="O258" s="7" t="n">
        <f aca="false">IF(OR(E258="Closed Won",E258="Closed Lost"),0,1)</f>
        <v>0</v>
      </c>
      <c r="P258" s="17" t="str">
        <f aca="false">INDEX(Accounts!$K$5:$K$336,MATCH(B258,Accounts!$A$5:$A$336,0))</f>
        <v>Technology, Media &amp; Telecom</v>
      </c>
      <c r="Q258" s="17" t="str">
        <f aca="false">INDEX(Accounts!$D$5:$D$336,MATCH(B258,Accounts!$A$5:$A$336,0))</f>
        <v>Key</v>
      </c>
      <c r="R258" s="7" t="n">
        <f aca="false">INDEX(Inputs!$B$11:$B$16,MATCH(E258,Inputs!$A$11:$A$16,0))</f>
        <v>0</v>
      </c>
      <c r="S258" s="27" t="n">
        <f aca="false">IF(F258="",0,F258)*R258/100</f>
        <v>0</v>
      </c>
      <c r="T258" s="7" t="n">
        <f aca="false">Inputs!$B$4-J258</f>
        <v>203</v>
      </c>
      <c r="U258" s="7" t="n">
        <f aca="false">IF(OR(F258="",F258=0),1,0)</f>
        <v>0</v>
      </c>
      <c r="V258" s="7" t="n">
        <f aca="false">IF(K258="",1,0)</f>
        <v>0</v>
      </c>
      <c r="W258" s="7" t="n">
        <f aca="false">IF(AND(O258=1,K258&lt;&gt;"",COUNTIFS(Owners!$A$5:$A$32,K258,Owners!$E$5:$E$32,"No")&gt;0),1,0)</f>
        <v>0</v>
      </c>
      <c r="X258" s="7" t="n">
        <f aca="false">IF(AND(O258=1,I258&lt;Inputs!$B$4),1,0)</f>
        <v>0</v>
      </c>
      <c r="Y258" s="7" t="n">
        <f aca="false">IF(AND(O258=1,T258&gt;Inputs!$B$5),1,0)</f>
        <v>0</v>
      </c>
      <c r="Z258" s="7" t="n">
        <f aca="false">IF(AND(O258=1,G258&lt;&gt;R258),1,0)</f>
        <v>0</v>
      </c>
      <c r="AA258" s="7" t="n">
        <f aca="false">IF(AND(O258=1,M258=""),1,0)</f>
        <v>0</v>
      </c>
      <c r="AB258" s="7" t="n">
        <f aca="false">IF(AND(E258="Closed Lost",N258=""),1,0)</f>
        <v>0</v>
      </c>
      <c r="AC258" s="7" t="n">
        <f aca="false">SUM(U258:AB258)</f>
        <v>0</v>
      </c>
      <c r="AD258" s="7" t="n">
        <f aca="false">IF(AC258=0,1,0)</f>
        <v>1</v>
      </c>
      <c r="AE258" s="7" t="n">
        <f aca="false">IF(AND(O258=1,I258&gt;=Inputs!$B$6,I258&lt;=Inputs!$B$7),1,0)</f>
        <v>0</v>
      </c>
      <c r="AF258" s="7" t="n">
        <f aca="false">IF(AND(E258="Closed Won",I258&gt;=Inputs!$B$6,I258&lt;=Inputs!$B$4),1,0)</f>
        <v>0</v>
      </c>
      <c r="AG258" s="7" t="n">
        <f aca="false">IF(AND(O258=0,I258&gt;Inputs!$B$4-Inputs!$B$8,I258&lt;=Inputs!$B$4),1,0)</f>
        <v>1</v>
      </c>
      <c r="AH258" s="7" t="n">
        <f aca="false">I258-H258</f>
        <v>212</v>
      </c>
    </row>
    <row r="259" customFormat="false" ht="15" hidden="false" customHeight="false" outlineLevel="0" collapsed="false">
      <c r="A259" s="16" t="s">
        <v>1188</v>
      </c>
      <c r="B259" s="16" t="s">
        <v>69</v>
      </c>
      <c r="C259" s="16" t="s">
        <v>1189</v>
      </c>
      <c r="D259" s="16" t="s">
        <v>165</v>
      </c>
      <c r="E259" s="16" t="s">
        <v>531</v>
      </c>
      <c r="F259" s="26" t="n">
        <v>39945000</v>
      </c>
      <c r="G259" s="25" t="n">
        <v>0</v>
      </c>
      <c r="H259" s="22" t="n">
        <v>46100</v>
      </c>
      <c r="I259" s="22" t="n">
        <v>46197</v>
      </c>
      <c r="J259" s="22" t="n">
        <v>46197</v>
      </c>
      <c r="K259" s="16" t="s">
        <v>860</v>
      </c>
      <c r="L259" s="16" t="s">
        <v>584</v>
      </c>
      <c r="M259" s="16"/>
      <c r="N259" s="16" t="s">
        <v>579</v>
      </c>
      <c r="O259" s="7" t="n">
        <f aca="false">IF(OR(E259="Closed Won",E259="Closed Lost"),0,1)</f>
        <v>0</v>
      </c>
      <c r="P259" s="17" t="str">
        <f aca="false">INDEX(Accounts!$K$5:$K$336,MATCH(B259,Accounts!$A$5:$A$336,0))</f>
        <v>Financial Services</v>
      </c>
      <c r="Q259" s="17" t="str">
        <f aca="false">INDEX(Accounts!$D$5:$D$336,MATCH(B259,Accounts!$A$5:$A$336,0))</f>
        <v>Priority</v>
      </c>
      <c r="R259" s="7" t="n">
        <f aca="false">INDEX(Inputs!$B$11:$B$16,MATCH(E259,Inputs!$A$11:$A$16,0))</f>
        <v>0</v>
      </c>
      <c r="S259" s="27" t="n">
        <f aca="false">IF(F259="",0,F259)*R259/100</f>
        <v>0</v>
      </c>
      <c r="T259" s="7" t="n">
        <f aca="false">Inputs!$B$4-J259</f>
        <v>117</v>
      </c>
      <c r="U259" s="7" t="n">
        <f aca="false">IF(OR(F259="",F259=0),1,0)</f>
        <v>0</v>
      </c>
      <c r="V259" s="7" t="n">
        <f aca="false">IF(K259="",1,0)</f>
        <v>0</v>
      </c>
      <c r="W259" s="7" t="n">
        <f aca="false">IF(AND(O259=1,K259&lt;&gt;"",COUNTIFS(Owners!$A$5:$A$32,K259,Owners!$E$5:$E$32,"No")&gt;0),1,0)</f>
        <v>0</v>
      </c>
      <c r="X259" s="7" t="n">
        <f aca="false">IF(AND(O259=1,I259&lt;Inputs!$B$4),1,0)</f>
        <v>0</v>
      </c>
      <c r="Y259" s="7" t="n">
        <f aca="false">IF(AND(O259=1,T259&gt;Inputs!$B$5),1,0)</f>
        <v>0</v>
      </c>
      <c r="Z259" s="7" t="n">
        <f aca="false">IF(AND(O259=1,G259&lt;&gt;R259),1,0)</f>
        <v>0</v>
      </c>
      <c r="AA259" s="7" t="n">
        <f aca="false">IF(AND(O259=1,M259=""),1,0)</f>
        <v>0</v>
      </c>
      <c r="AB259" s="7" t="n">
        <f aca="false">IF(AND(E259="Closed Lost",N259=""),1,0)</f>
        <v>0</v>
      </c>
      <c r="AC259" s="7" t="n">
        <f aca="false">SUM(U259:AB259)</f>
        <v>0</v>
      </c>
      <c r="AD259" s="7" t="n">
        <f aca="false">IF(AC259=0,1,0)</f>
        <v>1</v>
      </c>
      <c r="AE259" s="7" t="n">
        <f aca="false">IF(AND(O259=1,I259&gt;=Inputs!$B$6,I259&lt;=Inputs!$B$7),1,0)</f>
        <v>0</v>
      </c>
      <c r="AF259" s="7" t="n">
        <f aca="false">IF(AND(E259="Closed Won",I259&gt;=Inputs!$B$6,I259&lt;=Inputs!$B$4),1,0)</f>
        <v>0</v>
      </c>
      <c r="AG259" s="7" t="n">
        <f aca="false">IF(AND(O259=0,I259&gt;Inputs!$B$4-Inputs!$B$8,I259&lt;=Inputs!$B$4),1,0)</f>
        <v>1</v>
      </c>
      <c r="AH259" s="7" t="n">
        <f aca="false">I259-H259</f>
        <v>97</v>
      </c>
    </row>
    <row r="260" customFormat="false" ht="15" hidden="false" customHeight="false" outlineLevel="0" collapsed="false">
      <c r="A260" s="16" t="s">
        <v>1190</v>
      </c>
      <c r="B260" s="16" t="s">
        <v>1191</v>
      </c>
      <c r="C260" s="16" t="s">
        <v>1192</v>
      </c>
      <c r="D260" s="16" t="s">
        <v>167</v>
      </c>
      <c r="E260" s="16" t="s">
        <v>528</v>
      </c>
      <c r="F260" s="26" t="n">
        <v>8964000</v>
      </c>
      <c r="G260" s="25" t="n">
        <v>50</v>
      </c>
      <c r="H260" s="22" t="n">
        <v>46228</v>
      </c>
      <c r="I260" s="22" t="n">
        <v>46377</v>
      </c>
      <c r="J260" s="22" t="n">
        <v>46271</v>
      </c>
      <c r="K260" s="16" t="s">
        <v>578</v>
      </c>
      <c r="L260" s="16" t="s">
        <v>500</v>
      </c>
      <c r="M260" s="16" t="s">
        <v>569</v>
      </c>
      <c r="N260" s="16"/>
      <c r="O260" s="7" t="n">
        <f aca="false">IF(OR(E260="Closed Won",E260="Closed Lost"),0,1)</f>
        <v>1</v>
      </c>
      <c r="P260" s="17" t="str">
        <f aca="false">INDEX(Accounts!$K$5:$K$336,MATCH(B260,Accounts!$A$5:$A$336,0))</f>
        <v>Financial Services</v>
      </c>
      <c r="Q260" s="17" t="str">
        <f aca="false">INDEX(Accounts!$D$5:$D$336,MATCH(B260,Accounts!$A$5:$A$336,0))</f>
        <v>Standard</v>
      </c>
      <c r="R260" s="7" t="n">
        <f aca="false">INDEX(Inputs!$B$11:$B$16,MATCH(E260,Inputs!$A$11:$A$16,0))</f>
        <v>50</v>
      </c>
      <c r="S260" s="27" t="n">
        <f aca="false">IF(F260="",0,F260)*R260/100</f>
        <v>4482000</v>
      </c>
      <c r="T260" s="7" t="n">
        <f aca="false">Inputs!$B$4-J260</f>
        <v>43</v>
      </c>
      <c r="U260" s="7" t="n">
        <f aca="false">IF(OR(F260="",F260=0),1,0)</f>
        <v>0</v>
      </c>
      <c r="V260" s="7" t="n">
        <f aca="false">IF(K260="",1,0)</f>
        <v>0</v>
      </c>
      <c r="W260" s="7" t="n">
        <f aca="false">IF(AND(O260=1,K260&lt;&gt;"",COUNTIFS(Owners!$A$5:$A$32,K260,Owners!$E$5:$E$32,"No")&gt;0),1,0)</f>
        <v>0</v>
      </c>
      <c r="X260" s="7" t="n">
        <f aca="false">IF(AND(O260=1,I260&lt;Inputs!$B$4),1,0)</f>
        <v>0</v>
      </c>
      <c r="Y260" s="7" t="n">
        <f aca="false">IF(AND(O260=1,T260&gt;Inputs!$B$5),1,0)</f>
        <v>0</v>
      </c>
      <c r="Z260" s="7" t="n">
        <f aca="false">IF(AND(O260=1,G260&lt;&gt;R260),1,0)</f>
        <v>0</v>
      </c>
      <c r="AA260" s="7" t="n">
        <f aca="false">IF(AND(O260=1,M260=""),1,0)</f>
        <v>0</v>
      </c>
      <c r="AB260" s="7" t="n">
        <f aca="false">IF(AND(E260="Closed Lost",N260=""),1,0)</f>
        <v>0</v>
      </c>
      <c r="AC260" s="7" t="n">
        <f aca="false">SUM(U260:AB260)</f>
        <v>0</v>
      </c>
      <c r="AD260" s="7" t="n">
        <f aca="false">IF(AC260=0,1,0)</f>
        <v>1</v>
      </c>
      <c r="AE260" s="7" t="n">
        <f aca="false">IF(AND(O260=1,I260&gt;=Inputs!$B$6,I260&lt;=Inputs!$B$7),1,0)</f>
        <v>1</v>
      </c>
      <c r="AF260" s="7" t="n">
        <f aca="false">IF(AND(E260="Closed Won",I260&gt;=Inputs!$B$6,I260&lt;=Inputs!$B$4),1,0)</f>
        <v>0</v>
      </c>
      <c r="AG260" s="7" t="n">
        <f aca="false">IF(AND(O260=0,I260&gt;Inputs!$B$4-Inputs!$B$8,I260&lt;=Inputs!$B$4),1,0)</f>
        <v>0</v>
      </c>
      <c r="AH260" s="7" t="n">
        <f aca="false">I260-H260</f>
        <v>149</v>
      </c>
    </row>
    <row r="261" customFormat="false" ht="15" hidden="false" customHeight="false" outlineLevel="0" collapsed="false">
      <c r="A261" s="16" t="s">
        <v>1193</v>
      </c>
      <c r="B261" s="16" t="s">
        <v>74</v>
      </c>
      <c r="C261" s="16" t="s">
        <v>1194</v>
      </c>
      <c r="D261" s="16" t="s">
        <v>162</v>
      </c>
      <c r="E261" s="16" t="s">
        <v>528</v>
      </c>
      <c r="F261" s="26" t="n">
        <v>52474000</v>
      </c>
      <c r="G261" s="25" t="n">
        <v>50</v>
      </c>
      <c r="H261" s="22" t="n">
        <v>46213</v>
      </c>
      <c r="I261" s="22" t="n">
        <v>46514</v>
      </c>
      <c r="J261" s="22" t="n">
        <v>46306</v>
      </c>
      <c r="K261" s="16" t="s">
        <v>596</v>
      </c>
      <c r="L261" s="16" t="s">
        <v>500</v>
      </c>
      <c r="M261" s="16" t="s">
        <v>575</v>
      </c>
      <c r="N261" s="16"/>
      <c r="O261" s="7" t="n">
        <f aca="false">IF(OR(E261="Closed Won",E261="Closed Lost"),0,1)</f>
        <v>1</v>
      </c>
      <c r="P261" s="17" t="str">
        <f aca="false">INDEX(Accounts!$K$5:$K$336,MATCH(B261,Accounts!$A$5:$A$336,0))</f>
        <v>Technology, Media &amp; Telecom</v>
      </c>
      <c r="Q261" s="17" t="str">
        <f aca="false">INDEX(Accounts!$D$5:$D$336,MATCH(B261,Accounts!$A$5:$A$336,0))</f>
        <v>Priority</v>
      </c>
      <c r="R261" s="7" t="n">
        <f aca="false">INDEX(Inputs!$B$11:$B$16,MATCH(E261,Inputs!$A$11:$A$16,0))</f>
        <v>50</v>
      </c>
      <c r="S261" s="27" t="n">
        <f aca="false">IF(F261="",0,F261)*R261/100</f>
        <v>26237000</v>
      </c>
      <c r="T261" s="7" t="n">
        <f aca="false">Inputs!$B$4-J261</f>
        <v>8</v>
      </c>
      <c r="U261" s="7" t="n">
        <f aca="false">IF(OR(F261="",F261=0),1,0)</f>
        <v>0</v>
      </c>
      <c r="V261" s="7" t="n">
        <f aca="false">IF(K261="",1,0)</f>
        <v>0</v>
      </c>
      <c r="W261" s="7" t="n">
        <f aca="false">IF(AND(O261=1,K261&lt;&gt;"",COUNTIFS(Owners!$A$5:$A$32,K261,Owners!$E$5:$E$32,"No")&gt;0),1,0)</f>
        <v>0</v>
      </c>
      <c r="X261" s="7" t="n">
        <f aca="false">IF(AND(O261=1,I261&lt;Inputs!$B$4),1,0)</f>
        <v>0</v>
      </c>
      <c r="Y261" s="7" t="n">
        <f aca="false">IF(AND(O261=1,T261&gt;Inputs!$B$5),1,0)</f>
        <v>0</v>
      </c>
      <c r="Z261" s="7" t="n">
        <f aca="false">IF(AND(O261=1,G261&lt;&gt;R261),1,0)</f>
        <v>0</v>
      </c>
      <c r="AA261" s="7" t="n">
        <f aca="false">IF(AND(O261=1,M261=""),1,0)</f>
        <v>0</v>
      </c>
      <c r="AB261" s="7" t="n">
        <f aca="false">IF(AND(E261="Closed Lost",N261=""),1,0)</f>
        <v>0</v>
      </c>
      <c r="AC261" s="7" t="n">
        <f aca="false">SUM(U261:AB261)</f>
        <v>0</v>
      </c>
      <c r="AD261" s="7" t="n">
        <f aca="false">IF(AC261=0,1,0)</f>
        <v>1</v>
      </c>
      <c r="AE261" s="7" t="n">
        <f aca="false">IF(AND(O261=1,I261&gt;=Inputs!$B$6,I261&lt;=Inputs!$B$7),1,0)</f>
        <v>1</v>
      </c>
      <c r="AF261" s="7" t="n">
        <f aca="false">IF(AND(E261="Closed Won",I261&gt;=Inputs!$B$6,I261&lt;=Inputs!$B$4),1,0)</f>
        <v>0</v>
      </c>
      <c r="AG261" s="7" t="n">
        <f aca="false">IF(AND(O261=0,I261&gt;Inputs!$B$4-Inputs!$B$8,I261&lt;=Inputs!$B$4),1,0)</f>
        <v>0</v>
      </c>
      <c r="AH261" s="7" t="n">
        <f aca="false">I261-H261</f>
        <v>301</v>
      </c>
    </row>
    <row r="262" customFormat="false" ht="15" hidden="false" customHeight="false" outlineLevel="0" collapsed="false">
      <c r="A262" s="16" t="s">
        <v>1195</v>
      </c>
      <c r="B262" s="16" t="s">
        <v>1196</v>
      </c>
      <c r="C262" s="16" t="s">
        <v>1197</v>
      </c>
      <c r="D262" s="16" t="s">
        <v>167</v>
      </c>
      <c r="E262" s="16" t="s">
        <v>528</v>
      </c>
      <c r="F262" s="26" t="n">
        <v>9697000</v>
      </c>
      <c r="G262" s="25" t="n">
        <v>50</v>
      </c>
      <c r="H262" s="22" t="n">
        <v>46166</v>
      </c>
      <c r="I262" s="22" t="n">
        <v>46305</v>
      </c>
      <c r="J262" s="22" t="n">
        <v>46302</v>
      </c>
      <c r="K262" s="16" t="s">
        <v>685</v>
      </c>
      <c r="L262" s="16" t="s">
        <v>584</v>
      </c>
      <c r="M262" s="16" t="s">
        <v>593</v>
      </c>
      <c r="N262" s="16"/>
      <c r="O262" s="7" t="n">
        <f aca="false">IF(OR(E262="Closed Won",E262="Closed Lost"),0,1)</f>
        <v>1</v>
      </c>
      <c r="P262" s="17" t="str">
        <f aca="false">INDEX(Accounts!$K$5:$K$336,MATCH(B262,Accounts!$A$5:$A$336,0))</f>
        <v>Consumer &amp; Retail</v>
      </c>
      <c r="Q262" s="17" t="str">
        <f aca="false">INDEX(Accounts!$D$5:$D$336,MATCH(B262,Accounts!$A$5:$A$336,0))</f>
        <v>Key</v>
      </c>
      <c r="R262" s="7" t="n">
        <f aca="false">INDEX(Inputs!$B$11:$B$16,MATCH(E262,Inputs!$A$11:$A$16,0))</f>
        <v>50</v>
      </c>
      <c r="S262" s="27" t="n">
        <f aca="false">IF(F262="",0,F262)*R262/100</f>
        <v>4848500</v>
      </c>
      <c r="T262" s="7" t="n">
        <f aca="false">Inputs!$B$4-J262</f>
        <v>12</v>
      </c>
      <c r="U262" s="7" t="n">
        <f aca="false">IF(OR(F262="",F262=0),1,0)</f>
        <v>0</v>
      </c>
      <c r="V262" s="7" t="n">
        <f aca="false">IF(K262="",1,0)</f>
        <v>0</v>
      </c>
      <c r="W262" s="7" t="n">
        <f aca="false">IF(AND(O262=1,K262&lt;&gt;"",COUNTIFS(Owners!$A$5:$A$32,K262,Owners!$E$5:$E$32,"No")&gt;0),1,0)</f>
        <v>0</v>
      </c>
      <c r="X262" s="7" t="n">
        <f aca="false">IF(AND(O262=1,I262&lt;Inputs!$B$4),1,0)</f>
        <v>1</v>
      </c>
      <c r="Y262" s="7" t="n">
        <f aca="false">IF(AND(O262=1,T262&gt;Inputs!$B$5),1,0)</f>
        <v>0</v>
      </c>
      <c r="Z262" s="7" t="n">
        <f aca="false">IF(AND(O262=1,G262&lt;&gt;R262),1,0)</f>
        <v>0</v>
      </c>
      <c r="AA262" s="7" t="n">
        <f aca="false">IF(AND(O262=1,M262=""),1,0)</f>
        <v>0</v>
      </c>
      <c r="AB262" s="7" t="n">
        <f aca="false">IF(AND(E262="Closed Lost",N262=""),1,0)</f>
        <v>0</v>
      </c>
      <c r="AC262" s="7" t="n">
        <f aca="false">SUM(U262:AB262)</f>
        <v>1</v>
      </c>
      <c r="AD262" s="7" t="n">
        <f aca="false">IF(AC262=0,1,0)</f>
        <v>0</v>
      </c>
      <c r="AE262" s="7" t="n">
        <f aca="false">IF(AND(O262=1,I262&gt;=Inputs!$B$6,I262&lt;=Inputs!$B$7),1,0)</f>
        <v>1</v>
      </c>
      <c r="AF262" s="7" t="n">
        <f aca="false">IF(AND(E262="Closed Won",I262&gt;=Inputs!$B$6,I262&lt;=Inputs!$B$4),1,0)</f>
        <v>0</v>
      </c>
      <c r="AG262" s="7" t="n">
        <f aca="false">IF(AND(O262=0,I262&gt;Inputs!$B$4-Inputs!$B$8,I262&lt;=Inputs!$B$4),1,0)</f>
        <v>0</v>
      </c>
      <c r="AH262" s="7" t="n">
        <f aca="false">I262-H262</f>
        <v>139</v>
      </c>
    </row>
    <row r="263" customFormat="false" ht="15" hidden="false" customHeight="false" outlineLevel="0" collapsed="false">
      <c r="A263" s="16" t="s">
        <v>1198</v>
      </c>
      <c r="B263" s="16" t="s">
        <v>753</v>
      </c>
      <c r="C263" s="16" t="s">
        <v>1199</v>
      </c>
      <c r="D263" s="16" t="s">
        <v>167</v>
      </c>
      <c r="E263" s="16" t="s">
        <v>531</v>
      </c>
      <c r="F263" s="26" t="n">
        <v>4628000</v>
      </c>
      <c r="G263" s="25" t="n">
        <v>0</v>
      </c>
      <c r="H263" s="22" t="n">
        <v>45937</v>
      </c>
      <c r="I263" s="22" t="n">
        <v>46144</v>
      </c>
      <c r="J263" s="22" t="n">
        <v>46144</v>
      </c>
      <c r="K263" s="16" t="s">
        <v>831</v>
      </c>
      <c r="L263" s="16" t="s">
        <v>584</v>
      </c>
      <c r="M263" s="16"/>
      <c r="N263" s="16"/>
      <c r="O263" s="7" t="n">
        <f aca="false">IF(OR(E263="Closed Won",E263="Closed Lost"),0,1)</f>
        <v>0</v>
      </c>
      <c r="P263" s="17" t="str">
        <f aca="false">INDEX(Accounts!$K$5:$K$336,MATCH(B263,Accounts!$A$5:$A$336,0))</f>
        <v>Public Sector &amp; Development</v>
      </c>
      <c r="Q263" s="17" t="str">
        <f aca="false">INDEX(Accounts!$D$5:$D$336,MATCH(B263,Accounts!$A$5:$A$336,0))</f>
        <v>Standard</v>
      </c>
      <c r="R263" s="7" t="n">
        <f aca="false">INDEX(Inputs!$B$11:$B$16,MATCH(E263,Inputs!$A$11:$A$16,0))</f>
        <v>0</v>
      </c>
      <c r="S263" s="27" t="n">
        <f aca="false">IF(F263="",0,F263)*R263/100</f>
        <v>0</v>
      </c>
      <c r="T263" s="7" t="n">
        <f aca="false">Inputs!$B$4-J263</f>
        <v>170</v>
      </c>
      <c r="U263" s="7" t="n">
        <f aca="false">IF(OR(F263="",F263=0),1,0)</f>
        <v>0</v>
      </c>
      <c r="V263" s="7" t="n">
        <f aca="false">IF(K263="",1,0)</f>
        <v>0</v>
      </c>
      <c r="W263" s="7" t="n">
        <f aca="false">IF(AND(O263=1,K263&lt;&gt;"",COUNTIFS(Owners!$A$5:$A$32,K263,Owners!$E$5:$E$32,"No")&gt;0),1,0)</f>
        <v>0</v>
      </c>
      <c r="X263" s="7" t="n">
        <f aca="false">IF(AND(O263=1,I263&lt;Inputs!$B$4),1,0)</f>
        <v>0</v>
      </c>
      <c r="Y263" s="7" t="n">
        <f aca="false">IF(AND(O263=1,T263&gt;Inputs!$B$5),1,0)</f>
        <v>0</v>
      </c>
      <c r="Z263" s="7" t="n">
        <f aca="false">IF(AND(O263=1,G263&lt;&gt;R263),1,0)</f>
        <v>0</v>
      </c>
      <c r="AA263" s="7" t="n">
        <f aca="false">IF(AND(O263=1,M263=""),1,0)</f>
        <v>0</v>
      </c>
      <c r="AB263" s="7" t="n">
        <f aca="false">IF(AND(E263="Closed Lost",N263=""),1,0)</f>
        <v>1</v>
      </c>
      <c r="AC263" s="7" t="n">
        <f aca="false">SUM(U263:AB263)</f>
        <v>1</v>
      </c>
      <c r="AD263" s="7" t="n">
        <f aca="false">IF(AC263=0,1,0)</f>
        <v>0</v>
      </c>
      <c r="AE263" s="7" t="n">
        <f aca="false">IF(AND(O263=1,I263&gt;=Inputs!$B$6,I263&lt;=Inputs!$B$7),1,0)</f>
        <v>0</v>
      </c>
      <c r="AF263" s="7" t="n">
        <f aca="false">IF(AND(E263="Closed Won",I263&gt;=Inputs!$B$6,I263&lt;=Inputs!$B$4),1,0)</f>
        <v>0</v>
      </c>
      <c r="AG263" s="7" t="n">
        <f aca="false">IF(AND(O263=0,I263&gt;Inputs!$B$4-Inputs!$B$8,I263&lt;=Inputs!$B$4),1,0)</f>
        <v>1</v>
      </c>
      <c r="AH263" s="7" t="n">
        <f aca="false">I263-H263</f>
        <v>207</v>
      </c>
    </row>
    <row r="264" customFormat="false" ht="15" hidden="false" customHeight="false" outlineLevel="0" collapsed="false">
      <c r="A264" s="16" t="s">
        <v>1200</v>
      </c>
      <c r="B264" s="16" t="s">
        <v>89</v>
      </c>
      <c r="C264" s="16" t="s">
        <v>1201</v>
      </c>
      <c r="D264" s="16" t="s">
        <v>158</v>
      </c>
      <c r="E264" s="16" t="s">
        <v>528</v>
      </c>
      <c r="F264" s="26"/>
      <c r="G264" s="25" t="n">
        <v>50</v>
      </c>
      <c r="H264" s="22" t="n">
        <v>46235</v>
      </c>
      <c r="I264" s="22" t="n">
        <v>46487</v>
      </c>
      <c r="J264" s="22" t="n">
        <v>46293</v>
      </c>
      <c r="K264" s="16" t="s">
        <v>704</v>
      </c>
      <c r="L264" s="16" t="s">
        <v>584</v>
      </c>
      <c r="M264" s="16" t="s">
        <v>613</v>
      </c>
      <c r="N264" s="16"/>
      <c r="O264" s="7" t="n">
        <f aca="false">IF(OR(E264="Closed Won",E264="Closed Lost"),0,1)</f>
        <v>1</v>
      </c>
      <c r="P264" s="17" t="str">
        <f aca="false">INDEX(Accounts!$K$5:$K$336,MATCH(B264,Accounts!$A$5:$A$336,0))</f>
        <v>Agribusiness</v>
      </c>
      <c r="Q264" s="17" t="str">
        <f aca="false">INDEX(Accounts!$D$5:$D$336,MATCH(B264,Accounts!$A$5:$A$336,0))</f>
        <v>Priority</v>
      </c>
      <c r="R264" s="7" t="n">
        <f aca="false">INDEX(Inputs!$B$11:$B$16,MATCH(E264,Inputs!$A$11:$A$16,0))</f>
        <v>50</v>
      </c>
      <c r="S264" s="27" t="n">
        <f aca="false">IF(F264="",0,F264)*R264/100</f>
        <v>0</v>
      </c>
      <c r="T264" s="7" t="n">
        <f aca="false">Inputs!$B$4-J264</f>
        <v>21</v>
      </c>
      <c r="U264" s="7" t="n">
        <f aca="false">IF(OR(F264="",F264=0),1,0)</f>
        <v>1</v>
      </c>
      <c r="V264" s="7" t="n">
        <f aca="false">IF(K264="",1,0)</f>
        <v>0</v>
      </c>
      <c r="W264" s="7" t="n">
        <f aca="false">IF(AND(O264=1,K264&lt;&gt;"",COUNTIFS(Owners!$A$5:$A$32,K264,Owners!$E$5:$E$32,"No")&gt;0),1,0)</f>
        <v>0</v>
      </c>
      <c r="X264" s="7" t="n">
        <f aca="false">IF(AND(O264=1,I264&lt;Inputs!$B$4),1,0)</f>
        <v>0</v>
      </c>
      <c r="Y264" s="7" t="n">
        <f aca="false">IF(AND(O264=1,T264&gt;Inputs!$B$5),1,0)</f>
        <v>0</v>
      </c>
      <c r="Z264" s="7" t="n">
        <f aca="false">IF(AND(O264=1,G264&lt;&gt;R264),1,0)</f>
        <v>0</v>
      </c>
      <c r="AA264" s="7" t="n">
        <f aca="false">IF(AND(O264=1,M264=""),1,0)</f>
        <v>0</v>
      </c>
      <c r="AB264" s="7" t="n">
        <f aca="false">IF(AND(E264="Closed Lost",N264=""),1,0)</f>
        <v>0</v>
      </c>
      <c r="AC264" s="7" t="n">
        <f aca="false">SUM(U264:AB264)</f>
        <v>1</v>
      </c>
      <c r="AD264" s="7" t="n">
        <f aca="false">IF(AC264=0,1,0)</f>
        <v>0</v>
      </c>
      <c r="AE264" s="7" t="n">
        <f aca="false">IF(AND(O264=1,I264&gt;=Inputs!$B$6,I264&lt;=Inputs!$B$7),1,0)</f>
        <v>1</v>
      </c>
      <c r="AF264" s="7" t="n">
        <f aca="false">IF(AND(E264="Closed Won",I264&gt;=Inputs!$B$6,I264&lt;=Inputs!$B$4),1,0)</f>
        <v>0</v>
      </c>
      <c r="AG264" s="7" t="n">
        <f aca="false">IF(AND(O264=0,I264&gt;Inputs!$B$4-Inputs!$B$8,I264&lt;=Inputs!$B$4),1,0)</f>
        <v>0</v>
      </c>
      <c r="AH264" s="7" t="n">
        <f aca="false">I264-H264</f>
        <v>252</v>
      </c>
    </row>
    <row r="265" customFormat="false" ht="15" hidden="false" customHeight="false" outlineLevel="0" collapsed="false">
      <c r="A265" s="16" t="s">
        <v>1202</v>
      </c>
      <c r="B265" s="16" t="s">
        <v>82</v>
      </c>
      <c r="C265" s="16" t="s">
        <v>1203</v>
      </c>
      <c r="D265" s="16" t="s">
        <v>165</v>
      </c>
      <c r="E265" s="16" t="s">
        <v>531</v>
      </c>
      <c r="F265" s="26" t="n">
        <v>13263000</v>
      </c>
      <c r="G265" s="25" t="n">
        <v>0</v>
      </c>
      <c r="H265" s="22" t="n">
        <v>45922</v>
      </c>
      <c r="I265" s="22" t="n">
        <v>46101</v>
      </c>
      <c r="J265" s="22" t="n">
        <v>46101</v>
      </c>
      <c r="K265" s="16" t="s">
        <v>651</v>
      </c>
      <c r="L265" s="16" t="s">
        <v>568</v>
      </c>
      <c r="M265" s="16"/>
      <c r="N265" s="16" t="s">
        <v>610</v>
      </c>
      <c r="O265" s="7" t="n">
        <f aca="false">IF(OR(E265="Closed Won",E265="Closed Lost"),0,1)</f>
        <v>0</v>
      </c>
      <c r="P265" s="17" t="str">
        <f aca="false">INDEX(Accounts!$K$5:$K$336,MATCH(B265,Accounts!$A$5:$A$336,0))</f>
        <v>Public Sector &amp; Development</v>
      </c>
      <c r="Q265" s="17" t="str">
        <f aca="false">INDEX(Accounts!$D$5:$D$336,MATCH(B265,Accounts!$A$5:$A$336,0))</f>
        <v>Priority</v>
      </c>
      <c r="R265" s="7" t="n">
        <f aca="false">INDEX(Inputs!$B$11:$B$16,MATCH(E265,Inputs!$A$11:$A$16,0))</f>
        <v>0</v>
      </c>
      <c r="S265" s="27" t="n">
        <f aca="false">IF(F265="",0,F265)*R265/100</f>
        <v>0</v>
      </c>
      <c r="T265" s="7" t="n">
        <f aca="false">Inputs!$B$4-J265</f>
        <v>213</v>
      </c>
      <c r="U265" s="7" t="n">
        <f aca="false">IF(OR(F265="",F265=0),1,0)</f>
        <v>0</v>
      </c>
      <c r="V265" s="7" t="n">
        <f aca="false">IF(K265="",1,0)</f>
        <v>0</v>
      </c>
      <c r="W265" s="7" t="n">
        <f aca="false">IF(AND(O265=1,K265&lt;&gt;"",COUNTIFS(Owners!$A$5:$A$32,K265,Owners!$E$5:$E$32,"No")&gt;0),1,0)</f>
        <v>0</v>
      </c>
      <c r="X265" s="7" t="n">
        <f aca="false">IF(AND(O265=1,I265&lt;Inputs!$B$4),1,0)</f>
        <v>0</v>
      </c>
      <c r="Y265" s="7" t="n">
        <f aca="false">IF(AND(O265=1,T265&gt;Inputs!$B$5),1,0)</f>
        <v>0</v>
      </c>
      <c r="Z265" s="7" t="n">
        <f aca="false">IF(AND(O265=1,G265&lt;&gt;R265),1,0)</f>
        <v>0</v>
      </c>
      <c r="AA265" s="7" t="n">
        <f aca="false">IF(AND(O265=1,M265=""),1,0)</f>
        <v>0</v>
      </c>
      <c r="AB265" s="7" t="n">
        <f aca="false">IF(AND(E265="Closed Lost",N265=""),1,0)</f>
        <v>0</v>
      </c>
      <c r="AC265" s="7" t="n">
        <f aca="false">SUM(U265:AB265)</f>
        <v>0</v>
      </c>
      <c r="AD265" s="7" t="n">
        <f aca="false">IF(AC265=0,1,0)</f>
        <v>1</v>
      </c>
      <c r="AE265" s="7" t="n">
        <f aca="false">IF(AND(O265=1,I265&gt;=Inputs!$B$6,I265&lt;=Inputs!$B$7),1,0)</f>
        <v>0</v>
      </c>
      <c r="AF265" s="7" t="n">
        <f aca="false">IF(AND(E265="Closed Won",I265&gt;=Inputs!$B$6,I265&lt;=Inputs!$B$4),1,0)</f>
        <v>0</v>
      </c>
      <c r="AG265" s="7" t="n">
        <f aca="false">IF(AND(O265=0,I265&gt;Inputs!$B$4-Inputs!$B$8,I265&lt;=Inputs!$B$4),1,0)</f>
        <v>1</v>
      </c>
      <c r="AH265" s="7" t="n">
        <f aca="false">I265-H265</f>
        <v>179</v>
      </c>
    </row>
    <row r="266" customFormat="false" ht="15" hidden="false" customHeight="false" outlineLevel="0" collapsed="false">
      <c r="A266" s="16" t="s">
        <v>1204</v>
      </c>
      <c r="B266" s="16" t="s">
        <v>264</v>
      </c>
      <c r="C266" s="16" t="s">
        <v>1205</v>
      </c>
      <c r="D266" s="16" t="s">
        <v>167</v>
      </c>
      <c r="E266" s="16" t="s">
        <v>527</v>
      </c>
      <c r="F266" s="26" t="n">
        <v>78982000</v>
      </c>
      <c r="G266" s="25" t="n">
        <v>5</v>
      </c>
      <c r="H266" s="22" t="n">
        <v>46146</v>
      </c>
      <c r="I266" s="22" t="n">
        <v>46434</v>
      </c>
      <c r="J266" s="22" t="n">
        <v>46152</v>
      </c>
      <c r="K266" s="16" t="s">
        <v>604</v>
      </c>
      <c r="L266" s="16" t="s">
        <v>500</v>
      </c>
      <c r="M266" s="16" t="s">
        <v>619</v>
      </c>
      <c r="N266" s="16"/>
      <c r="O266" s="7" t="n">
        <f aca="false">IF(OR(E266="Closed Won",E266="Closed Lost"),0,1)</f>
        <v>1</v>
      </c>
      <c r="P266" s="17" t="str">
        <f aca="false">INDEX(Accounts!$K$5:$K$336,MATCH(B266,Accounts!$A$5:$A$336,0))</f>
        <v>Consumer &amp; Retail</v>
      </c>
      <c r="Q266" s="17" t="str">
        <f aca="false">INDEX(Accounts!$D$5:$D$336,MATCH(B266,Accounts!$A$5:$A$336,0))</f>
        <v>Standard</v>
      </c>
      <c r="R266" s="7" t="n">
        <f aca="false">INDEX(Inputs!$B$11:$B$16,MATCH(E266,Inputs!$A$11:$A$16,0))</f>
        <v>25</v>
      </c>
      <c r="S266" s="27" t="n">
        <f aca="false">IF(F266="",0,F266)*R266/100</f>
        <v>19745500</v>
      </c>
      <c r="T266" s="7" t="n">
        <f aca="false">Inputs!$B$4-J266</f>
        <v>162</v>
      </c>
      <c r="U266" s="7" t="n">
        <f aca="false">IF(OR(F266="",F266=0),1,0)</f>
        <v>0</v>
      </c>
      <c r="V266" s="7" t="n">
        <f aca="false">IF(K266="",1,0)</f>
        <v>0</v>
      </c>
      <c r="W266" s="7" t="n">
        <f aca="false">IF(AND(O266=1,K266&lt;&gt;"",COUNTIFS(Owners!$A$5:$A$32,K266,Owners!$E$5:$E$32,"No")&gt;0),1,0)</f>
        <v>0</v>
      </c>
      <c r="X266" s="7" t="n">
        <f aca="false">IF(AND(O266=1,I266&lt;Inputs!$B$4),1,0)</f>
        <v>0</v>
      </c>
      <c r="Y266" s="7" t="n">
        <f aca="false">IF(AND(O266=1,T266&gt;Inputs!$B$5),1,0)</f>
        <v>1</v>
      </c>
      <c r="Z266" s="7" t="n">
        <f aca="false">IF(AND(O266=1,G266&lt;&gt;R266),1,0)</f>
        <v>1</v>
      </c>
      <c r="AA266" s="7" t="n">
        <f aca="false">IF(AND(O266=1,M266=""),1,0)</f>
        <v>0</v>
      </c>
      <c r="AB266" s="7" t="n">
        <f aca="false">IF(AND(E266="Closed Lost",N266=""),1,0)</f>
        <v>0</v>
      </c>
      <c r="AC266" s="7" t="n">
        <f aca="false">SUM(U266:AB266)</f>
        <v>2</v>
      </c>
      <c r="AD266" s="7" t="n">
        <f aca="false">IF(AC266=0,1,0)</f>
        <v>0</v>
      </c>
      <c r="AE266" s="7" t="n">
        <f aca="false">IF(AND(O266=1,I266&gt;=Inputs!$B$6,I266&lt;=Inputs!$B$7),1,0)</f>
        <v>1</v>
      </c>
      <c r="AF266" s="7" t="n">
        <f aca="false">IF(AND(E266="Closed Won",I266&gt;=Inputs!$B$6,I266&lt;=Inputs!$B$4),1,0)</f>
        <v>0</v>
      </c>
      <c r="AG266" s="7" t="n">
        <f aca="false">IF(AND(O266=0,I266&gt;Inputs!$B$4-Inputs!$B$8,I266&lt;=Inputs!$B$4),1,0)</f>
        <v>0</v>
      </c>
      <c r="AH266" s="7" t="n">
        <f aca="false">I266-H266</f>
        <v>288</v>
      </c>
    </row>
    <row r="267" customFormat="false" ht="15" hidden="false" customHeight="false" outlineLevel="0" collapsed="false">
      <c r="A267" s="16" t="s">
        <v>1206</v>
      </c>
      <c r="B267" s="16" t="s">
        <v>1184</v>
      </c>
      <c r="C267" s="16" t="s">
        <v>1207</v>
      </c>
      <c r="D267" s="16" t="s">
        <v>167</v>
      </c>
      <c r="E267" s="16" t="s">
        <v>531</v>
      </c>
      <c r="F267" s="26" t="n">
        <v>8383000</v>
      </c>
      <c r="G267" s="25" t="n">
        <v>0</v>
      </c>
      <c r="H267" s="22" t="n">
        <v>45988</v>
      </c>
      <c r="I267" s="22" t="n">
        <v>46249</v>
      </c>
      <c r="J267" s="22" t="n">
        <v>46249</v>
      </c>
      <c r="K267" s="16" t="s">
        <v>633</v>
      </c>
      <c r="L267" s="16" t="s">
        <v>592</v>
      </c>
      <c r="M267" s="16"/>
      <c r="N267" s="16" t="s">
        <v>697</v>
      </c>
      <c r="O267" s="7" t="n">
        <f aca="false">IF(OR(E267="Closed Won",E267="Closed Lost"),0,1)</f>
        <v>0</v>
      </c>
      <c r="P267" s="17" t="str">
        <f aca="false">INDEX(Accounts!$K$5:$K$336,MATCH(B267,Accounts!$A$5:$A$336,0))</f>
        <v>Consumer &amp; Retail</v>
      </c>
      <c r="Q267" s="17" t="str">
        <f aca="false">INDEX(Accounts!$D$5:$D$336,MATCH(B267,Accounts!$A$5:$A$336,0))</f>
        <v>Key</v>
      </c>
      <c r="R267" s="7" t="n">
        <f aca="false">INDEX(Inputs!$B$11:$B$16,MATCH(E267,Inputs!$A$11:$A$16,0))</f>
        <v>0</v>
      </c>
      <c r="S267" s="27" t="n">
        <f aca="false">IF(F267="",0,F267)*R267/100</f>
        <v>0</v>
      </c>
      <c r="T267" s="7" t="n">
        <f aca="false">Inputs!$B$4-J267</f>
        <v>65</v>
      </c>
      <c r="U267" s="7" t="n">
        <f aca="false">IF(OR(F267="",F267=0),1,0)</f>
        <v>0</v>
      </c>
      <c r="V267" s="7" t="n">
        <f aca="false">IF(K267="",1,0)</f>
        <v>0</v>
      </c>
      <c r="W267" s="7" t="n">
        <f aca="false">IF(AND(O267=1,K267&lt;&gt;"",COUNTIFS(Owners!$A$5:$A$32,K267,Owners!$E$5:$E$32,"No")&gt;0),1,0)</f>
        <v>0</v>
      </c>
      <c r="X267" s="7" t="n">
        <f aca="false">IF(AND(O267=1,I267&lt;Inputs!$B$4),1,0)</f>
        <v>0</v>
      </c>
      <c r="Y267" s="7" t="n">
        <f aca="false">IF(AND(O267=1,T267&gt;Inputs!$B$5),1,0)</f>
        <v>0</v>
      </c>
      <c r="Z267" s="7" t="n">
        <f aca="false">IF(AND(O267=1,G267&lt;&gt;R267),1,0)</f>
        <v>0</v>
      </c>
      <c r="AA267" s="7" t="n">
        <f aca="false">IF(AND(O267=1,M267=""),1,0)</f>
        <v>0</v>
      </c>
      <c r="AB267" s="7" t="n">
        <f aca="false">IF(AND(E267="Closed Lost",N267=""),1,0)</f>
        <v>0</v>
      </c>
      <c r="AC267" s="7" t="n">
        <f aca="false">SUM(U267:AB267)</f>
        <v>0</v>
      </c>
      <c r="AD267" s="7" t="n">
        <f aca="false">IF(AC267=0,1,0)</f>
        <v>1</v>
      </c>
      <c r="AE267" s="7" t="n">
        <f aca="false">IF(AND(O267=1,I267&gt;=Inputs!$B$6,I267&lt;=Inputs!$B$7),1,0)</f>
        <v>0</v>
      </c>
      <c r="AF267" s="7" t="n">
        <f aca="false">IF(AND(E267="Closed Won",I267&gt;=Inputs!$B$6,I267&lt;=Inputs!$B$4),1,0)</f>
        <v>0</v>
      </c>
      <c r="AG267" s="7" t="n">
        <f aca="false">IF(AND(O267=0,I267&gt;Inputs!$B$4-Inputs!$B$8,I267&lt;=Inputs!$B$4),1,0)</f>
        <v>1</v>
      </c>
      <c r="AH267" s="7" t="n">
        <f aca="false">I267-H267</f>
        <v>261</v>
      </c>
    </row>
    <row r="268" customFormat="false" ht="15" hidden="false" customHeight="false" outlineLevel="0" collapsed="false">
      <c r="A268" s="16" t="s">
        <v>1208</v>
      </c>
      <c r="B268" s="16" t="s">
        <v>75</v>
      </c>
      <c r="C268" s="16" t="s">
        <v>1209</v>
      </c>
      <c r="D268" s="16" t="s">
        <v>162</v>
      </c>
      <c r="E268" s="16" t="s">
        <v>527</v>
      </c>
      <c r="F268" s="26" t="n">
        <v>12753000</v>
      </c>
      <c r="G268" s="25" t="n">
        <v>25</v>
      </c>
      <c r="H268" s="22" t="n">
        <v>46231</v>
      </c>
      <c r="I268" s="22" t="n">
        <v>46479</v>
      </c>
      <c r="J268" s="22" t="n">
        <v>46296</v>
      </c>
      <c r="K268" s="16" t="s">
        <v>583</v>
      </c>
      <c r="L268" s="16" t="s">
        <v>609</v>
      </c>
      <c r="M268" s="16" t="s">
        <v>593</v>
      </c>
      <c r="N268" s="16"/>
      <c r="O268" s="7" t="n">
        <f aca="false">IF(OR(E268="Closed Won",E268="Closed Lost"),0,1)</f>
        <v>1</v>
      </c>
      <c r="P268" s="17" t="str">
        <f aca="false">INDEX(Accounts!$K$5:$K$336,MATCH(B268,Accounts!$A$5:$A$336,0))</f>
        <v>Technology, Media &amp; Telecom</v>
      </c>
      <c r="Q268" s="17" t="str">
        <f aca="false">INDEX(Accounts!$D$5:$D$336,MATCH(B268,Accounts!$A$5:$A$336,0))</f>
        <v>Priority</v>
      </c>
      <c r="R268" s="7" t="n">
        <f aca="false">INDEX(Inputs!$B$11:$B$16,MATCH(E268,Inputs!$A$11:$A$16,0))</f>
        <v>25</v>
      </c>
      <c r="S268" s="27" t="n">
        <f aca="false">IF(F268="",0,F268)*R268/100</f>
        <v>3188250</v>
      </c>
      <c r="T268" s="7" t="n">
        <f aca="false">Inputs!$B$4-J268</f>
        <v>18</v>
      </c>
      <c r="U268" s="7" t="n">
        <f aca="false">IF(OR(F268="",F268=0),1,0)</f>
        <v>0</v>
      </c>
      <c r="V268" s="7" t="n">
        <f aca="false">IF(K268="",1,0)</f>
        <v>0</v>
      </c>
      <c r="W268" s="7" t="n">
        <f aca="false">IF(AND(O268=1,K268&lt;&gt;"",COUNTIFS(Owners!$A$5:$A$32,K268,Owners!$E$5:$E$32,"No")&gt;0),1,0)</f>
        <v>1</v>
      </c>
      <c r="X268" s="7" t="n">
        <f aca="false">IF(AND(O268=1,I268&lt;Inputs!$B$4),1,0)</f>
        <v>0</v>
      </c>
      <c r="Y268" s="7" t="n">
        <f aca="false">IF(AND(O268=1,T268&gt;Inputs!$B$5),1,0)</f>
        <v>0</v>
      </c>
      <c r="Z268" s="7" t="n">
        <f aca="false">IF(AND(O268=1,G268&lt;&gt;R268),1,0)</f>
        <v>0</v>
      </c>
      <c r="AA268" s="7" t="n">
        <f aca="false">IF(AND(O268=1,M268=""),1,0)</f>
        <v>0</v>
      </c>
      <c r="AB268" s="7" t="n">
        <f aca="false">IF(AND(E268="Closed Lost",N268=""),1,0)</f>
        <v>0</v>
      </c>
      <c r="AC268" s="7" t="n">
        <f aca="false">SUM(U268:AB268)</f>
        <v>1</v>
      </c>
      <c r="AD268" s="7" t="n">
        <f aca="false">IF(AC268=0,1,0)</f>
        <v>0</v>
      </c>
      <c r="AE268" s="7" t="n">
        <f aca="false">IF(AND(O268=1,I268&gt;=Inputs!$B$6,I268&lt;=Inputs!$B$7),1,0)</f>
        <v>1</v>
      </c>
      <c r="AF268" s="7" t="n">
        <f aca="false">IF(AND(E268="Closed Won",I268&gt;=Inputs!$B$6,I268&lt;=Inputs!$B$4),1,0)</f>
        <v>0</v>
      </c>
      <c r="AG268" s="7" t="n">
        <f aca="false">IF(AND(O268=0,I268&gt;Inputs!$B$4-Inputs!$B$8,I268&lt;=Inputs!$B$4),1,0)</f>
        <v>0</v>
      </c>
      <c r="AH268" s="7" t="n">
        <f aca="false">I268-H268</f>
        <v>248</v>
      </c>
    </row>
    <row r="269" customFormat="false" ht="15" hidden="false" customHeight="false" outlineLevel="0" collapsed="false">
      <c r="A269" s="16" t="s">
        <v>1210</v>
      </c>
      <c r="B269" s="16" t="s">
        <v>64</v>
      </c>
      <c r="C269" s="16" t="s">
        <v>1211</v>
      </c>
      <c r="D269" s="16" t="s">
        <v>177</v>
      </c>
      <c r="E269" s="16" t="s">
        <v>526</v>
      </c>
      <c r="F269" s="26" t="n">
        <v>59809000</v>
      </c>
      <c r="G269" s="25" t="n">
        <v>10</v>
      </c>
      <c r="H269" s="22" t="n">
        <v>46256</v>
      </c>
      <c r="I269" s="22" t="n">
        <v>46462</v>
      </c>
      <c r="J269" s="22" t="n">
        <v>46270</v>
      </c>
      <c r="K269" s="16" t="s">
        <v>691</v>
      </c>
      <c r="L269" s="16" t="s">
        <v>584</v>
      </c>
      <c r="M269" s="16" t="s">
        <v>613</v>
      </c>
      <c r="N269" s="16"/>
      <c r="O269" s="7" t="n">
        <f aca="false">IF(OR(E269="Closed Won",E269="Closed Lost"),0,1)</f>
        <v>1</v>
      </c>
      <c r="P269" s="17" t="str">
        <f aca="false">INDEX(Accounts!$K$5:$K$336,MATCH(B269,Accounts!$A$5:$A$336,0))</f>
        <v>Financial Services</v>
      </c>
      <c r="Q269" s="17" t="str">
        <f aca="false">INDEX(Accounts!$D$5:$D$336,MATCH(B269,Accounts!$A$5:$A$336,0))</f>
        <v>Priority</v>
      </c>
      <c r="R269" s="7" t="n">
        <f aca="false">INDEX(Inputs!$B$11:$B$16,MATCH(E269,Inputs!$A$11:$A$16,0))</f>
        <v>10</v>
      </c>
      <c r="S269" s="27" t="n">
        <f aca="false">IF(F269="",0,F269)*R269/100</f>
        <v>5980900</v>
      </c>
      <c r="T269" s="7" t="n">
        <f aca="false">Inputs!$B$4-J269</f>
        <v>44</v>
      </c>
      <c r="U269" s="7" t="n">
        <f aca="false">IF(OR(F269="",F269=0),1,0)</f>
        <v>0</v>
      </c>
      <c r="V269" s="7" t="n">
        <f aca="false">IF(K269="",1,0)</f>
        <v>0</v>
      </c>
      <c r="W269" s="7" t="n">
        <f aca="false">IF(AND(O269=1,K269&lt;&gt;"",COUNTIFS(Owners!$A$5:$A$32,K269,Owners!$E$5:$E$32,"No")&gt;0),1,0)</f>
        <v>0</v>
      </c>
      <c r="X269" s="7" t="n">
        <f aca="false">IF(AND(O269=1,I269&lt;Inputs!$B$4),1,0)</f>
        <v>0</v>
      </c>
      <c r="Y269" s="7" t="n">
        <f aca="false">IF(AND(O269=1,T269&gt;Inputs!$B$5),1,0)</f>
        <v>0</v>
      </c>
      <c r="Z269" s="7" t="n">
        <f aca="false">IF(AND(O269=1,G269&lt;&gt;R269),1,0)</f>
        <v>0</v>
      </c>
      <c r="AA269" s="7" t="n">
        <f aca="false">IF(AND(O269=1,M269=""),1,0)</f>
        <v>0</v>
      </c>
      <c r="AB269" s="7" t="n">
        <f aca="false">IF(AND(E269="Closed Lost",N269=""),1,0)</f>
        <v>0</v>
      </c>
      <c r="AC269" s="7" t="n">
        <f aca="false">SUM(U269:AB269)</f>
        <v>0</v>
      </c>
      <c r="AD269" s="7" t="n">
        <f aca="false">IF(AC269=0,1,0)</f>
        <v>1</v>
      </c>
      <c r="AE269" s="7" t="n">
        <f aca="false">IF(AND(O269=1,I269&gt;=Inputs!$B$6,I269&lt;=Inputs!$B$7),1,0)</f>
        <v>1</v>
      </c>
      <c r="AF269" s="7" t="n">
        <f aca="false">IF(AND(E269="Closed Won",I269&gt;=Inputs!$B$6,I269&lt;=Inputs!$B$4),1,0)</f>
        <v>0</v>
      </c>
      <c r="AG269" s="7" t="n">
        <f aca="false">IF(AND(O269=0,I269&gt;Inputs!$B$4-Inputs!$B$8,I269&lt;=Inputs!$B$4),1,0)</f>
        <v>0</v>
      </c>
      <c r="AH269" s="7" t="n">
        <f aca="false">I269-H269</f>
        <v>206</v>
      </c>
    </row>
    <row r="270" customFormat="false" ht="15" hidden="false" customHeight="false" outlineLevel="0" collapsed="false">
      <c r="A270" s="16" t="s">
        <v>1212</v>
      </c>
      <c r="B270" s="16" t="s">
        <v>444</v>
      </c>
      <c r="C270" s="16" t="s">
        <v>1213</v>
      </c>
      <c r="D270" s="16" t="s">
        <v>162</v>
      </c>
      <c r="E270" s="16" t="s">
        <v>531</v>
      </c>
      <c r="F270" s="26"/>
      <c r="G270" s="25" t="n">
        <v>0</v>
      </c>
      <c r="H270" s="22" t="n">
        <v>46163</v>
      </c>
      <c r="I270" s="22" t="n">
        <v>46268</v>
      </c>
      <c r="J270" s="22" t="n">
        <v>46268</v>
      </c>
      <c r="K270" s="16" t="s">
        <v>640</v>
      </c>
      <c r="L270" s="16" t="s">
        <v>609</v>
      </c>
      <c r="M270" s="16"/>
      <c r="N270" s="16" t="s">
        <v>722</v>
      </c>
      <c r="O270" s="7" t="n">
        <f aca="false">IF(OR(E270="Closed Won",E270="Closed Lost"),0,1)</f>
        <v>0</v>
      </c>
      <c r="P270" s="17" t="str">
        <f aca="false">INDEX(Accounts!$K$5:$K$336,MATCH(B270,Accounts!$A$5:$A$336,0))</f>
        <v>Public Sector &amp; Development</v>
      </c>
      <c r="Q270" s="17" t="str">
        <f aca="false">INDEX(Accounts!$D$5:$D$336,MATCH(B270,Accounts!$A$5:$A$336,0))</f>
        <v>Standard</v>
      </c>
      <c r="R270" s="7" t="n">
        <f aca="false">INDEX(Inputs!$B$11:$B$16,MATCH(E270,Inputs!$A$11:$A$16,0))</f>
        <v>0</v>
      </c>
      <c r="S270" s="27" t="n">
        <f aca="false">IF(F270="",0,F270)*R270/100</f>
        <v>0</v>
      </c>
      <c r="T270" s="7" t="n">
        <f aca="false">Inputs!$B$4-J270</f>
        <v>46</v>
      </c>
      <c r="U270" s="7" t="n">
        <f aca="false">IF(OR(F270="",F270=0),1,0)</f>
        <v>1</v>
      </c>
      <c r="V270" s="7" t="n">
        <f aca="false">IF(K270="",1,0)</f>
        <v>0</v>
      </c>
      <c r="W270" s="7" t="n">
        <f aca="false">IF(AND(O270=1,K270&lt;&gt;"",COUNTIFS(Owners!$A$5:$A$32,K270,Owners!$E$5:$E$32,"No")&gt;0),1,0)</f>
        <v>0</v>
      </c>
      <c r="X270" s="7" t="n">
        <f aca="false">IF(AND(O270=1,I270&lt;Inputs!$B$4),1,0)</f>
        <v>0</v>
      </c>
      <c r="Y270" s="7" t="n">
        <f aca="false">IF(AND(O270=1,T270&gt;Inputs!$B$5),1,0)</f>
        <v>0</v>
      </c>
      <c r="Z270" s="7" t="n">
        <f aca="false">IF(AND(O270=1,G270&lt;&gt;R270),1,0)</f>
        <v>0</v>
      </c>
      <c r="AA270" s="7" t="n">
        <f aca="false">IF(AND(O270=1,M270=""),1,0)</f>
        <v>0</v>
      </c>
      <c r="AB270" s="7" t="n">
        <f aca="false">IF(AND(E270="Closed Lost",N270=""),1,0)</f>
        <v>0</v>
      </c>
      <c r="AC270" s="7" t="n">
        <f aca="false">SUM(U270:AB270)</f>
        <v>1</v>
      </c>
      <c r="AD270" s="7" t="n">
        <f aca="false">IF(AC270=0,1,0)</f>
        <v>0</v>
      </c>
      <c r="AE270" s="7" t="n">
        <f aca="false">IF(AND(O270=1,I270&gt;=Inputs!$B$6,I270&lt;=Inputs!$B$7),1,0)</f>
        <v>0</v>
      </c>
      <c r="AF270" s="7" t="n">
        <f aca="false">IF(AND(E270="Closed Won",I270&gt;=Inputs!$B$6,I270&lt;=Inputs!$B$4),1,0)</f>
        <v>0</v>
      </c>
      <c r="AG270" s="7" t="n">
        <f aca="false">IF(AND(O270=0,I270&gt;Inputs!$B$4-Inputs!$B$8,I270&lt;=Inputs!$B$4),1,0)</f>
        <v>1</v>
      </c>
      <c r="AH270" s="7" t="n">
        <f aca="false">I270-H270</f>
        <v>105</v>
      </c>
    </row>
    <row r="271" customFormat="false" ht="15" hidden="false" customHeight="false" outlineLevel="0" collapsed="false">
      <c r="A271" s="16" t="s">
        <v>1214</v>
      </c>
      <c r="B271" s="16" t="s">
        <v>1215</v>
      </c>
      <c r="C271" s="16" t="s">
        <v>1216</v>
      </c>
      <c r="D271" s="16" t="s">
        <v>167</v>
      </c>
      <c r="E271" s="16" t="s">
        <v>529</v>
      </c>
      <c r="F271" s="26" t="n">
        <v>15843000</v>
      </c>
      <c r="G271" s="25" t="n">
        <v>75</v>
      </c>
      <c r="H271" s="22" t="n">
        <v>46242</v>
      </c>
      <c r="I271" s="22" t="n">
        <v>46441</v>
      </c>
      <c r="J271" s="22" t="n">
        <v>46250</v>
      </c>
      <c r="K271" s="16" t="s">
        <v>691</v>
      </c>
      <c r="L271" s="16" t="s">
        <v>584</v>
      </c>
      <c r="M271" s="16" t="s">
        <v>575</v>
      </c>
      <c r="N271" s="16"/>
      <c r="O271" s="7" t="n">
        <f aca="false">IF(OR(E271="Closed Won",E271="Closed Lost"),0,1)</f>
        <v>1</v>
      </c>
      <c r="P271" s="17" t="str">
        <f aca="false">INDEX(Accounts!$K$5:$K$336,MATCH(B271,Accounts!$A$5:$A$336,0))</f>
        <v>Consumer &amp; Retail</v>
      </c>
      <c r="Q271" s="17" t="str">
        <f aca="false">INDEX(Accounts!$D$5:$D$336,MATCH(B271,Accounts!$A$5:$A$336,0))</f>
        <v>Key</v>
      </c>
      <c r="R271" s="7" t="n">
        <f aca="false">INDEX(Inputs!$B$11:$B$16,MATCH(E271,Inputs!$A$11:$A$16,0))</f>
        <v>75</v>
      </c>
      <c r="S271" s="27" t="n">
        <f aca="false">IF(F271="",0,F271)*R271/100</f>
        <v>11882250</v>
      </c>
      <c r="T271" s="7" t="n">
        <f aca="false">Inputs!$B$4-J271</f>
        <v>64</v>
      </c>
      <c r="U271" s="7" t="n">
        <f aca="false">IF(OR(F271="",F271=0),1,0)</f>
        <v>0</v>
      </c>
      <c r="V271" s="7" t="n">
        <f aca="false">IF(K271="",1,0)</f>
        <v>0</v>
      </c>
      <c r="W271" s="7" t="n">
        <f aca="false">IF(AND(O271=1,K271&lt;&gt;"",COUNTIFS(Owners!$A$5:$A$32,K271,Owners!$E$5:$E$32,"No")&gt;0),1,0)</f>
        <v>0</v>
      </c>
      <c r="X271" s="7" t="n">
        <f aca="false">IF(AND(O271=1,I271&lt;Inputs!$B$4),1,0)</f>
        <v>0</v>
      </c>
      <c r="Y271" s="7" t="n">
        <f aca="false">IF(AND(O271=1,T271&gt;Inputs!$B$5),1,0)</f>
        <v>1</v>
      </c>
      <c r="Z271" s="7" t="n">
        <f aca="false">IF(AND(O271=1,G271&lt;&gt;R271),1,0)</f>
        <v>0</v>
      </c>
      <c r="AA271" s="7" t="n">
        <f aca="false">IF(AND(O271=1,M271=""),1,0)</f>
        <v>0</v>
      </c>
      <c r="AB271" s="7" t="n">
        <f aca="false">IF(AND(E271="Closed Lost",N271=""),1,0)</f>
        <v>0</v>
      </c>
      <c r="AC271" s="7" t="n">
        <f aca="false">SUM(U271:AB271)</f>
        <v>1</v>
      </c>
      <c r="AD271" s="7" t="n">
        <f aca="false">IF(AC271=0,1,0)</f>
        <v>0</v>
      </c>
      <c r="AE271" s="7" t="n">
        <f aca="false">IF(AND(O271=1,I271&gt;=Inputs!$B$6,I271&lt;=Inputs!$B$7),1,0)</f>
        <v>1</v>
      </c>
      <c r="AF271" s="7" t="n">
        <f aca="false">IF(AND(E271="Closed Won",I271&gt;=Inputs!$B$6,I271&lt;=Inputs!$B$4),1,0)</f>
        <v>0</v>
      </c>
      <c r="AG271" s="7" t="n">
        <f aca="false">IF(AND(O271=0,I271&gt;Inputs!$B$4-Inputs!$B$8,I271&lt;=Inputs!$B$4),1,0)</f>
        <v>0</v>
      </c>
      <c r="AH271" s="7" t="n">
        <f aca="false">I271-H271</f>
        <v>199</v>
      </c>
    </row>
    <row r="272" customFormat="false" ht="15" hidden="false" customHeight="false" outlineLevel="0" collapsed="false">
      <c r="A272" s="16" t="s">
        <v>1217</v>
      </c>
      <c r="B272" s="16" t="s">
        <v>313</v>
      </c>
      <c r="C272" s="16" t="s">
        <v>1218</v>
      </c>
      <c r="D272" s="16" t="s">
        <v>167</v>
      </c>
      <c r="E272" s="16" t="s">
        <v>531</v>
      </c>
      <c r="F272" s="26" t="n">
        <v>2170000</v>
      </c>
      <c r="G272" s="25" t="n">
        <v>0</v>
      </c>
      <c r="H272" s="22" t="n">
        <v>46118</v>
      </c>
      <c r="I272" s="22" t="n">
        <v>46255</v>
      </c>
      <c r="J272" s="22" t="n">
        <v>46255</v>
      </c>
      <c r="K272" s="16" t="s">
        <v>685</v>
      </c>
      <c r="L272" s="16" t="s">
        <v>609</v>
      </c>
      <c r="M272" s="16"/>
      <c r="N272" s="16" t="s">
        <v>579</v>
      </c>
      <c r="O272" s="7" t="n">
        <f aca="false">IF(OR(E272="Closed Won",E272="Closed Lost"),0,1)</f>
        <v>0</v>
      </c>
      <c r="P272" s="17" t="str">
        <f aca="false">INDEX(Accounts!$K$5:$K$336,MATCH(B272,Accounts!$A$5:$A$336,0))</f>
        <v>Technology, Media &amp; Telecom</v>
      </c>
      <c r="Q272" s="17" t="str">
        <f aca="false">INDEX(Accounts!$D$5:$D$336,MATCH(B272,Accounts!$A$5:$A$336,0))</f>
        <v>Standard</v>
      </c>
      <c r="R272" s="7" t="n">
        <f aca="false">INDEX(Inputs!$B$11:$B$16,MATCH(E272,Inputs!$A$11:$A$16,0))</f>
        <v>0</v>
      </c>
      <c r="S272" s="27" t="n">
        <f aca="false">IF(F272="",0,F272)*R272/100</f>
        <v>0</v>
      </c>
      <c r="T272" s="7" t="n">
        <f aca="false">Inputs!$B$4-J272</f>
        <v>59</v>
      </c>
      <c r="U272" s="7" t="n">
        <f aca="false">IF(OR(F272="",F272=0),1,0)</f>
        <v>0</v>
      </c>
      <c r="V272" s="7" t="n">
        <f aca="false">IF(K272="",1,0)</f>
        <v>0</v>
      </c>
      <c r="W272" s="7" t="n">
        <f aca="false">IF(AND(O272=1,K272&lt;&gt;"",COUNTIFS(Owners!$A$5:$A$32,K272,Owners!$E$5:$E$32,"No")&gt;0),1,0)</f>
        <v>0</v>
      </c>
      <c r="X272" s="7" t="n">
        <f aca="false">IF(AND(O272=1,I272&lt;Inputs!$B$4),1,0)</f>
        <v>0</v>
      </c>
      <c r="Y272" s="7" t="n">
        <f aca="false">IF(AND(O272=1,T272&gt;Inputs!$B$5),1,0)</f>
        <v>0</v>
      </c>
      <c r="Z272" s="7" t="n">
        <f aca="false">IF(AND(O272=1,G272&lt;&gt;R272),1,0)</f>
        <v>0</v>
      </c>
      <c r="AA272" s="7" t="n">
        <f aca="false">IF(AND(O272=1,M272=""),1,0)</f>
        <v>0</v>
      </c>
      <c r="AB272" s="7" t="n">
        <f aca="false">IF(AND(E272="Closed Lost",N272=""),1,0)</f>
        <v>0</v>
      </c>
      <c r="AC272" s="7" t="n">
        <f aca="false">SUM(U272:AB272)</f>
        <v>0</v>
      </c>
      <c r="AD272" s="7" t="n">
        <f aca="false">IF(AC272=0,1,0)</f>
        <v>1</v>
      </c>
      <c r="AE272" s="7" t="n">
        <f aca="false">IF(AND(O272=1,I272&gt;=Inputs!$B$6,I272&lt;=Inputs!$B$7),1,0)</f>
        <v>0</v>
      </c>
      <c r="AF272" s="7" t="n">
        <f aca="false">IF(AND(E272="Closed Won",I272&gt;=Inputs!$B$6,I272&lt;=Inputs!$B$4),1,0)</f>
        <v>0</v>
      </c>
      <c r="AG272" s="7" t="n">
        <f aca="false">IF(AND(O272=0,I272&gt;Inputs!$B$4-Inputs!$B$8,I272&lt;=Inputs!$B$4),1,0)</f>
        <v>1</v>
      </c>
      <c r="AH272" s="7" t="n">
        <f aca="false">I272-H272</f>
        <v>137</v>
      </c>
    </row>
    <row r="273" customFormat="false" ht="15" hidden="false" customHeight="false" outlineLevel="0" collapsed="false">
      <c r="A273" s="16" t="s">
        <v>1219</v>
      </c>
      <c r="B273" s="16" t="s">
        <v>1220</v>
      </c>
      <c r="C273" s="16" t="s">
        <v>1221</v>
      </c>
      <c r="D273" s="16" t="s">
        <v>162</v>
      </c>
      <c r="E273" s="16" t="s">
        <v>527</v>
      </c>
      <c r="F273" s="26" t="n">
        <v>12552000</v>
      </c>
      <c r="G273" s="25" t="n">
        <v>25</v>
      </c>
      <c r="H273" s="22" t="n">
        <v>46295</v>
      </c>
      <c r="I273" s="22" t="n">
        <v>46523</v>
      </c>
      <c r="J273" s="22" t="n">
        <v>46302</v>
      </c>
      <c r="K273" s="16" t="s">
        <v>704</v>
      </c>
      <c r="L273" s="16" t="s">
        <v>584</v>
      </c>
      <c r="M273" s="16" t="s">
        <v>575</v>
      </c>
      <c r="N273" s="16"/>
      <c r="O273" s="7" t="n">
        <f aca="false">IF(OR(E273="Closed Won",E273="Closed Lost"),0,1)</f>
        <v>1</v>
      </c>
      <c r="P273" s="17" t="str">
        <f aca="false">INDEX(Accounts!$K$5:$K$336,MATCH(B273,Accounts!$A$5:$A$336,0))</f>
        <v>Financial Services</v>
      </c>
      <c r="Q273" s="17" t="str">
        <f aca="false">INDEX(Accounts!$D$5:$D$336,MATCH(B273,Accounts!$A$5:$A$336,0))</f>
        <v>Standard</v>
      </c>
      <c r="R273" s="7" t="n">
        <f aca="false">INDEX(Inputs!$B$11:$B$16,MATCH(E273,Inputs!$A$11:$A$16,0))</f>
        <v>25</v>
      </c>
      <c r="S273" s="27" t="n">
        <f aca="false">IF(F273="",0,F273)*R273/100</f>
        <v>3138000</v>
      </c>
      <c r="T273" s="7" t="n">
        <f aca="false">Inputs!$B$4-J273</f>
        <v>12</v>
      </c>
      <c r="U273" s="7" t="n">
        <f aca="false">IF(OR(F273="",F273=0),1,0)</f>
        <v>0</v>
      </c>
      <c r="V273" s="7" t="n">
        <f aca="false">IF(K273="",1,0)</f>
        <v>0</v>
      </c>
      <c r="W273" s="7" t="n">
        <f aca="false">IF(AND(O273=1,K273&lt;&gt;"",COUNTIFS(Owners!$A$5:$A$32,K273,Owners!$E$5:$E$32,"No")&gt;0),1,0)</f>
        <v>0</v>
      </c>
      <c r="X273" s="7" t="n">
        <f aca="false">IF(AND(O273=1,I273&lt;Inputs!$B$4),1,0)</f>
        <v>0</v>
      </c>
      <c r="Y273" s="7" t="n">
        <f aca="false">IF(AND(O273=1,T273&gt;Inputs!$B$5),1,0)</f>
        <v>0</v>
      </c>
      <c r="Z273" s="7" t="n">
        <f aca="false">IF(AND(O273=1,G273&lt;&gt;R273),1,0)</f>
        <v>0</v>
      </c>
      <c r="AA273" s="7" t="n">
        <f aca="false">IF(AND(O273=1,M273=""),1,0)</f>
        <v>0</v>
      </c>
      <c r="AB273" s="7" t="n">
        <f aca="false">IF(AND(E273="Closed Lost",N273=""),1,0)</f>
        <v>0</v>
      </c>
      <c r="AC273" s="7" t="n">
        <f aca="false">SUM(U273:AB273)</f>
        <v>0</v>
      </c>
      <c r="AD273" s="7" t="n">
        <f aca="false">IF(AC273=0,1,0)</f>
        <v>1</v>
      </c>
      <c r="AE273" s="7" t="n">
        <f aca="false">IF(AND(O273=1,I273&gt;=Inputs!$B$6,I273&lt;=Inputs!$B$7),1,0)</f>
        <v>1</v>
      </c>
      <c r="AF273" s="7" t="n">
        <f aca="false">IF(AND(E273="Closed Won",I273&gt;=Inputs!$B$6,I273&lt;=Inputs!$B$4),1,0)</f>
        <v>0</v>
      </c>
      <c r="AG273" s="7" t="n">
        <f aca="false">IF(AND(O273=0,I273&gt;Inputs!$B$4-Inputs!$B$8,I273&lt;=Inputs!$B$4),1,0)</f>
        <v>0</v>
      </c>
      <c r="AH273" s="7" t="n">
        <f aca="false">I273-H273</f>
        <v>228</v>
      </c>
    </row>
    <row r="274" customFormat="false" ht="15" hidden="false" customHeight="false" outlineLevel="0" collapsed="false">
      <c r="A274" s="16" t="s">
        <v>1222</v>
      </c>
      <c r="B274" s="16" t="s">
        <v>1223</v>
      </c>
      <c r="C274" s="16" t="s">
        <v>1224</v>
      </c>
      <c r="D274" s="16" t="s">
        <v>167</v>
      </c>
      <c r="E274" s="16" t="s">
        <v>531</v>
      </c>
      <c r="F274" s="26" t="n">
        <v>6441000</v>
      </c>
      <c r="G274" s="25" t="n">
        <v>0</v>
      </c>
      <c r="H274" s="22" t="n">
        <v>46000</v>
      </c>
      <c r="I274" s="22" t="n">
        <v>46170</v>
      </c>
      <c r="J274" s="22" t="n">
        <v>46170</v>
      </c>
      <c r="K274" s="16" t="s">
        <v>717</v>
      </c>
      <c r="L274" s="16" t="s">
        <v>609</v>
      </c>
      <c r="M274" s="16"/>
      <c r="N274" s="16" t="s">
        <v>697</v>
      </c>
      <c r="O274" s="7" t="n">
        <f aca="false">IF(OR(E274="Closed Won",E274="Closed Lost"),0,1)</f>
        <v>0</v>
      </c>
      <c r="P274" s="17" t="str">
        <f aca="false">INDEX(Accounts!$K$5:$K$336,MATCH(B274,Accounts!$A$5:$A$336,0))</f>
        <v>Financial Services</v>
      </c>
      <c r="Q274" s="17" t="str">
        <f aca="false">INDEX(Accounts!$D$5:$D$336,MATCH(B274,Accounts!$A$5:$A$336,0))</f>
        <v>Standard</v>
      </c>
      <c r="R274" s="7" t="n">
        <f aca="false">INDEX(Inputs!$B$11:$B$16,MATCH(E274,Inputs!$A$11:$A$16,0))</f>
        <v>0</v>
      </c>
      <c r="S274" s="27" t="n">
        <f aca="false">IF(F274="",0,F274)*R274/100</f>
        <v>0</v>
      </c>
      <c r="T274" s="7" t="n">
        <f aca="false">Inputs!$B$4-J274</f>
        <v>144</v>
      </c>
      <c r="U274" s="7" t="n">
        <f aca="false">IF(OR(F274="",F274=0),1,0)</f>
        <v>0</v>
      </c>
      <c r="V274" s="7" t="n">
        <f aca="false">IF(K274="",1,0)</f>
        <v>0</v>
      </c>
      <c r="W274" s="7" t="n">
        <f aca="false">IF(AND(O274=1,K274&lt;&gt;"",COUNTIFS(Owners!$A$5:$A$32,K274,Owners!$E$5:$E$32,"No")&gt;0),1,0)</f>
        <v>0</v>
      </c>
      <c r="X274" s="7" t="n">
        <f aca="false">IF(AND(O274=1,I274&lt;Inputs!$B$4),1,0)</f>
        <v>0</v>
      </c>
      <c r="Y274" s="7" t="n">
        <f aca="false">IF(AND(O274=1,T274&gt;Inputs!$B$5),1,0)</f>
        <v>0</v>
      </c>
      <c r="Z274" s="7" t="n">
        <f aca="false">IF(AND(O274=1,G274&lt;&gt;R274),1,0)</f>
        <v>0</v>
      </c>
      <c r="AA274" s="7" t="n">
        <f aca="false">IF(AND(O274=1,M274=""),1,0)</f>
        <v>0</v>
      </c>
      <c r="AB274" s="7" t="n">
        <f aca="false">IF(AND(E274="Closed Lost",N274=""),1,0)</f>
        <v>0</v>
      </c>
      <c r="AC274" s="7" t="n">
        <f aca="false">SUM(U274:AB274)</f>
        <v>0</v>
      </c>
      <c r="AD274" s="7" t="n">
        <f aca="false">IF(AC274=0,1,0)</f>
        <v>1</v>
      </c>
      <c r="AE274" s="7" t="n">
        <f aca="false">IF(AND(O274=1,I274&gt;=Inputs!$B$6,I274&lt;=Inputs!$B$7),1,0)</f>
        <v>0</v>
      </c>
      <c r="AF274" s="7" t="n">
        <f aca="false">IF(AND(E274="Closed Won",I274&gt;=Inputs!$B$6,I274&lt;=Inputs!$B$4),1,0)</f>
        <v>0</v>
      </c>
      <c r="AG274" s="7" t="n">
        <f aca="false">IF(AND(O274=0,I274&gt;Inputs!$B$4-Inputs!$B$8,I274&lt;=Inputs!$B$4),1,0)</f>
        <v>1</v>
      </c>
      <c r="AH274" s="7" t="n">
        <f aca="false">I274-H274</f>
        <v>170</v>
      </c>
    </row>
    <row r="275" customFormat="false" ht="15" hidden="false" customHeight="false" outlineLevel="0" collapsed="false">
      <c r="A275" s="16" t="s">
        <v>1225</v>
      </c>
      <c r="B275" s="16" t="s">
        <v>220</v>
      </c>
      <c r="C275" s="16" t="s">
        <v>1226</v>
      </c>
      <c r="D275" s="16" t="s">
        <v>165</v>
      </c>
      <c r="E275" s="16" t="s">
        <v>528</v>
      </c>
      <c r="F275" s="26" t="n">
        <v>41332000</v>
      </c>
      <c r="G275" s="25" t="n">
        <v>50</v>
      </c>
      <c r="H275" s="22" t="n">
        <v>46232</v>
      </c>
      <c r="I275" s="22" t="n">
        <v>46382</v>
      </c>
      <c r="J275" s="22" t="n">
        <v>46290</v>
      </c>
      <c r="K275" s="16" t="s">
        <v>880</v>
      </c>
      <c r="L275" s="16" t="s">
        <v>584</v>
      </c>
      <c r="M275" s="16" t="s">
        <v>601</v>
      </c>
      <c r="N275" s="16"/>
      <c r="O275" s="7" t="n">
        <f aca="false">IF(OR(E275="Closed Won",E275="Closed Lost"),0,1)</f>
        <v>1</v>
      </c>
      <c r="P275" s="17" t="str">
        <f aca="false">INDEX(Accounts!$K$5:$K$336,MATCH(B275,Accounts!$A$5:$A$336,0))</f>
        <v>Consumer &amp; Retail</v>
      </c>
      <c r="Q275" s="17" t="str">
        <f aca="false">INDEX(Accounts!$D$5:$D$336,MATCH(B275,Accounts!$A$5:$A$336,0))</f>
        <v>Key</v>
      </c>
      <c r="R275" s="7" t="n">
        <f aca="false">INDEX(Inputs!$B$11:$B$16,MATCH(E275,Inputs!$A$11:$A$16,0))</f>
        <v>50</v>
      </c>
      <c r="S275" s="27" t="n">
        <f aca="false">IF(F275="",0,F275)*R275/100</f>
        <v>20666000</v>
      </c>
      <c r="T275" s="7" t="n">
        <f aca="false">Inputs!$B$4-J275</f>
        <v>24</v>
      </c>
      <c r="U275" s="7" t="n">
        <f aca="false">IF(OR(F275="",F275=0),1,0)</f>
        <v>0</v>
      </c>
      <c r="V275" s="7" t="n">
        <f aca="false">IF(K275="",1,0)</f>
        <v>0</v>
      </c>
      <c r="W275" s="7" t="n">
        <f aca="false">IF(AND(O275=1,K275&lt;&gt;"",COUNTIFS(Owners!$A$5:$A$32,K275,Owners!$E$5:$E$32,"No")&gt;0),1,0)</f>
        <v>1</v>
      </c>
      <c r="X275" s="7" t="n">
        <f aca="false">IF(AND(O275=1,I275&lt;Inputs!$B$4),1,0)</f>
        <v>0</v>
      </c>
      <c r="Y275" s="7" t="n">
        <f aca="false">IF(AND(O275=1,T275&gt;Inputs!$B$5),1,0)</f>
        <v>0</v>
      </c>
      <c r="Z275" s="7" t="n">
        <f aca="false">IF(AND(O275=1,G275&lt;&gt;R275),1,0)</f>
        <v>0</v>
      </c>
      <c r="AA275" s="7" t="n">
        <f aca="false">IF(AND(O275=1,M275=""),1,0)</f>
        <v>0</v>
      </c>
      <c r="AB275" s="7" t="n">
        <f aca="false">IF(AND(E275="Closed Lost",N275=""),1,0)</f>
        <v>0</v>
      </c>
      <c r="AC275" s="7" t="n">
        <f aca="false">SUM(U275:AB275)</f>
        <v>1</v>
      </c>
      <c r="AD275" s="7" t="n">
        <f aca="false">IF(AC275=0,1,0)</f>
        <v>0</v>
      </c>
      <c r="AE275" s="7" t="n">
        <f aca="false">IF(AND(O275=1,I275&gt;=Inputs!$B$6,I275&lt;=Inputs!$B$7),1,0)</f>
        <v>1</v>
      </c>
      <c r="AF275" s="7" t="n">
        <f aca="false">IF(AND(E275="Closed Won",I275&gt;=Inputs!$B$6,I275&lt;=Inputs!$B$4),1,0)</f>
        <v>0</v>
      </c>
      <c r="AG275" s="7" t="n">
        <f aca="false">IF(AND(O275=0,I275&gt;Inputs!$B$4-Inputs!$B$8,I275&lt;=Inputs!$B$4),1,0)</f>
        <v>0</v>
      </c>
      <c r="AH275" s="7" t="n">
        <f aca="false">I275-H275</f>
        <v>150</v>
      </c>
    </row>
    <row r="276" customFormat="false" ht="15" hidden="false" customHeight="false" outlineLevel="0" collapsed="false">
      <c r="A276" s="16" t="s">
        <v>1227</v>
      </c>
      <c r="B276" s="16" t="s">
        <v>252</v>
      </c>
      <c r="C276" s="16" t="s">
        <v>1228</v>
      </c>
      <c r="D276" s="16" t="s">
        <v>167</v>
      </c>
      <c r="E276" s="16" t="s">
        <v>527</v>
      </c>
      <c r="F276" s="26" t="n">
        <v>18488000</v>
      </c>
      <c r="G276" s="25" t="n">
        <v>25</v>
      </c>
      <c r="H276" s="22" t="n">
        <v>46248</v>
      </c>
      <c r="I276" s="22" t="n">
        <v>46531</v>
      </c>
      <c r="J276" s="22" t="n">
        <v>46296</v>
      </c>
      <c r="K276" s="16" t="s">
        <v>663</v>
      </c>
      <c r="L276" s="16" t="s">
        <v>609</v>
      </c>
      <c r="M276" s="16" t="s">
        <v>601</v>
      </c>
      <c r="N276" s="16"/>
      <c r="O276" s="7" t="n">
        <f aca="false">IF(OR(E276="Closed Won",E276="Closed Lost"),0,1)</f>
        <v>1</v>
      </c>
      <c r="P276" s="17" t="str">
        <f aca="false">INDEX(Accounts!$K$5:$K$336,MATCH(B276,Accounts!$A$5:$A$336,0))</f>
        <v>Financial Services</v>
      </c>
      <c r="Q276" s="17" t="str">
        <f aca="false">INDEX(Accounts!$D$5:$D$336,MATCH(B276,Accounts!$A$5:$A$336,0))</f>
        <v>Key</v>
      </c>
      <c r="R276" s="7" t="n">
        <f aca="false">INDEX(Inputs!$B$11:$B$16,MATCH(E276,Inputs!$A$11:$A$16,0))</f>
        <v>25</v>
      </c>
      <c r="S276" s="27" t="n">
        <f aca="false">IF(F276="",0,F276)*R276/100</f>
        <v>4622000</v>
      </c>
      <c r="T276" s="7" t="n">
        <f aca="false">Inputs!$B$4-J276</f>
        <v>18</v>
      </c>
      <c r="U276" s="7" t="n">
        <f aca="false">IF(OR(F276="",F276=0),1,0)</f>
        <v>0</v>
      </c>
      <c r="V276" s="7" t="n">
        <f aca="false">IF(K276="",1,0)</f>
        <v>0</v>
      </c>
      <c r="W276" s="7" t="n">
        <f aca="false">IF(AND(O276=1,K276&lt;&gt;"",COUNTIFS(Owners!$A$5:$A$32,K276,Owners!$E$5:$E$32,"No")&gt;0),1,0)</f>
        <v>0</v>
      </c>
      <c r="X276" s="7" t="n">
        <f aca="false">IF(AND(O276=1,I276&lt;Inputs!$B$4),1,0)</f>
        <v>0</v>
      </c>
      <c r="Y276" s="7" t="n">
        <f aca="false">IF(AND(O276=1,T276&gt;Inputs!$B$5),1,0)</f>
        <v>0</v>
      </c>
      <c r="Z276" s="7" t="n">
        <f aca="false">IF(AND(O276=1,G276&lt;&gt;R276),1,0)</f>
        <v>0</v>
      </c>
      <c r="AA276" s="7" t="n">
        <f aca="false">IF(AND(O276=1,M276=""),1,0)</f>
        <v>0</v>
      </c>
      <c r="AB276" s="7" t="n">
        <f aca="false">IF(AND(E276="Closed Lost",N276=""),1,0)</f>
        <v>0</v>
      </c>
      <c r="AC276" s="7" t="n">
        <f aca="false">SUM(U276:AB276)</f>
        <v>0</v>
      </c>
      <c r="AD276" s="7" t="n">
        <f aca="false">IF(AC276=0,1,0)</f>
        <v>1</v>
      </c>
      <c r="AE276" s="7" t="n">
        <f aca="false">IF(AND(O276=1,I276&gt;=Inputs!$B$6,I276&lt;=Inputs!$B$7),1,0)</f>
        <v>1</v>
      </c>
      <c r="AF276" s="7" t="n">
        <f aca="false">IF(AND(E276="Closed Won",I276&gt;=Inputs!$B$6,I276&lt;=Inputs!$B$4),1,0)</f>
        <v>0</v>
      </c>
      <c r="AG276" s="7" t="n">
        <f aca="false">IF(AND(O276=0,I276&gt;Inputs!$B$4-Inputs!$B$8,I276&lt;=Inputs!$B$4),1,0)</f>
        <v>0</v>
      </c>
      <c r="AH276" s="7" t="n">
        <f aca="false">I276-H276</f>
        <v>283</v>
      </c>
    </row>
    <row r="277" customFormat="false" ht="15" hidden="false" customHeight="false" outlineLevel="0" collapsed="false">
      <c r="A277" s="16" t="s">
        <v>1229</v>
      </c>
      <c r="B277" s="16" t="s">
        <v>87</v>
      </c>
      <c r="C277" s="16" t="s">
        <v>950</v>
      </c>
      <c r="D277" s="16" t="s">
        <v>162</v>
      </c>
      <c r="E277" s="16" t="s">
        <v>531</v>
      </c>
      <c r="F277" s="26" t="n">
        <v>17620000</v>
      </c>
      <c r="G277" s="25" t="n">
        <v>0</v>
      </c>
      <c r="H277" s="22" t="n">
        <v>46044</v>
      </c>
      <c r="I277" s="22" t="n">
        <v>46307</v>
      </c>
      <c r="J277" s="22" t="n">
        <v>46307</v>
      </c>
      <c r="K277" s="16" t="s">
        <v>640</v>
      </c>
      <c r="L277" s="16" t="s">
        <v>609</v>
      </c>
      <c r="M277" s="16"/>
      <c r="N277" s="16" t="s">
        <v>579</v>
      </c>
      <c r="O277" s="7" t="n">
        <f aca="false">IF(OR(E277="Closed Won",E277="Closed Lost"),0,1)</f>
        <v>0</v>
      </c>
      <c r="P277" s="17" t="str">
        <f aca="false">INDEX(Accounts!$K$5:$K$336,MATCH(B277,Accounts!$A$5:$A$336,0))</f>
        <v>Unassigned</v>
      </c>
      <c r="Q277" s="17" t="str">
        <f aca="false">INDEX(Accounts!$D$5:$D$336,MATCH(B277,Accounts!$A$5:$A$336,0))</f>
        <v>Priority</v>
      </c>
      <c r="R277" s="7" t="n">
        <f aca="false">INDEX(Inputs!$B$11:$B$16,MATCH(E277,Inputs!$A$11:$A$16,0))</f>
        <v>0</v>
      </c>
      <c r="S277" s="27" t="n">
        <f aca="false">IF(F277="",0,F277)*R277/100</f>
        <v>0</v>
      </c>
      <c r="T277" s="7" t="n">
        <f aca="false">Inputs!$B$4-J277</f>
        <v>7</v>
      </c>
      <c r="U277" s="7" t="n">
        <f aca="false">IF(OR(F277="",F277=0),1,0)</f>
        <v>0</v>
      </c>
      <c r="V277" s="7" t="n">
        <f aca="false">IF(K277="",1,0)</f>
        <v>0</v>
      </c>
      <c r="W277" s="7" t="n">
        <f aca="false">IF(AND(O277=1,K277&lt;&gt;"",COUNTIFS(Owners!$A$5:$A$32,K277,Owners!$E$5:$E$32,"No")&gt;0),1,0)</f>
        <v>0</v>
      </c>
      <c r="X277" s="7" t="n">
        <f aca="false">IF(AND(O277=1,I277&lt;Inputs!$B$4),1,0)</f>
        <v>0</v>
      </c>
      <c r="Y277" s="7" t="n">
        <f aca="false">IF(AND(O277=1,T277&gt;Inputs!$B$5),1,0)</f>
        <v>0</v>
      </c>
      <c r="Z277" s="7" t="n">
        <f aca="false">IF(AND(O277=1,G277&lt;&gt;R277),1,0)</f>
        <v>0</v>
      </c>
      <c r="AA277" s="7" t="n">
        <f aca="false">IF(AND(O277=1,M277=""),1,0)</f>
        <v>0</v>
      </c>
      <c r="AB277" s="7" t="n">
        <f aca="false">IF(AND(E277="Closed Lost",N277=""),1,0)</f>
        <v>0</v>
      </c>
      <c r="AC277" s="7" t="n">
        <f aca="false">SUM(U277:AB277)</f>
        <v>0</v>
      </c>
      <c r="AD277" s="7" t="n">
        <f aca="false">IF(AC277=0,1,0)</f>
        <v>1</v>
      </c>
      <c r="AE277" s="7" t="n">
        <f aca="false">IF(AND(O277=1,I277&gt;=Inputs!$B$6,I277&lt;=Inputs!$B$7),1,0)</f>
        <v>0</v>
      </c>
      <c r="AF277" s="7" t="n">
        <f aca="false">IF(AND(E277="Closed Won",I277&gt;=Inputs!$B$6,I277&lt;=Inputs!$B$4),1,0)</f>
        <v>0</v>
      </c>
      <c r="AG277" s="7" t="n">
        <f aca="false">IF(AND(O277=0,I277&gt;Inputs!$B$4-Inputs!$B$8,I277&lt;=Inputs!$B$4),1,0)</f>
        <v>1</v>
      </c>
      <c r="AH277" s="7" t="n">
        <f aca="false">I277-H277</f>
        <v>263</v>
      </c>
    </row>
    <row r="278" customFormat="false" ht="15" hidden="false" customHeight="false" outlineLevel="0" collapsed="false">
      <c r="A278" s="16" t="s">
        <v>1230</v>
      </c>
      <c r="B278" s="16" t="s">
        <v>273</v>
      </c>
      <c r="C278" s="16" t="s">
        <v>1231</v>
      </c>
      <c r="D278" s="16" t="s">
        <v>162</v>
      </c>
      <c r="E278" s="16" t="s">
        <v>527</v>
      </c>
      <c r="F278" s="26" t="n">
        <v>18465000</v>
      </c>
      <c r="G278" s="25" t="n">
        <v>25</v>
      </c>
      <c r="H278" s="22" t="n">
        <v>46306</v>
      </c>
      <c r="I278" s="22" t="n">
        <v>46377</v>
      </c>
      <c r="J278" s="22" t="n">
        <v>46220</v>
      </c>
      <c r="K278" s="16" t="s">
        <v>831</v>
      </c>
      <c r="L278" s="16" t="s">
        <v>568</v>
      </c>
      <c r="M278" s="16" t="s">
        <v>569</v>
      </c>
      <c r="N278" s="16"/>
      <c r="O278" s="7" t="n">
        <f aca="false">IF(OR(E278="Closed Won",E278="Closed Lost"),0,1)</f>
        <v>1</v>
      </c>
      <c r="P278" s="17" t="str">
        <f aca="false">INDEX(Accounts!$K$5:$K$336,MATCH(B278,Accounts!$A$5:$A$336,0))</f>
        <v>Financial Services</v>
      </c>
      <c r="Q278" s="17" t="str">
        <f aca="false">INDEX(Accounts!$D$5:$D$336,MATCH(B278,Accounts!$A$5:$A$336,0))</f>
        <v>Key</v>
      </c>
      <c r="R278" s="7" t="n">
        <f aca="false">INDEX(Inputs!$B$11:$B$16,MATCH(E278,Inputs!$A$11:$A$16,0))</f>
        <v>25</v>
      </c>
      <c r="S278" s="27" t="n">
        <f aca="false">IF(F278="",0,F278)*R278/100</f>
        <v>4616250</v>
      </c>
      <c r="T278" s="7" t="n">
        <f aca="false">Inputs!$B$4-J278</f>
        <v>94</v>
      </c>
      <c r="U278" s="7" t="n">
        <f aca="false">IF(OR(F278="",F278=0),1,0)</f>
        <v>0</v>
      </c>
      <c r="V278" s="7" t="n">
        <f aca="false">IF(K278="",1,0)</f>
        <v>0</v>
      </c>
      <c r="W278" s="7" t="n">
        <f aca="false">IF(AND(O278=1,K278&lt;&gt;"",COUNTIFS(Owners!$A$5:$A$32,K278,Owners!$E$5:$E$32,"No")&gt;0),1,0)</f>
        <v>0</v>
      </c>
      <c r="X278" s="7" t="n">
        <f aca="false">IF(AND(O278=1,I278&lt;Inputs!$B$4),1,0)</f>
        <v>0</v>
      </c>
      <c r="Y278" s="7" t="n">
        <f aca="false">IF(AND(O278=1,T278&gt;Inputs!$B$5),1,0)</f>
        <v>1</v>
      </c>
      <c r="Z278" s="7" t="n">
        <f aca="false">IF(AND(O278=1,G278&lt;&gt;R278),1,0)</f>
        <v>0</v>
      </c>
      <c r="AA278" s="7" t="n">
        <f aca="false">IF(AND(O278=1,M278=""),1,0)</f>
        <v>0</v>
      </c>
      <c r="AB278" s="7" t="n">
        <f aca="false">IF(AND(E278="Closed Lost",N278=""),1,0)</f>
        <v>0</v>
      </c>
      <c r="AC278" s="7" t="n">
        <f aca="false">SUM(U278:AB278)</f>
        <v>1</v>
      </c>
      <c r="AD278" s="7" t="n">
        <f aca="false">IF(AC278=0,1,0)</f>
        <v>0</v>
      </c>
      <c r="AE278" s="7" t="n">
        <f aca="false">IF(AND(O278=1,I278&gt;=Inputs!$B$6,I278&lt;=Inputs!$B$7),1,0)</f>
        <v>1</v>
      </c>
      <c r="AF278" s="7" t="n">
        <f aca="false">IF(AND(E278="Closed Won",I278&gt;=Inputs!$B$6,I278&lt;=Inputs!$B$4),1,0)</f>
        <v>0</v>
      </c>
      <c r="AG278" s="7" t="n">
        <f aca="false">IF(AND(O278=0,I278&gt;Inputs!$B$4-Inputs!$B$8,I278&lt;=Inputs!$B$4),1,0)</f>
        <v>0</v>
      </c>
      <c r="AH278" s="7" t="n">
        <f aca="false">I278-H278</f>
        <v>71</v>
      </c>
    </row>
    <row r="279" customFormat="false" ht="15" hidden="false" customHeight="false" outlineLevel="0" collapsed="false">
      <c r="A279" s="16" t="s">
        <v>1232</v>
      </c>
      <c r="B279" s="16" t="s">
        <v>68</v>
      </c>
      <c r="C279" s="16" t="s">
        <v>1233</v>
      </c>
      <c r="D279" s="16" t="s">
        <v>165</v>
      </c>
      <c r="E279" s="16" t="s">
        <v>531</v>
      </c>
      <c r="F279" s="26" t="n">
        <v>7291000</v>
      </c>
      <c r="G279" s="25" t="n">
        <v>0</v>
      </c>
      <c r="H279" s="22" t="n">
        <v>46129</v>
      </c>
      <c r="I279" s="22" t="n">
        <v>46252</v>
      </c>
      <c r="J279" s="22" t="n">
        <v>46252</v>
      </c>
      <c r="K279" s="16" t="s">
        <v>677</v>
      </c>
      <c r="L279" s="16" t="s">
        <v>568</v>
      </c>
      <c r="M279" s="16"/>
      <c r="N279" s="16" t="s">
        <v>579</v>
      </c>
      <c r="O279" s="7" t="n">
        <f aca="false">IF(OR(E279="Closed Won",E279="Closed Lost"),0,1)</f>
        <v>0</v>
      </c>
      <c r="P279" s="17" t="str">
        <f aca="false">INDEX(Accounts!$K$5:$K$336,MATCH(B279,Accounts!$A$5:$A$336,0))</f>
        <v>Financial Services</v>
      </c>
      <c r="Q279" s="17" t="str">
        <f aca="false">INDEX(Accounts!$D$5:$D$336,MATCH(B279,Accounts!$A$5:$A$336,0))</f>
        <v>Priority</v>
      </c>
      <c r="R279" s="7" t="n">
        <f aca="false">INDEX(Inputs!$B$11:$B$16,MATCH(E279,Inputs!$A$11:$A$16,0))</f>
        <v>0</v>
      </c>
      <c r="S279" s="27" t="n">
        <f aca="false">IF(F279="",0,F279)*R279/100</f>
        <v>0</v>
      </c>
      <c r="T279" s="7" t="n">
        <f aca="false">Inputs!$B$4-J279</f>
        <v>62</v>
      </c>
      <c r="U279" s="7" t="n">
        <f aca="false">IF(OR(F279="",F279=0),1,0)</f>
        <v>0</v>
      </c>
      <c r="V279" s="7" t="n">
        <f aca="false">IF(K279="",1,0)</f>
        <v>0</v>
      </c>
      <c r="W279" s="7" t="n">
        <f aca="false">IF(AND(O279=1,K279&lt;&gt;"",COUNTIFS(Owners!$A$5:$A$32,K279,Owners!$E$5:$E$32,"No")&gt;0),1,0)</f>
        <v>0</v>
      </c>
      <c r="X279" s="7" t="n">
        <f aca="false">IF(AND(O279=1,I279&lt;Inputs!$B$4),1,0)</f>
        <v>0</v>
      </c>
      <c r="Y279" s="7" t="n">
        <f aca="false">IF(AND(O279=1,T279&gt;Inputs!$B$5),1,0)</f>
        <v>0</v>
      </c>
      <c r="Z279" s="7" t="n">
        <f aca="false">IF(AND(O279=1,G279&lt;&gt;R279),1,0)</f>
        <v>0</v>
      </c>
      <c r="AA279" s="7" t="n">
        <f aca="false">IF(AND(O279=1,M279=""),1,0)</f>
        <v>0</v>
      </c>
      <c r="AB279" s="7" t="n">
        <f aca="false">IF(AND(E279="Closed Lost",N279=""),1,0)</f>
        <v>0</v>
      </c>
      <c r="AC279" s="7" t="n">
        <f aca="false">SUM(U279:AB279)</f>
        <v>0</v>
      </c>
      <c r="AD279" s="7" t="n">
        <f aca="false">IF(AC279=0,1,0)</f>
        <v>1</v>
      </c>
      <c r="AE279" s="7" t="n">
        <f aca="false">IF(AND(O279=1,I279&gt;=Inputs!$B$6,I279&lt;=Inputs!$B$7),1,0)</f>
        <v>0</v>
      </c>
      <c r="AF279" s="7" t="n">
        <f aca="false">IF(AND(E279="Closed Won",I279&gt;=Inputs!$B$6,I279&lt;=Inputs!$B$4),1,0)</f>
        <v>0</v>
      </c>
      <c r="AG279" s="7" t="n">
        <f aca="false">IF(AND(O279=0,I279&gt;Inputs!$B$4-Inputs!$B$8,I279&lt;=Inputs!$B$4),1,0)</f>
        <v>1</v>
      </c>
      <c r="AH279" s="7" t="n">
        <f aca="false">I279-H279</f>
        <v>123</v>
      </c>
    </row>
    <row r="280" customFormat="false" ht="15" hidden="false" customHeight="false" outlineLevel="0" collapsed="false">
      <c r="A280" s="16" t="s">
        <v>1234</v>
      </c>
      <c r="B280" s="16" t="s">
        <v>363</v>
      </c>
      <c r="C280" s="16" t="s">
        <v>1235</v>
      </c>
      <c r="D280" s="16" t="s">
        <v>162</v>
      </c>
      <c r="E280" s="16" t="s">
        <v>530</v>
      </c>
      <c r="F280" s="26" t="n">
        <v>10071000</v>
      </c>
      <c r="G280" s="25" t="n">
        <v>100</v>
      </c>
      <c r="H280" s="22" t="n">
        <v>45983</v>
      </c>
      <c r="I280" s="22" t="n">
        <v>46143</v>
      </c>
      <c r="J280" s="22" t="n">
        <v>46143</v>
      </c>
      <c r="K280" s="16" t="s">
        <v>677</v>
      </c>
      <c r="L280" s="16" t="s">
        <v>592</v>
      </c>
      <c r="M280" s="16"/>
      <c r="N280" s="16"/>
      <c r="O280" s="7" t="n">
        <f aca="false">IF(OR(E280="Closed Won",E280="Closed Lost"),0,1)</f>
        <v>0</v>
      </c>
      <c r="P280" s="17" t="str">
        <f aca="false">INDEX(Accounts!$K$5:$K$336,MATCH(B280,Accounts!$A$5:$A$336,0))</f>
        <v>Technology, Media &amp; Telecom</v>
      </c>
      <c r="Q280" s="17" t="str">
        <f aca="false">INDEX(Accounts!$D$5:$D$336,MATCH(B280,Accounts!$A$5:$A$336,0))</f>
        <v>Key</v>
      </c>
      <c r="R280" s="7" t="n">
        <f aca="false">INDEX(Inputs!$B$11:$B$16,MATCH(E280,Inputs!$A$11:$A$16,0))</f>
        <v>100</v>
      </c>
      <c r="S280" s="27" t="n">
        <f aca="false">IF(F280="",0,F280)*R280/100</f>
        <v>10071000</v>
      </c>
      <c r="T280" s="7" t="n">
        <f aca="false">Inputs!$B$4-J280</f>
        <v>171</v>
      </c>
      <c r="U280" s="7" t="n">
        <f aca="false">IF(OR(F280="",F280=0),1,0)</f>
        <v>0</v>
      </c>
      <c r="V280" s="7" t="n">
        <f aca="false">IF(K280="",1,0)</f>
        <v>0</v>
      </c>
      <c r="W280" s="7" t="n">
        <f aca="false">IF(AND(O280=1,K280&lt;&gt;"",COUNTIFS(Owners!$A$5:$A$32,K280,Owners!$E$5:$E$32,"No")&gt;0),1,0)</f>
        <v>0</v>
      </c>
      <c r="X280" s="7" t="n">
        <f aca="false">IF(AND(O280=1,I280&lt;Inputs!$B$4),1,0)</f>
        <v>0</v>
      </c>
      <c r="Y280" s="7" t="n">
        <f aca="false">IF(AND(O280=1,T280&gt;Inputs!$B$5),1,0)</f>
        <v>0</v>
      </c>
      <c r="Z280" s="7" t="n">
        <f aca="false">IF(AND(O280=1,G280&lt;&gt;R280),1,0)</f>
        <v>0</v>
      </c>
      <c r="AA280" s="7" t="n">
        <f aca="false">IF(AND(O280=1,M280=""),1,0)</f>
        <v>0</v>
      </c>
      <c r="AB280" s="7" t="n">
        <f aca="false">IF(AND(E280="Closed Lost",N280=""),1,0)</f>
        <v>0</v>
      </c>
      <c r="AC280" s="7" t="n">
        <f aca="false">SUM(U280:AB280)</f>
        <v>0</v>
      </c>
      <c r="AD280" s="7" t="n">
        <f aca="false">IF(AC280=0,1,0)</f>
        <v>1</v>
      </c>
      <c r="AE280" s="7" t="n">
        <f aca="false">IF(AND(O280=1,I280&gt;=Inputs!$B$6,I280&lt;=Inputs!$B$7),1,0)</f>
        <v>0</v>
      </c>
      <c r="AF280" s="7" t="n">
        <f aca="false">IF(AND(E280="Closed Won",I280&gt;=Inputs!$B$6,I280&lt;=Inputs!$B$4),1,0)</f>
        <v>0</v>
      </c>
      <c r="AG280" s="7" t="n">
        <f aca="false">IF(AND(O280=0,I280&gt;Inputs!$B$4-Inputs!$B$8,I280&lt;=Inputs!$B$4),1,0)</f>
        <v>1</v>
      </c>
      <c r="AH280" s="7" t="n">
        <f aca="false">I280-H280</f>
        <v>160</v>
      </c>
    </row>
    <row r="281" customFormat="false" ht="15" hidden="false" customHeight="false" outlineLevel="0" collapsed="false">
      <c r="A281" s="16" t="s">
        <v>1236</v>
      </c>
      <c r="B281" s="16" t="s">
        <v>96</v>
      </c>
      <c r="C281" s="16" t="s">
        <v>1237</v>
      </c>
      <c r="D281" s="16" t="s">
        <v>165</v>
      </c>
      <c r="E281" s="16" t="s">
        <v>530</v>
      </c>
      <c r="F281" s="26" t="n">
        <v>4304000</v>
      </c>
      <c r="G281" s="25" t="n">
        <v>100</v>
      </c>
      <c r="H281" s="22" t="n">
        <v>45963</v>
      </c>
      <c r="I281" s="22" t="n">
        <v>46066</v>
      </c>
      <c r="J281" s="22" t="n">
        <v>46066</v>
      </c>
      <c r="K281" s="16" t="s">
        <v>637</v>
      </c>
      <c r="L281" s="16" t="s">
        <v>609</v>
      </c>
      <c r="M281" s="16"/>
      <c r="N281" s="16"/>
      <c r="O281" s="7" t="n">
        <f aca="false">IF(OR(E281="Closed Won",E281="Closed Lost"),0,1)</f>
        <v>0</v>
      </c>
      <c r="P281" s="17" t="str">
        <f aca="false">INDEX(Accounts!$K$5:$K$336,MATCH(B281,Accounts!$A$5:$A$336,0))</f>
        <v>Financial Services</v>
      </c>
      <c r="Q281" s="17" t="str">
        <f aca="false">INDEX(Accounts!$D$5:$D$336,MATCH(B281,Accounts!$A$5:$A$336,0))</f>
        <v>Priority</v>
      </c>
      <c r="R281" s="7" t="n">
        <f aca="false">INDEX(Inputs!$B$11:$B$16,MATCH(E281,Inputs!$A$11:$A$16,0))</f>
        <v>100</v>
      </c>
      <c r="S281" s="27" t="n">
        <f aca="false">IF(F281="",0,F281)*R281/100</f>
        <v>4304000</v>
      </c>
      <c r="T281" s="7" t="n">
        <f aca="false">Inputs!$B$4-J281</f>
        <v>248</v>
      </c>
      <c r="U281" s="7" t="n">
        <f aca="false">IF(OR(F281="",F281=0),1,0)</f>
        <v>0</v>
      </c>
      <c r="V281" s="7" t="n">
        <f aca="false">IF(K281="",1,0)</f>
        <v>0</v>
      </c>
      <c r="W281" s="7" t="n">
        <f aca="false">IF(AND(O281=1,K281&lt;&gt;"",COUNTIFS(Owners!$A$5:$A$32,K281,Owners!$E$5:$E$32,"No")&gt;0),1,0)</f>
        <v>0</v>
      </c>
      <c r="X281" s="7" t="n">
        <f aca="false">IF(AND(O281=1,I281&lt;Inputs!$B$4),1,0)</f>
        <v>0</v>
      </c>
      <c r="Y281" s="7" t="n">
        <f aca="false">IF(AND(O281=1,T281&gt;Inputs!$B$5),1,0)</f>
        <v>0</v>
      </c>
      <c r="Z281" s="7" t="n">
        <f aca="false">IF(AND(O281=1,G281&lt;&gt;R281),1,0)</f>
        <v>0</v>
      </c>
      <c r="AA281" s="7" t="n">
        <f aca="false">IF(AND(O281=1,M281=""),1,0)</f>
        <v>0</v>
      </c>
      <c r="AB281" s="7" t="n">
        <f aca="false">IF(AND(E281="Closed Lost",N281=""),1,0)</f>
        <v>0</v>
      </c>
      <c r="AC281" s="7" t="n">
        <f aca="false">SUM(U281:AB281)</f>
        <v>0</v>
      </c>
      <c r="AD281" s="7" t="n">
        <f aca="false">IF(AC281=0,1,0)</f>
        <v>1</v>
      </c>
      <c r="AE281" s="7" t="n">
        <f aca="false">IF(AND(O281=1,I281&gt;=Inputs!$B$6,I281&lt;=Inputs!$B$7),1,0)</f>
        <v>0</v>
      </c>
      <c r="AF281" s="7" t="n">
        <f aca="false">IF(AND(E281="Closed Won",I281&gt;=Inputs!$B$6,I281&lt;=Inputs!$B$4),1,0)</f>
        <v>0</v>
      </c>
      <c r="AG281" s="7" t="n">
        <f aca="false">IF(AND(O281=0,I281&gt;Inputs!$B$4-Inputs!$B$8,I281&lt;=Inputs!$B$4),1,0)</f>
        <v>1</v>
      </c>
      <c r="AH281" s="7" t="n">
        <f aca="false">I281-H281</f>
        <v>103</v>
      </c>
    </row>
    <row r="282" customFormat="false" ht="15" hidden="false" customHeight="false" outlineLevel="0" collapsed="false">
      <c r="A282" s="16" t="s">
        <v>1238</v>
      </c>
      <c r="B282" s="16" t="s">
        <v>699</v>
      </c>
      <c r="C282" s="16" t="s">
        <v>1239</v>
      </c>
      <c r="D282" s="16" t="s">
        <v>158</v>
      </c>
      <c r="E282" s="16" t="s">
        <v>527</v>
      </c>
      <c r="F282" s="26" t="n">
        <v>5300000</v>
      </c>
      <c r="G282" s="25" t="n">
        <v>25</v>
      </c>
      <c r="H282" s="22" t="n">
        <v>46162</v>
      </c>
      <c r="I282" s="22" t="n">
        <v>46502</v>
      </c>
      <c r="J282" s="22" t="n">
        <v>46300</v>
      </c>
      <c r="K282" s="16" t="s">
        <v>685</v>
      </c>
      <c r="L282" s="16" t="s">
        <v>609</v>
      </c>
      <c r="M282" s="16" t="s">
        <v>601</v>
      </c>
      <c r="N282" s="16"/>
      <c r="O282" s="7" t="n">
        <f aca="false">IF(OR(E282="Closed Won",E282="Closed Lost"),0,1)</f>
        <v>1</v>
      </c>
      <c r="P282" s="17" t="str">
        <f aca="false">INDEX(Accounts!$K$5:$K$336,MATCH(B282,Accounts!$A$5:$A$336,0))</f>
        <v>Financial Services</v>
      </c>
      <c r="Q282" s="17" t="str">
        <f aca="false">INDEX(Accounts!$D$5:$D$336,MATCH(B282,Accounts!$A$5:$A$336,0))</f>
        <v>Standard</v>
      </c>
      <c r="R282" s="7" t="n">
        <f aca="false">INDEX(Inputs!$B$11:$B$16,MATCH(E282,Inputs!$A$11:$A$16,0))</f>
        <v>25</v>
      </c>
      <c r="S282" s="27" t="n">
        <f aca="false">IF(F282="",0,F282)*R282/100</f>
        <v>1325000</v>
      </c>
      <c r="T282" s="7" t="n">
        <f aca="false">Inputs!$B$4-J282</f>
        <v>14</v>
      </c>
      <c r="U282" s="7" t="n">
        <f aca="false">IF(OR(F282="",F282=0),1,0)</f>
        <v>0</v>
      </c>
      <c r="V282" s="7" t="n">
        <f aca="false">IF(K282="",1,0)</f>
        <v>0</v>
      </c>
      <c r="W282" s="7" t="n">
        <f aca="false">IF(AND(O282=1,K282&lt;&gt;"",COUNTIFS(Owners!$A$5:$A$32,K282,Owners!$E$5:$E$32,"No")&gt;0),1,0)</f>
        <v>0</v>
      </c>
      <c r="X282" s="7" t="n">
        <f aca="false">IF(AND(O282=1,I282&lt;Inputs!$B$4),1,0)</f>
        <v>0</v>
      </c>
      <c r="Y282" s="7" t="n">
        <f aca="false">IF(AND(O282=1,T282&gt;Inputs!$B$5),1,0)</f>
        <v>0</v>
      </c>
      <c r="Z282" s="7" t="n">
        <f aca="false">IF(AND(O282=1,G282&lt;&gt;R282),1,0)</f>
        <v>0</v>
      </c>
      <c r="AA282" s="7" t="n">
        <f aca="false">IF(AND(O282=1,M282=""),1,0)</f>
        <v>0</v>
      </c>
      <c r="AB282" s="7" t="n">
        <f aca="false">IF(AND(E282="Closed Lost",N282=""),1,0)</f>
        <v>0</v>
      </c>
      <c r="AC282" s="7" t="n">
        <f aca="false">SUM(U282:AB282)</f>
        <v>0</v>
      </c>
      <c r="AD282" s="7" t="n">
        <f aca="false">IF(AC282=0,1,0)</f>
        <v>1</v>
      </c>
      <c r="AE282" s="7" t="n">
        <f aca="false">IF(AND(O282=1,I282&gt;=Inputs!$B$6,I282&lt;=Inputs!$B$7),1,0)</f>
        <v>1</v>
      </c>
      <c r="AF282" s="7" t="n">
        <f aca="false">IF(AND(E282="Closed Won",I282&gt;=Inputs!$B$6,I282&lt;=Inputs!$B$4),1,0)</f>
        <v>0</v>
      </c>
      <c r="AG282" s="7" t="n">
        <f aca="false">IF(AND(O282=0,I282&gt;Inputs!$B$4-Inputs!$B$8,I282&lt;=Inputs!$B$4),1,0)</f>
        <v>0</v>
      </c>
      <c r="AH282" s="7" t="n">
        <f aca="false">I282-H282</f>
        <v>340</v>
      </c>
    </row>
    <row r="283" customFormat="false" ht="15" hidden="false" customHeight="false" outlineLevel="0" collapsed="false">
      <c r="A283" s="16" t="s">
        <v>1240</v>
      </c>
      <c r="B283" s="16" t="s">
        <v>95</v>
      </c>
      <c r="C283" s="16" t="s">
        <v>1241</v>
      </c>
      <c r="D283" s="16" t="s">
        <v>162</v>
      </c>
      <c r="E283" s="16" t="s">
        <v>531</v>
      </c>
      <c r="F283" s="26" t="n">
        <v>15805000</v>
      </c>
      <c r="G283" s="25" t="n">
        <v>0</v>
      </c>
      <c r="H283" s="22" t="n">
        <v>45952</v>
      </c>
      <c r="I283" s="22" t="n">
        <v>46191</v>
      </c>
      <c r="J283" s="22" t="n">
        <v>46191</v>
      </c>
      <c r="K283" s="16"/>
      <c r="L283" s="16" t="s">
        <v>609</v>
      </c>
      <c r="M283" s="16"/>
      <c r="N283" s="16" t="s">
        <v>722</v>
      </c>
      <c r="O283" s="7" t="n">
        <f aca="false">IF(OR(E283="Closed Won",E283="Closed Lost"),0,1)</f>
        <v>0</v>
      </c>
      <c r="P283" s="17" t="str">
        <f aca="false">INDEX(Accounts!$K$5:$K$336,MATCH(B283,Accounts!$A$5:$A$336,0))</f>
        <v>Energy &amp; Resources</v>
      </c>
      <c r="Q283" s="17" t="str">
        <f aca="false">INDEX(Accounts!$D$5:$D$336,MATCH(B283,Accounts!$A$5:$A$336,0))</f>
        <v>Priority</v>
      </c>
      <c r="R283" s="7" t="n">
        <f aca="false">INDEX(Inputs!$B$11:$B$16,MATCH(E283,Inputs!$A$11:$A$16,0))</f>
        <v>0</v>
      </c>
      <c r="S283" s="27" t="n">
        <f aca="false">IF(F283="",0,F283)*R283/100</f>
        <v>0</v>
      </c>
      <c r="T283" s="7" t="n">
        <f aca="false">Inputs!$B$4-J283</f>
        <v>123</v>
      </c>
      <c r="U283" s="7" t="n">
        <f aca="false">IF(OR(F283="",F283=0),1,0)</f>
        <v>0</v>
      </c>
      <c r="V283" s="7" t="n">
        <f aca="false">IF(K283="",1,0)</f>
        <v>1</v>
      </c>
      <c r="W283" s="7" t="n">
        <f aca="false">IF(AND(O283=1,K283&lt;&gt;"",COUNTIFS(Owners!$A$5:$A$32,K283,Owners!$E$5:$E$32,"No")&gt;0),1,0)</f>
        <v>0</v>
      </c>
      <c r="X283" s="7" t="n">
        <f aca="false">IF(AND(O283=1,I283&lt;Inputs!$B$4),1,0)</f>
        <v>0</v>
      </c>
      <c r="Y283" s="7" t="n">
        <f aca="false">IF(AND(O283=1,T283&gt;Inputs!$B$5),1,0)</f>
        <v>0</v>
      </c>
      <c r="Z283" s="7" t="n">
        <f aca="false">IF(AND(O283=1,G283&lt;&gt;R283),1,0)</f>
        <v>0</v>
      </c>
      <c r="AA283" s="7" t="n">
        <f aca="false">IF(AND(O283=1,M283=""),1,0)</f>
        <v>0</v>
      </c>
      <c r="AB283" s="7" t="n">
        <f aca="false">IF(AND(E283="Closed Lost",N283=""),1,0)</f>
        <v>0</v>
      </c>
      <c r="AC283" s="7" t="n">
        <f aca="false">SUM(U283:AB283)</f>
        <v>1</v>
      </c>
      <c r="AD283" s="7" t="n">
        <f aca="false">IF(AC283=0,1,0)</f>
        <v>0</v>
      </c>
      <c r="AE283" s="7" t="n">
        <f aca="false">IF(AND(O283=1,I283&gt;=Inputs!$B$6,I283&lt;=Inputs!$B$7),1,0)</f>
        <v>0</v>
      </c>
      <c r="AF283" s="7" t="n">
        <f aca="false">IF(AND(E283="Closed Won",I283&gt;=Inputs!$B$6,I283&lt;=Inputs!$B$4),1,0)</f>
        <v>0</v>
      </c>
      <c r="AG283" s="7" t="n">
        <f aca="false">IF(AND(O283=0,I283&gt;Inputs!$B$4-Inputs!$B$8,I283&lt;=Inputs!$B$4),1,0)</f>
        <v>1</v>
      </c>
      <c r="AH283" s="7" t="n">
        <f aca="false">I283-H283</f>
        <v>239</v>
      </c>
    </row>
    <row r="284" customFormat="false" ht="15" hidden="false" customHeight="false" outlineLevel="0" collapsed="false">
      <c r="A284" s="16" t="s">
        <v>1242</v>
      </c>
      <c r="B284" s="16" t="s">
        <v>58</v>
      </c>
      <c r="C284" s="16" t="s">
        <v>1243</v>
      </c>
      <c r="D284" s="16" t="s">
        <v>167</v>
      </c>
      <c r="E284" s="16" t="s">
        <v>531</v>
      </c>
      <c r="F284" s="26" t="n">
        <v>4219000</v>
      </c>
      <c r="G284" s="25" t="n">
        <v>0</v>
      </c>
      <c r="H284" s="22" t="n">
        <v>45973</v>
      </c>
      <c r="I284" s="22" t="n">
        <v>46137</v>
      </c>
      <c r="J284" s="22" t="n">
        <v>46137</v>
      </c>
      <c r="K284" s="16" t="s">
        <v>654</v>
      </c>
      <c r="L284" s="16" t="s">
        <v>574</v>
      </c>
      <c r="M284" s="16"/>
      <c r="N284" s="16" t="s">
        <v>697</v>
      </c>
      <c r="O284" s="7" t="n">
        <f aca="false">IF(OR(E284="Closed Won",E284="Closed Lost"),0,1)</f>
        <v>0</v>
      </c>
      <c r="P284" s="17" t="str">
        <f aca="false">INDEX(Accounts!$K$5:$K$336,MATCH(B284,Accounts!$A$5:$A$336,0))</f>
        <v>Financial Services</v>
      </c>
      <c r="Q284" s="17" t="str">
        <f aca="false">INDEX(Accounts!$D$5:$D$336,MATCH(B284,Accounts!$A$5:$A$336,0))</f>
        <v>Priority</v>
      </c>
      <c r="R284" s="7" t="n">
        <f aca="false">INDEX(Inputs!$B$11:$B$16,MATCH(E284,Inputs!$A$11:$A$16,0))</f>
        <v>0</v>
      </c>
      <c r="S284" s="27" t="n">
        <f aca="false">IF(F284="",0,F284)*R284/100</f>
        <v>0</v>
      </c>
      <c r="T284" s="7" t="n">
        <f aca="false">Inputs!$B$4-J284</f>
        <v>177</v>
      </c>
      <c r="U284" s="7" t="n">
        <f aca="false">IF(OR(F284="",F284=0),1,0)</f>
        <v>0</v>
      </c>
      <c r="V284" s="7" t="n">
        <f aca="false">IF(K284="",1,0)</f>
        <v>0</v>
      </c>
      <c r="W284" s="7" t="n">
        <f aca="false">IF(AND(O284=1,K284&lt;&gt;"",COUNTIFS(Owners!$A$5:$A$32,K284,Owners!$E$5:$E$32,"No")&gt;0),1,0)</f>
        <v>0</v>
      </c>
      <c r="X284" s="7" t="n">
        <f aca="false">IF(AND(O284=1,I284&lt;Inputs!$B$4),1,0)</f>
        <v>0</v>
      </c>
      <c r="Y284" s="7" t="n">
        <f aca="false">IF(AND(O284=1,T284&gt;Inputs!$B$5),1,0)</f>
        <v>0</v>
      </c>
      <c r="Z284" s="7" t="n">
        <f aca="false">IF(AND(O284=1,G284&lt;&gt;R284),1,0)</f>
        <v>0</v>
      </c>
      <c r="AA284" s="7" t="n">
        <f aca="false">IF(AND(O284=1,M284=""),1,0)</f>
        <v>0</v>
      </c>
      <c r="AB284" s="7" t="n">
        <f aca="false">IF(AND(E284="Closed Lost",N284=""),1,0)</f>
        <v>0</v>
      </c>
      <c r="AC284" s="7" t="n">
        <f aca="false">SUM(U284:AB284)</f>
        <v>0</v>
      </c>
      <c r="AD284" s="7" t="n">
        <f aca="false">IF(AC284=0,1,0)</f>
        <v>1</v>
      </c>
      <c r="AE284" s="7" t="n">
        <f aca="false">IF(AND(O284=1,I284&gt;=Inputs!$B$6,I284&lt;=Inputs!$B$7),1,0)</f>
        <v>0</v>
      </c>
      <c r="AF284" s="7" t="n">
        <f aca="false">IF(AND(E284="Closed Won",I284&gt;=Inputs!$B$6,I284&lt;=Inputs!$B$4),1,0)</f>
        <v>0</v>
      </c>
      <c r="AG284" s="7" t="n">
        <f aca="false">IF(AND(O284=0,I284&gt;Inputs!$B$4-Inputs!$B$8,I284&lt;=Inputs!$B$4),1,0)</f>
        <v>1</v>
      </c>
      <c r="AH284" s="7" t="n">
        <f aca="false">I284-H284</f>
        <v>164</v>
      </c>
    </row>
    <row r="285" customFormat="false" ht="15" hidden="false" customHeight="false" outlineLevel="0" collapsed="false">
      <c r="A285" s="16" t="s">
        <v>1244</v>
      </c>
      <c r="B285" s="16" t="s">
        <v>75</v>
      </c>
      <c r="C285" s="16" t="s">
        <v>1245</v>
      </c>
      <c r="D285" s="16" t="s">
        <v>167</v>
      </c>
      <c r="E285" s="16" t="s">
        <v>531</v>
      </c>
      <c r="F285" s="26" t="n">
        <v>22427000</v>
      </c>
      <c r="G285" s="25" t="n">
        <v>0</v>
      </c>
      <c r="H285" s="22" t="n">
        <v>46037</v>
      </c>
      <c r="I285" s="22" t="n">
        <v>46143</v>
      </c>
      <c r="J285" s="22" t="n">
        <v>46143</v>
      </c>
      <c r="K285" s="16" t="s">
        <v>677</v>
      </c>
      <c r="L285" s="16" t="s">
        <v>568</v>
      </c>
      <c r="M285" s="16"/>
      <c r="N285" s="16" t="s">
        <v>697</v>
      </c>
      <c r="O285" s="7" t="n">
        <f aca="false">IF(OR(E285="Closed Won",E285="Closed Lost"),0,1)</f>
        <v>0</v>
      </c>
      <c r="P285" s="17" t="str">
        <f aca="false">INDEX(Accounts!$K$5:$K$336,MATCH(B285,Accounts!$A$5:$A$336,0))</f>
        <v>Technology, Media &amp; Telecom</v>
      </c>
      <c r="Q285" s="17" t="str">
        <f aca="false">INDEX(Accounts!$D$5:$D$336,MATCH(B285,Accounts!$A$5:$A$336,0))</f>
        <v>Priority</v>
      </c>
      <c r="R285" s="7" t="n">
        <f aca="false">INDEX(Inputs!$B$11:$B$16,MATCH(E285,Inputs!$A$11:$A$16,0))</f>
        <v>0</v>
      </c>
      <c r="S285" s="27" t="n">
        <f aca="false">IF(F285="",0,F285)*R285/100</f>
        <v>0</v>
      </c>
      <c r="T285" s="7" t="n">
        <f aca="false">Inputs!$B$4-J285</f>
        <v>171</v>
      </c>
      <c r="U285" s="7" t="n">
        <f aca="false">IF(OR(F285="",F285=0),1,0)</f>
        <v>0</v>
      </c>
      <c r="V285" s="7" t="n">
        <f aca="false">IF(K285="",1,0)</f>
        <v>0</v>
      </c>
      <c r="W285" s="7" t="n">
        <f aca="false">IF(AND(O285=1,K285&lt;&gt;"",COUNTIFS(Owners!$A$5:$A$32,K285,Owners!$E$5:$E$32,"No")&gt;0),1,0)</f>
        <v>0</v>
      </c>
      <c r="X285" s="7" t="n">
        <f aca="false">IF(AND(O285=1,I285&lt;Inputs!$B$4),1,0)</f>
        <v>0</v>
      </c>
      <c r="Y285" s="7" t="n">
        <f aca="false">IF(AND(O285=1,T285&gt;Inputs!$B$5),1,0)</f>
        <v>0</v>
      </c>
      <c r="Z285" s="7" t="n">
        <f aca="false">IF(AND(O285=1,G285&lt;&gt;R285),1,0)</f>
        <v>0</v>
      </c>
      <c r="AA285" s="7" t="n">
        <f aca="false">IF(AND(O285=1,M285=""),1,0)</f>
        <v>0</v>
      </c>
      <c r="AB285" s="7" t="n">
        <f aca="false">IF(AND(E285="Closed Lost",N285=""),1,0)</f>
        <v>0</v>
      </c>
      <c r="AC285" s="7" t="n">
        <f aca="false">SUM(U285:AB285)</f>
        <v>0</v>
      </c>
      <c r="AD285" s="7" t="n">
        <f aca="false">IF(AC285=0,1,0)</f>
        <v>1</v>
      </c>
      <c r="AE285" s="7" t="n">
        <f aca="false">IF(AND(O285=1,I285&gt;=Inputs!$B$6,I285&lt;=Inputs!$B$7),1,0)</f>
        <v>0</v>
      </c>
      <c r="AF285" s="7" t="n">
        <f aca="false">IF(AND(E285="Closed Won",I285&gt;=Inputs!$B$6,I285&lt;=Inputs!$B$4),1,0)</f>
        <v>0</v>
      </c>
      <c r="AG285" s="7" t="n">
        <f aca="false">IF(AND(O285=0,I285&gt;Inputs!$B$4-Inputs!$B$8,I285&lt;=Inputs!$B$4),1,0)</f>
        <v>1</v>
      </c>
      <c r="AH285" s="7" t="n">
        <f aca="false">I285-H285</f>
        <v>106</v>
      </c>
    </row>
    <row r="286" customFormat="false" ht="15" hidden="false" customHeight="false" outlineLevel="0" collapsed="false">
      <c r="A286" s="16" t="s">
        <v>1246</v>
      </c>
      <c r="B286" s="16" t="s">
        <v>254</v>
      </c>
      <c r="C286" s="16" t="s">
        <v>1247</v>
      </c>
      <c r="D286" s="16" t="s">
        <v>158</v>
      </c>
      <c r="E286" s="16" t="s">
        <v>531</v>
      </c>
      <c r="F286" s="26" t="n">
        <v>51642000</v>
      </c>
      <c r="G286" s="25" t="n">
        <v>0</v>
      </c>
      <c r="H286" s="22" t="n">
        <v>46110</v>
      </c>
      <c r="I286" s="22" t="n">
        <v>46208</v>
      </c>
      <c r="J286" s="22" t="n">
        <v>46208</v>
      </c>
      <c r="K286" s="16" t="s">
        <v>663</v>
      </c>
      <c r="L286" s="16" t="s">
        <v>500</v>
      </c>
      <c r="M286" s="16"/>
      <c r="N286" s="16" t="s">
        <v>597</v>
      </c>
      <c r="O286" s="7" t="n">
        <f aca="false">IF(OR(E286="Closed Won",E286="Closed Lost"),0,1)</f>
        <v>0</v>
      </c>
      <c r="P286" s="17" t="str">
        <f aca="false">INDEX(Accounts!$K$5:$K$336,MATCH(B286,Accounts!$A$5:$A$336,0))</f>
        <v>Technology, Media &amp; Telecom</v>
      </c>
      <c r="Q286" s="17" t="str">
        <f aca="false">INDEX(Accounts!$D$5:$D$336,MATCH(B286,Accounts!$A$5:$A$336,0))</f>
        <v>Key</v>
      </c>
      <c r="R286" s="7" t="n">
        <f aca="false">INDEX(Inputs!$B$11:$B$16,MATCH(E286,Inputs!$A$11:$A$16,0))</f>
        <v>0</v>
      </c>
      <c r="S286" s="27" t="n">
        <f aca="false">IF(F286="",0,F286)*R286/100</f>
        <v>0</v>
      </c>
      <c r="T286" s="7" t="n">
        <f aca="false">Inputs!$B$4-J286</f>
        <v>106</v>
      </c>
      <c r="U286" s="7" t="n">
        <f aca="false">IF(OR(F286="",F286=0),1,0)</f>
        <v>0</v>
      </c>
      <c r="V286" s="7" t="n">
        <f aca="false">IF(K286="",1,0)</f>
        <v>0</v>
      </c>
      <c r="W286" s="7" t="n">
        <f aca="false">IF(AND(O286=1,K286&lt;&gt;"",COUNTIFS(Owners!$A$5:$A$32,K286,Owners!$E$5:$E$32,"No")&gt;0),1,0)</f>
        <v>0</v>
      </c>
      <c r="X286" s="7" t="n">
        <f aca="false">IF(AND(O286=1,I286&lt;Inputs!$B$4),1,0)</f>
        <v>0</v>
      </c>
      <c r="Y286" s="7" t="n">
        <f aca="false">IF(AND(O286=1,T286&gt;Inputs!$B$5),1,0)</f>
        <v>0</v>
      </c>
      <c r="Z286" s="7" t="n">
        <f aca="false">IF(AND(O286=1,G286&lt;&gt;R286),1,0)</f>
        <v>0</v>
      </c>
      <c r="AA286" s="7" t="n">
        <f aca="false">IF(AND(O286=1,M286=""),1,0)</f>
        <v>0</v>
      </c>
      <c r="AB286" s="7" t="n">
        <f aca="false">IF(AND(E286="Closed Lost",N286=""),1,0)</f>
        <v>0</v>
      </c>
      <c r="AC286" s="7" t="n">
        <f aca="false">SUM(U286:AB286)</f>
        <v>0</v>
      </c>
      <c r="AD286" s="7" t="n">
        <f aca="false">IF(AC286=0,1,0)</f>
        <v>1</v>
      </c>
      <c r="AE286" s="7" t="n">
        <f aca="false">IF(AND(O286=1,I286&gt;=Inputs!$B$6,I286&lt;=Inputs!$B$7),1,0)</f>
        <v>0</v>
      </c>
      <c r="AF286" s="7" t="n">
        <f aca="false">IF(AND(E286="Closed Won",I286&gt;=Inputs!$B$6,I286&lt;=Inputs!$B$4),1,0)</f>
        <v>0</v>
      </c>
      <c r="AG286" s="7" t="n">
        <f aca="false">IF(AND(O286=0,I286&gt;Inputs!$B$4-Inputs!$B$8,I286&lt;=Inputs!$B$4),1,0)</f>
        <v>1</v>
      </c>
      <c r="AH286" s="7" t="n">
        <f aca="false">I286-H286</f>
        <v>98</v>
      </c>
    </row>
    <row r="287" customFormat="false" ht="15" hidden="false" customHeight="false" outlineLevel="0" collapsed="false">
      <c r="A287" s="16" t="s">
        <v>1248</v>
      </c>
      <c r="B287" s="16" t="s">
        <v>71</v>
      </c>
      <c r="C287" s="16" t="s">
        <v>1249</v>
      </c>
      <c r="D287" s="16" t="s">
        <v>167</v>
      </c>
      <c r="E287" s="16" t="s">
        <v>531</v>
      </c>
      <c r="F287" s="26" t="n">
        <v>5404000</v>
      </c>
      <c r="G287" s="25" t="n">
        <v>0</v>
      </c>
      <c r="H287" s="22" t="n">
        <v>46092</v>
      </c>
      <c r="I287" s="22" t="n">
        <v>46213</v>
      </c>
      <c r="J287" s="22" t="n">
        <v>46213</v>
      </c>
      <c r="K287" s="16" t="s">
        <v>691</v>
      </c>
      <c r="L287" s="16" t="s">
        <v>500</v>
      </c>
      <c r="M287" s="16"/>
      <c r="N287" s="16" t="s">
        <v>579</v>
      </c>
      <c r="O287" s="7" t="n">
        <f aca="false">IF(OR(E287="Closed Won",E287="Closed Lost"),0,1)</f>
        <v>0</v>
      </c>
      <c r="P287" s="17" t="str">
        <f aca="false">INDEX(Accounts!$K$5:$K$336,MATCH(B287,Accounts!$A$5:$A$336,0))</f>
        <v>Energy &amp; Resources</v>
      </c>
      <c r="Q287" s="17" t="str">
        <f aca="false">INDEX(Accounts!$D$5:$D$336,MATCH(B287,Accounts!$A$5:$A$336,0))</f>
        <v>Priority</v>
      </c>
      <c r="R287" s="7" t="n">
        <f aca="false">INDEX(Inputs!$B$11:$B$16,MATCH(E287,Inputs!$A$11:$A$16,0))</f>
        <v>0</v>
      </c>
      <c r="S287" s="27" t="n">
        <f aca="false">IF(F287="",0,F287)*R287/100</f>
        <v>0</v>
      </c>
      <c r="T287" s="7" t="n">
        <f aca="false">Inputs!$B$4-J287</f>
        <v>101</v>
      </c>
      <c r="U287" s="7" t="n">
        <f aca="false">IF(OR(F287="",F287=0),1,0)</f>
        <v>0</v>
      </c>
      <c r="V287" s="7" t="n">
        <f aca="false">IF(K287="",1,0)</f>
        <v>0</v>
      </c>
      <c r="W287" s="7" t="n">
        <f aca="false">IF(AND(O287=1,K287&lt;&gt;"",COUNTIFS(Owners!$A$5:$A$32,K287,Owners!$E$5:$E$32,"No")&gt;0),1,0)</f>
        <v>0</v>
      </c>
      <c r="X287" s="7" t="n">
        <f aca="false">IF(AND(O287=1,I287&lt;Inputs!$B$4),1,0)</f>
        <v>0</v>
      </c>
      <c r="Y287" s="7" t="n">
        <f aca="false">IF(AND(O287=1,T287&gt;Inputs!$B$5),1,0)</f>
        <v>0</v>
      </c>
      <c r="Z287" s="7" t="n">
        <f aca="false">IF(AND(O287=1,G287&lt;&gt;R287),1,0)</f>
        <v>0</v>
      </c>
      <c r="AA287" s="7" t="n">
        <f aca="false">IF(AND(O287=1,M287=""),1,0)</f>
        <v>0</v>
      </c>
      <c r="AB287" s="7" t="n">
        <f aca="false">IF(AND(E287="Closed Lost",N287=""),1,0)</f>
        <v>0</v>
      </c>
      <c r="AC287" s="7" t="n">
        <f aca="false">SUM(U287:AB287)</f>
        <v>0</v>
      </c>
      <c r="AD287" s="7" t="n">
        <f aca="false">IF(AC287=0,1,0)</f>
        <v>1</v>
      </c>
      <c r="AE287" s="7" t="n">
        <f aca="false">IF(AND(O287=1,I287&gt;=Inputs!$B$6,I287&lt;=Inputs!$B$7),1,0)</f>
        <v>0</v>
      </c>
      <c r="AF287" s="7" t="n">
        <f aca="false">IF(AND(E287="Closed Won",I287&gt;=Inputs!$B$6,I287&lt;=Inputs!$B$4),1,0)</f>
        <v>0</v>
      </c>
      <c r="AG287" s="7" t="n">
        <f aca="false">IF(AND(O287=0,I287&gt;Inputs!$B$4-Inputs!$B$8,I287&lt;=Inputs!$B$4),1,0)</f>
        <v>1</v>
      </c>
      <c r="AH287" s="7" t="n">
        <f aca="false">I287-H287</f>
        <v>121</v>
      </c>
    </row>
    <row r="288" customFormat="false" ht="15" hidden="false" customHeight="false" outlineLevel="0" collapsed="false">
      <c r="A288" s="16" t="s">
        <v>1250</v>
      </c>
      <c r="B288" s="16" t="s">
        <v>1028</v>
      </c>
      <c r="C288" s="16" t="s">
        <v>1251</v>
      </c>
      <c r="D288" s="16" t="s">
        <v>167</v>
      </c>
      <c r="E288" s="16" t="s">
        <v>531</v>
      </c>
      <c r="F288" s="26" t="n">
        <v>10338000</v>
      </c>
      <c r="G288" s="25" t="n">
        <v>0</v>
      </c>
      <c r="H288" s="22" t="n">
        <v>45941</v>
      </c>
      <c r="I288" s="22" t="n">
        <v>46223</v>
      </c>
      <c r="J288" s="22" t="n">
        <v>46223</v>
      </c>
      <c r="K288" s="16" t="s">
        <v>600</v>
      </c>
      <c r="L288" s="16" t="s">
        <v>500</v>
      </c>
      <c r="M288" s="16"/>
      <c r="N288" s="16"/>
      <c r="O288" s="7" t="n">
        <f aca="false">IF(OR(E288="Closed Won",E288="Closed Lost"),0,1)</f>
        <v>0</v>
      </c>
      <c r="P288" s="17" t="str">
        <f aca="false">INDEX(Accounts!$K$5:$K$336,MATCH(B288,Accounts!$A$5:$A$336,0))</f>
        <v>Financial Services</v>
      </c>
      <c r="Q288" s="17" t="str">
        <f aca="false">INDEX(Accounts!$D$5:$D$336,MATCH(B288,Accounts!$A$5:$A$336,0))</f>
        <v>Key</v>
      </c>
      <c r="R288" s="7" t="n">
        <f aca="false">INDEX(Inputs!$B$11:$B$16,MATCH(E288,Inputs!$A$11:$A$16,0))</f>
        <v>0</v>
      </c>
      <c r="S288" s="27" t="n">
        <f aca="false">IF(F288="",0,F288)*R288/100</f>
        <v>0</v>
      </c>
      <c r="T288" s="7" t="n">
        <f aca="false">Inputs!$B$4-J288</f>
        <v>91</v>
      </c>
      <c r="U288" s="7" t="n">
        <f aca="false">IF(OR(F288="",F288=0),1,0)</f>
        <v>0</v>
      </c>
      <c r="V288" s="7" t="n">
        <f aca="false">IF(K288="",1,0)</f>
        <v>0</v>
      </c>
      <c r="W288" s="7" t="n">
        <f aca="false">IF(AND(O288=1,K288&lt;&gt;"",COUNTIFS(Owners!$A$5:$A$32,K288,Owners!$E$5:$E$32,"No")&gt;0),1,0)</f>
        <v>0</v>
      </c>
      <c r="X288" s="7" t="n">
        <f aca="false">IF(AND(O288=1,I288&lt;Inputs!$B$4),1,0)</f>
        <v>0</v>
      </c>
      <c r="Y288" s="7" t="n">
        <f aca="false">IF(AND(O288=1,T288&gt;Inputs!$B$5),1,0)</f>
        <v>0</v>
      </c>
      <c r="Z288" s="7" t="n">
        <f aca="false">IF(AND(O288=1,G288&lt;&gt;R288),1,0)</f>
        <v>0</v>
      </c>
      <c r="AA288" s="7" t="n">
        <f aca="false">IF(AND(O288=1,M288=""),1,0)</f>
        <v>0</v>
      </c>
      <c r="AB288" s="7" t="n">
        <f aca="false">IF(AND(E288="Closed Lost",N288=""),1,0)</f>
        <v>1</v>
      </c>
      <c r="AC288" s="7" t="n">
        <f aca="false">SUM(U288:AB288)</f>
        <v>1</v>
      </c>
      <c r="AD288" s="7" t="n">
        <f aca="false">IF(AC288=0,1,0)</f>
        <v>0</v>
      </c>
      <c r="AE288" s="7" t="n">
        <f aca="false">IF(AND(O288=1,I288&gt;=Inputs!$B$6,I288&lt;=Inputs!$B$7),1,0)</f>
        <v>0</v>
      </c>
      <c r="AF288" s="7" t="n">
        <f aca="false">IF(AND(E288="Closed Won",I288&gt;=Inputs!$B$6,I288&lt;=Inputs!$B$4),1,0)</f>
        <v>0</v>
      </c>
      <c r="AG288" s="7" t="n">
        <f aca="false">IF(AND(O288=0,I288&gt;Inputs!$B$4-Inputs!$B$8,I288&lt;=Inputs!$B$4),1,0)</f>
        <v>1</v>
      </c>
      <c r="AH288" s="7" t="n">
        <f aca="false">I288-H288</f>
        <v>282</v>
      </c>
    </row>
    <row r="289" customFormat="false" ht="15" hidden="false" customHeight="false" outlineLevel="0" collapsed="false">
      <c r="A289" s="16" t="s">
        <v>1252</v>
      </c>
      <c r="B289" s="16" t="s">
        <v>1253</v>
      </c>
      <c r="C289" s="16" t="s">
        <v>1254</v>
      </c>
      <c r="D289" s="16" t="s">
        <v>162</v>
      </c>
      <c r="E289" s="16" t="s">
        <v>531</v>
      </c>
      <c r="F289" s="26" t="n">
        <v>9959000</v>
      </c>
      <c r="G289" s="25" t="n">
        <v>0</v>
      </c>
      <c r="H289" s="22" t="n">
        <v>46204</v>
      </c>
      <c r="I289" s="22" t="n">
        <v>46279</v>
      </c>
      <c r="J289" s="22" t="n">
        <v>46279</v>
      </c>
      <c r="K289" s="16" t="s">
        <v>677</v>
      </c>
      <c r="L289" s="16" t="s">
        <v>574</v>
      </c>
      <c r="M289" s="16"/>
      <c r="N289" s="16" t="s">
        <v>610</v>
      </c>
      <c r="O289" s="7" t="n">
        <f aca="false">IF(OR(E289="Closed Won",E289="Closed Lost"),0,1)</f>
        <v>0</v>
      </c>
      <c r="P289" s="17" t="str">
        <f aca="false">INDEX(Accounts!$K$5:$K$336,MATCH(B289,Accounts!$A$5:$A$336,0))</f>
        <v>Technology, Media &amp; Telecom</v>
      </c>
      <c r="Q289" s="17" t="str">
        <f aca="false">INDEX(Accounts!$D$5:$D$336,MATCH(B289,Accounts!$A$5:$A$336,0))</f>
        <v>Standard</v>
      </c>
      <c r="R289" s="7" t="n">
        <f aca="false">INDEX(Inputs!$B$11:$B$16,MATCH(E289,Inputs!$A$11:$A$16,0))</f>
        <v>0</v>
      </c>
      <c r="S289" s="27" t="n">
        <f aca="false">IF(F289="",0,F289)*R289/100</f>
        <v>0</v>
      </c>
      <c r="T289" s="7" t="n">
        <f aca="false">Inputs!$B$4-J289</f>
        <v>35</v>
      </c>
      <c r="U289" s="7" t="n">
        <f aca="false">IF(OR(F289="",F289=0),1,0)</f>
        <v>0</v>
      </c>
      <c r="V289" s="7" t="n">
        <f aca="false">IF(K289="",1,0)</f>
        <v>0</v>
      </c>
      <c r="W289" s="7" t="n">
        <f aca="false">IF(AND(O289=1,K289&lt;&gt;"",COUNTIFS(Owners!$A$5:$A$32,K289,Owners!$E$5:$E$32,"No")&gt;0),1,0)</f>
        <v>0</v>
      </c>
      <c r="X289" s="7" t="n">
        <f aca="false">IF(AND(O289=1,I289&lt;Inputs!$B$4),1,0)</f>
        <v>0</v>
      </c>
      <c r="Y289" s="7" t="n">
        <f aca="false">IF(AND(O289=1,T289&gt;Inputs!$B$5),1,0)</f>
        <v>0</v>
      </c>
      <c r="Z289" s="7" t="n">
        <f aca="false">IF(AND(O289=1,G289&lt;&gt;R289),1,0)</f>
        <v>0</v>
      </c>
      <c r="AA289" s="7" t="n">
        <f aca="false">IF(AND(O289=1,M289=""),1,0)</f>
        <v>0</v>
      </c>
      <c r="AB289" s="7" t="n">
        <f aca="false">IF(AND(E289="Closed Lost",N289=""),1,0)</f>
        <v>0</v>
      </c>
      <c r="AC289" s="7" t="n">
        <f aca="false">SUM(U289:AB289)</f>
        <v>0</v>
      </c>
      <c r="AD289" s="7" t="n">
        <f aca="false">IF(AC289=0,1,0)</f>
        <v>1</v>
      </c>
      <c r="AE289" s="7" t="n">
        <f aca="false">IF(AND(O289=1,I289&gt;=Inputs!$B$6,I289&lt;=Inputs!$B$7),1,0)</f>
        <v>0</v>
      </c>
      <c r="AF289" s="7" t="n">
        <f aca="false">IF(AND(E289="Closed Won",I289&gt;=Inputs!$B$6,I289&lt;=Inputs!$B$4),1,0)</f>
        <v>0</v>
      </c>
      <c r="AG289" s="7" t="n">
        <f aca="false">IF(AND(O289=0,I289&gt;Inputs!$B$4-Inputs!$B$8,I289&lt;=Inputs!$B$4),1,0)</f>
        <v>1</v>
      </c>
      <c r="AH289" s="7" t="n">
        <f aca="false">I289-H289</f>
        <v>75</v>
      </c>
    </row>
    <row r="290" customFormat="false" ht="15" hidden="false" customHeight="false" outlineLevel="0" collapsed="false">
      <c r="A290" s="16" t="s">
        <v>1255</v>
      </c>
      <c r="B290" s="16" t="s">
        <v>365</v>
      </c>
      <c r="C290" s="16" t="s">
        <v>1256</v>
      </c>
      <c r="D290" s="16" t="s">
        <v>177</v>
      </c>
      <c r="E290" s="16" t="s">
        <v>529</v>
      </c>
      <c r="F290" s="26" t="n">
        <v>9406000</v>
      </c>
      <c r="G290" s="25" t="n">
        <v>75</v>
      </c>
      <c r="H290" s="22" t="n">
        <v>46203</v>
      </c>
      <c r="I290" s="22" t="n">
        <v>46307</v>
      </c>
      <c r="J290" s="22" t="n">
        <v>46289</v>
      </c>
      <c r="K290" s="16" t="s">
        <v>640</v>
      </c>
      <c r="L290" s="16" t="s">
        <v>609</v>
      </c>
      <c r="M290" s="16" t="s">
        <v>619</v>
      </c>
      <c r="N290" s="16"/>
      <c r="O290" s="7" t="n">
        <f aca="false">IF(OR(E290="Closed Won",E290="Closed Lost"),0,1)</f>
        <v>1</v>
      </c>
      <c r="P290" s="17" t="str">
        <f aca="false">INDEX(Accounts!$K$5:$K$336,MATCH(B290,Accounts!$A$5:$A$336,0))</f>
        <v>Energy &amp; Resources</v>
      </c>
      <c r="Q290" s="17" t="str">
        <f aca="false">INDEX(Accounts!$D$5:$D$336,MATCH(B290,Accounts!$A$5:$A$336,0))</f>
        <v>Key</v>
      </c>
      <c r="R290" s="7" t="n">
        <f aca="false">INDEX(Inputs!$B$11:$B$16,MATCH(E290,Inputs!$A$11:$A$16,0))</f>
        <v>75</v>
      </c>
      <c r="S290" s="27" t="n">
        <f aca="false">IF(F290="",0,F290)*R290/100</f>
        <v>7054500</v>
      </c>
      <c r="T290" s="7" t="n">
        <f aca="false">Inputs!$B$4-J290</f>
        <v>25</v>
      </c>
      <c r="U290" s="7" t="n">
        <f aca="false">IF(OR(F290="",F290=0),1,0)</f>
        <v>0</v>
      </c>
      <c r="V290" s="7" t="n">
        <f aca="false">IF(K290="",1,0)</f>
        <v>0</v>
      </c>
      <c r="W290" s="7" t="n">
        <f aca="false">IF(AND(O290=1,K290&lt;&gt;"",COUNTIFS(Owners!$A$5:$A$32,K290,Owners!$E$5:$E$32,"No")&gt;0),1,0)</f>
        <v>0</v>
      </c>
      <c r="X290" s="7" t="n">
        <f aca="false">IF(AND(O290=1,I290&lt;Inputs!$B$4),1,0)</f>
        <v>1</v>
      </c>
      <c r="Y290" s="7" t="n">
        <f aca="false">IF(AND(O290=1,T290&gt;Inputs!$B$5),1,0)</f>
        <v>0</v>
      </c>
      <c r="Z290" s="7" t="n">
        <f aca="false">IF(AND(O290=1,G290&lt;&gt;R290),1,0)</f>
        <v>0</v>
      </c>
      <c r="AA290" s="7" t="n">
        <f aca="false">IF(AND(O290=1,M290=""),1,0)</f>
        <v>0</v>
      </c>
      <c r="AB290" s="7" t="n">
        <f aca="false">IF(AND(E290="Closed Lost",N290=""),1,0)</f>
        <v>0</v>
      </c>
      <c r="AC290" s="7" t="n">
        <f aca="false">SUM(U290:AB290)</f>
        <v>1</v>
      </c>
      <c r="AD290" s="7" t="n">
        <f aca="false">IF(AC290=0,1,0)</f>
        <v>0</v>
      </c>
      <c r="AE290" s="7" t="n">
        <f aca="false">IF(AND(O290=1,I290&gt;=Inputs!$B$6,I290&lt;=Inputs!$B$7),1,0)</f>
        <v>1</v>
      </c>
      <c r="AF290" s="7" t="n">
        <f aca="false">IF(AND(E290="Closed Won",I290&gt;=Inputs!$B$6,I290&lt;=Inputs!$B$4),1,0)</f>
        <v>0</v>
      </c>
      <c r="AG290" s="7" t="n">
        <f aca="false">IF(AND(O290=0,I290&gt;Inputs!$B$4-Inputs!$B$8,I290&lt;=Inputs!$B$4),1,0)</f>
        <v>0</v>
      </c>
      <c r="AH290" s="7" t="n">
        <f aca="false">I290-H290</f>
        <v>104</v>
      </c>
    </row>
    <row r="291" customFormat="false" ht="15" hidden="false" customHeight="false" outlineLevel="0" collapsed="false">
      <c r="A291" s="16" t="s">
        <v>1257</v>
      </c>
      <c r="B291" s="16" t="s">
        <v>76</v>
      </c>
      <c r="C291" s="16" t="s">
        <v>679</v>
      </c>
      <c r="D291" s="16" t="s">
        <v>158</v>
      </c>
      <c r="E291" s="16" t="s">
        <v>527</v>
      </c>
      <c r="F291" s="26" t="n">
        <v>7532000</v>
      </c>
      <c r="G291" s="25" t="n">
        <v>25</v>
      </c>
      <c r="H291" s="22" t="n">
        <v>46170</v>
      </c>
      <c r="I291" s="22" t="n">
        <v>46567</v>
      </c>
      <c r="J291" s="22" t="n">
        <v>46163</v>
      </c>
      <c r="K291" s="16" t="s">
        <v>604</v>
      </c>
      <c r="L291" s="16" t="s">
        <v>592</v>
      </c>
      <c r="M291" s="16" t="s">
        <v>569</v>
      </c>
      <c r="N291" s="16"/>
      <c r="O291" s="7" t="n">
        <f aca="false">IF(OR(E291="Closed Won",E291="Closed Lost"),0,1)</f>
        <v>1</v>
      </c>
      <c r="P291" s="17" t="str">
        <f aca="false">INDEX(Accounts!$K$5:$K$336,MATCH(B291,Accounts!$A$5:$A$336,0))</f>
        <v>Real Estate &amp; Infrastructure</v>
      </c>
      <c r="Q291" s="17" t="str">
        <f aca="false">INDEX(Accounts!$D$5:$D$336,MATCH(B291,Accounts!$A$5:$A$336,0))</f>
        <v>Priority</v>
      </c>
      <c r="R291" s="7" t="n">
        <f aca="false">INDEX(Inputs!$B$11:$B$16,MATCH(E291,Inputs!$A$11:$A$16,0))</f>
        <v>25</v>
      </c>
      <c r="S291" s="27" t="n">
        <f aca="false">IF(F291="",0,F291)*R291/100</f>
        <v>1883000</v>
      </c>
      <c r="T291" s="7" t="n">
        <f aca="false">Inputs!$B$4-J291</f>
        <v>151</v>
      </c>
      <c r="U291" s="7" t="n">
        <f aca="false">IF(OR(F291="",F291=0),1,0)</f>
        <v>0</v>
      </c>
      <c r="V291" s="7" t="n">
        <f aca="false">IF(K291="",1,0)</f>
        <v>0</v>
      </c>
      <c r="W291" s="7" t="n">
        <f aca="false">IF(AND(O291=1,K291&lt;&gt;"",COUNTIFS(Owners!$A$5:$A$32,K291,Owners!$E$5:$E$32,"No")&gt;0),1,0)</f>
        <v>0</v>
      </c>
      <c r="X291" s="7" t="n">
        <f aca="false">IF(AND(O291=1,I291&lt;Inputs!$B$4),1,0)</f>
        <v>0</v>
      </c>
      <c r="Y291" s="7" t="n">
        <f aca="false">IF(AND(O291=1,T291&gt;Inputs!$B$5),1,0)</f>
        <v>1</v>
      </c>
      <c r="Z291" s="7" t="n">
        <f aca="false">IF(AND(O291=1,G291&lt;&gt;R291),1,0)</f>
        <v>0</v>
      </c>
      <c r="AA291" s="7" t="n">
        <f aca="false">IF(AND(O291=1,M291=""),1,0)</f>
        <v>0</v>
      </c>
      <c r="AB291" s="7" t="n">
        <f aca="false">IF(AND(E291="Closed Lost",N291=""),1,0)</f>
        <v>0</v>
      </c>
      <c r="AC291" s="7" t="n">
        <f aca="false">SUM(U291:AB291)</f>
        <v>1</v>
      </c>
      <c r="AD291" s="7" t="n">
        <f aca="false">IF(AC291=0,1,0)</f>
        <v>0</v>
      </c>
      <c r="AE291" s="7" t="n">
        <f aca="false">IF(AND(O291=1,I291&gt;=Inputs!$B$6,I291&lt;=Inputs!$B$7),1,0)</f>
        <v>1</v>
      </c>
      <c r="AF291" s="7" t="n">
        <f aca="false">IF(AND(E291="Closed Won",I291&gt;=Inputs!$B$6,I291&lt;=Inputs!$B$4),1,0)</f>
        <v>0</v>
      </c>
      <c r="AG291" s="7" t="n">
        <f aca="false">IF(AND(O291=0,I291&gt;Inputs!$B$4-Inputs!$B$8,I291&lt;=Inputs!$B$4),1,0)</f>
        <v>0</v>
      </c>
      <c r="AH291" s="7" t="n">
        <f aca="false">I291-H291</f>
        <v>397</v>
      </c>
    </row>
    <row r="292" customFormat="false" ht="15" hidden="false" customHeight="false" outlineLevel="0" collapsed="false">
      <c r="A292" s="16" t="s">
        <v>1258</v>
      </c>
      <c r="B292" s="16" t="s">
        <v>1025</v>
      </c>
      <c r="C292" s="16" t="s">
        <v>1259</v>
      </c>
      <c r="D292" s="16" t="s">
        <v>162</v>
      </c>
      <c r="E292" s="16" t="s">
        <v>531</v>
      </c>
      <c r="F292" s="26" t="n">
        <v>4521000</v>
      </c>
      <c r="G292" s="25" t="n">
        <v>0</v>
      </c>
      <c r="H292" s="22" t="n">
        <v>46039</v>
      </c>
      <c r="I292" s="22" t="n">
        <v>46123</v>
      </c>
      <c r="J292" s="22" t="n">
        <v>46123</v>
      </c>
      <c r="K292" s="16" t="s">
        <v>651</v>
      </c>
      <c r="L292" s="16" t="s">
        <v>500</v>
      </c>
      <c r="M292" s="16"/>
      <c r="N292" s="16" t="s">
        <v>610</v>
      </c>
      <c r="O292" s="7" t="n">
        <f aca="false">IF(OR(E292="Closed Won",E292="Closed Lost"),0,1)</f>
        <v>0</v>
      </c>
      <c r="P292" s="17" t="str">
        <f aca="false">INDEX(Accounts!$K$5:$K$336,MATCH(B292,Accounts!$A$5:$A$336,0))</f>
        <v>Public Sector &amp; Development</v>
      </c>
      <c r="Q292" s="17" t="str">
        <f aca="false">INDEX(Accounts!$D$5:$D$336,MATCH(B292,Accounts!$A$5:$A$336,0))</f>
        <v>Key</v>
      </c>
      <c r="R292" s="7" t="n">
        <f aca="false">INDEX(Inputs!$B$11:$B$16,MATCH(E292,Inputs!$A$11:$A$16,0))</f>
        <v>0</v>
      </c>
      <c r="S292" s="27" t="n">
        <f aca="false">IF(F292="",0,F292)*R292/100</f>
        <v>0</v>
      </c>
      <c r="T292" s="7" t="n">
        <f aca="false">Inputs!$B$4-J292</f>
        <v>191</v>
      </c>
      <c r="U292" s="7" t="n">
        <f aca="false">IF(OR(F292="",F292=0),1,0)</f>
        <v>0</v>
      </c>
      <c r="V292" s="7" t="n">
        <f aca="false">IF(K292="",1,0)</f>
        <v>0</v>
      </c>
      <c r="W292" s="7" t="n">
        <f aca="false">IF(AND(O292=1,K292&lt;&gt;"",COUNTIFS(Owners!$A$5:$A$32,K292,Owners!$E$5:$E$32,"No")&gt;0),1,0)</f>
        <v>0</v>
      </c>
      <c r="X292" s="7" t="n">
        <f aca="false">IF(AND(O292=1,I292&lt;Inputs!$B$4),1,0)</f>
        <v>0</v>
      </c>
      <c r="Y292" s="7" t="n">
        <f aca="false">IF(AND(O292=1,T292&gt;Inputs!$B$5),1,0)</f>
        <v>0</v>
      </c>
      <c r="Z292" s="7" t="n">
        <f aca="false">IF(AND(O292=1,G292&lt;&gt;R292),1,0)</f>
        <v>0</v>
      </c>
      <c r="AA292" s="7" t="n">
        <f aca="false">IF(AND(O292=1,M292=""),1,0)</f>
        <v>0</v>
      </c>
      <c r="AB292" s="7" t="n">
        <f aca="false">IF(AND(E292="Closed Lost",N292=""),1,0)</f>
        <v>0</v>
      </c>
      <c r="AC292" s="7" t="n">
        <f aca="false">SUM(U292:AB292)</f>
        <v>0</v>
      </c>
      <c r="AD292" s="7" t="n">
        <f aca="false">IF(AC292=0,1,0)</f>
        <v>1</v>
      </c>
      <c r="AE292" s="7" t="n">
        <f aca="false">IF(AND(O292=1,I292&gt;=Inputs!$B$6,I292&lt;=Inputs!$B$7),1,0)</f>
        <v>0</v>
      </c>
      <c r="AF292" s="7" t="n">
        <f aca="false">IF(AND(E292="Closed Won",I292&gt;=Inputs!$B$6,I292&lt;=Inputs!$B$4),1,0)</f>
        <v>0</v>
      </c>
      <c r="AG292" s="7" t="n">
        <f aca="false">IF(AND(O292=0,I292&gt;Inputs!$B$4-Inputs!$B$8,I292&lt;=Inputs!$B$4),1,0)</f>
        <v>1</v>
      </c>
      <c r="AH292" s="7" t="n">
        <f aca="false">I292-H292</f>
        <v>84</v>
      </c>
    </row>
    <row r="293" customFormat="false" ht="15" hidden="false" customHeight="false" outlineLevel="0" collapsed="false">
      <c r="A293" s="16" t="s">
        <v>1260</v>
      </c>
      <c r="B293" s="16" t="s">
        <v>65</v>
      </c>
      <c r="C293" s="16" t="s">
        <v>1261</v>
      </c>
      <c r="D293" s="16" t="s">
        <v>177</v>
      </c>
      <c r="E293" s="16" t="s">
        <v>531</v>
      </c>
      <c r="F293" s="26" t="n">
        <v>3755000</v>
      </c>
      <c r="G293" s="25" t="n">
        <v>0</v>
      </c>
      <c r="H293" s="22" t="n">
        <v>45954</v>
      </c>
      <c r="I293" s="22" t="n">
        <v>46128</v>
      </c>
      <c r="J293" s="22" t="n">
        <v>46128</v>
      </c>
      <c r="K293" s="16" t="s">
        <v>654</v>
      </c>
      <c r="L293" s="16" t="s">
        <v>568</v>
      </c>
      <c r="M293" s="16"/>
      <c r="N293" s="16" t="s">
        <v>697</v>
      </c>
      <c r="O293" s="7" t="n">
        <f aca="false">IF(OR(E293="Closed Won",E293="Closed Lost"),0,1)</f>
        <v>0</v>
      </c>
      <c r="P293" s="17" t="str">
        <f aca="false">INDEX(Accounts!$K$5:$K$336,MATCH(B293,Accounts!$A$5:$A$336,0))</f>
        <v>Technology, Media &amp; Telecom</v>
      </c>
      <c r="Q293" s="17" t="str">
        <f aca="false">INDEX(Accounts!$D$5:$D$336,MATCH(B293,Accounts!$A$5:$A$336,0))</f>
        <v>Priority</v>
      </c>
      <c r="R293" s="7" t="n">
        <f aca="false">INDEX(Inputs!$B$11:$B$16,MATCH(E293,Inputs!$A$11:$A$16,0))</f>
        <v>0</v>
      </c>
      <c r="S293" s="27" t="n">
        <f aca="false">IF(F293="",0,F293)*R293/100</f>
        <v>0</v>
      </c>
      <c r="T293" s="7" t="n">
        <f aca="false">Inputs!$B$4-J293</f>
        <v>186</v>
      </c>
      <c r="U293" s="7" t="n">
        <f aca="false">IF(OR(F293="",F293=0),1,0)</f>
        <v>0</v>
      </c>
      <c r="V293" s="7" t="n">
        <f aca="false">IF(K293="",1,0)</f>
        <v>0</v>
      </c>
      <c r="W293" s="7" t="n">
        <f aca="false">IF(AND(O293=1,K293&lt;&gt;"",COUNTIFS(Owners!$A$5:$A$32,K293,Owners!$E$5:$E$32,"No")&gt;0),1,0)</f>
        <v>0</v>
      </c>
      <c r="X293" s="7" t="n">
        <f aca="false">IF(AND(O293=1,I293&lt;Inputs!$B$4),1,0)</f>
        <v>0</v>
      </c>
      <c r="Y293" s="7" t="n">
        <f aca="false">IF(AND(O293=1,T293&gt;Inputs!$B$5),1,0)</f>
        <v>0</v>
      </c>
      <c r="Z293" s="7" t="n">
        <f aca="false">IF(AND(O293=1,G293&lt;&gt;R293),1,0)</f>
        <v>0</v>
      </c>
      <c r="AA293" s="7" t="n">
        <f aca="false">IF(AND(O293=1,M293=""),1,0)</f>
        <v>0</v>
      </c>
      <c r="AB293" s="7" t="n">
        <f aca="false">IF(AND(E293="Closed Lost",N293=""),1,0)</f>
        <v>0</v>
      </c>
      <c r="AC293" s="7" t="n">
        <f aca="false">SUM(U293:AB293)</f>
        <v>0</v>
      </c>
      <c r="AD293" s="7" t="n">
        <f aca="false">IF(AC293=0,1,0)</f>
        <v>1</v>
      </c>
      <c r="AE293" s="7" t="n">
        <f aca="false">IF(AND(O293=1,I293&gt;=Inputs!$B$6,I293&lt;=Inputs!$B$7),1,0)</f>
        <v>0</v>
      </c>
      <c r="AF293" s="7" t="n">
        <f aca="false">IF(AND(E293="Closed Won",I293&gt;=Inputs!$B$6,I293&lt;=Inputs!$B$4),1,0)</f>
        <v>0</v>
      </c>
      <c r="AG293" s="7" t="n">
        <f aca="false">IF(AND(O293=0,I293&gt;Inputs!$B$4-Inputs!$B$8,I293&lt;=Inputs!$B$4),1,0)</f>
        <v>1</v>
      </c>
      <c r="AH293" s="7" t="n">
        <f aca="false">I293-H293</f>
        <v>174</v>
      </c>
    </row>
    <row r="294" customFormat="false" ht="15" hidden="false" customHeight="false" outlineLevel="0" collapsed="false">
      <c r="A294" s="16" t="s">
        <v>1262</v>
      </c>
      <c r="B294" s="16" t="s">
        <v>69</v>
      </c>
      <c r="C294" s="16" t="s">
        <v>1263</v>
      </c>
      <c r="D294" s="16" t="s">
        <v>167</v>
      </c>
      <c r="E294" s="16" t="s">
        <v>531</v>
      </c>
      <c r="F294" s="26" t="n">
        <v>2929000</v>
      </c>
      <c r="G294" s="25" t="n">
        <v>0</v>
      </c>
      <c r="H294" s="22" t="n">
        <v>45905</v>
      </c>
      <c r="I294" s="22" t="n">
        <v>46119</v>
      </c>
      <c r="J294" s="22" t="n">
        <v>46119</v>
      </c>
      <c r="K294" s="16" t="s">
        <v>604</v>
      </c>
      <c r="L294" s="16" t="s">
        <v>568</v>
      </c>
      <c r="M294" s="16"/>
      <c r="N294" s="16" t="s">
        <v>597</v>
      </c>
      <c r="O294" s="7" t="n">
        <f aca="false">IF(OR(E294="Closed Won",E294="Closed Lost"),0,1)</f>
        <v>0</v>
      </c>
      <c r="P294" s="17" t="str">
        <f aca="false">INDEX(Accounts!$K$5:$K$336,MATCH(B294,Accounts!$A$5:$A$336,0))</f>
        <v>Financial Services</v>
      </c>
      <c r="Q294" s="17" t="str">
        <f aca="false">INDEX(Accounts!$D$5:$D$336,MATCH(B294,Accounts!$A$5:$A$336,0))</f>
        <v>Priority</v>
      </c>
      <c r="R294" s="7" t="n">
        <f aca="false">INDEX(Inputs!$B$11:$B$16,MATCH(E294,Inputs!$A$11:$A$16,0))</f>
        <v>0</v>
      </c>
      <c r="S294" s="27" t="n">
        <f aca="false">IF(F294="",0,F294)*R294/100</f>
        <v>0</v>
      </c>
      <c r="T294" s="7" t="n">
        <f aca="false">Inputs!$B$4-J294</f>
        <v>195</v>
      </c>
      <c r="U294" s="7" t="n">
        <f aca="false">IF(OR(F294="",F294=0),1,0)</f>
        <v>0</v>
      </c>
      <c r="V294" s="7" t="n">
        <f aca="false">IF(K294="",1,0)</f>
        <v>0</v>
      </c>
      <c r="W294" s="7" t="n">
        <f aca="false">IF(AND(O294=1,K294&lt;&gt;"",COUNTIFS(Owners!$A$5:$A$32,K294,Owners!$E$5:$E$32,"No")&gt;0),1,0)</f>
        <v>0</v>
      </c>
      <c r="X294" s="7" t="n">
        <f aca="false">IF(AND(O294=1,I294&lt;Inputs!$B$4),1,0)</f>
        <v>0</v>
      </c>
      <c r="Y294" s="7" t="n">
        <f aca="false">IF(AND(O294=1,T294&gt;Inputs!$B$5),1,0)</f>
        <v>0</v>
      </c>
      <c r="Z294" s="7" t="n">
        <f aca="false">IF(AND(O294=1,G294&lt;&gt;R294),1,0)</f>
        <v>0</v>
      </c>
      <c r="AA294" s="7" t="n">
        <f aca="false">IF(AND(O294=1,M294=""),1,0)</f>
        <v>0</v>
      </c>
      <c r="AB294" s="7" t="n">
        <f aca="false">IF(AND(E294="Closed Lost",N294=""),1,0)</f>
        <v>0</v>
      </c>
      <c r="AC294" s="7" t="n">
        <f aca="false">SUM(U294:AB294)</f>
        <v>0</v>
      </c>
      <c r="AD294" s="7" t="n">
        <f aca="false">IF(AC294=0,1,0)</f>
        <v>1</v>
      </c>
      <c r="AE294" s="7" t="n">
        <f aca="false">IF(AND(O294=1,I294&gt;=Inputs!$B$6,I294&lt;=Inputs!$B$7),1,0)</f>
        <v>0</v>
      </c>
      <c r="AF294" s="7" t="n">
        <f aca="false">IF(AND(E294="Closed Won",I294&gt;=Inputs!$B$6,I294&lt;=Inputs!$B$4),1,0)</f>
        <v>0</v>
      </c>
      <c r="AG294" s="7" t="n">
        <f aca="false">IF(AND(O294=0,I294&gt;Inputs!$B$4-Inputs!$B$8,I294&lt;=Inputs!$B$4),1,0)</f>
        <v>1</v>
      </c>
      <c r="AH294" s="7" t="n">
        <f aca="false">I294-H294</f>
        <v>214</v>
      </c>
    </row>
    <row r="295" customFormat="false" ht="15" hidden="false" customHeight="false" outlineLevel="0" collapsed="false">
      <c r="A295" s="16" t="s">
        <v>1264</v>
      </c>
      <c r="B295" s="16" t="s">
        <v>92</v>
      </c>
      <c r="C295" s="16" t="s">
        <v>1265</v>
      </c>
      <c r="D295" s="16" t="s">
        <v>162</v>
      </c>
      <c r="E295" s="16" t="s">
        <v>527</v>
      </c>
      <c r="F295" s="26" t="n">
        <v>20894000</v>
      </c>
      <c r="G295" s="25" t="n">
        <v>25</v>
      </c>
      <c r="H295" s="22" t="n">
        <v>46292</v>
      </c>
      <c r="I295" s="22" t="n">
        <v>46364</v>
      </c>
      <c r="J295" s="22" t="n">
        <v>46271</v>
      </c>
      <c r="K295" s="16" t="s">
        <v>691</v>
      </c>
      <c r="L295" s="16" t="s">
        <v>609</v>
      </c>
      <c r="M295" s="16" t="s">
        <v>569</v>
      </c>
      <c r="N295" s="16"/>
      <c r="O295" s="7" t="n">
        <f aca="false">IF(OR(E295="Closed Won",E295="Closed Lost"),0,1)</f>
        <v>1</v>
      </c>
      <c r="P295" s="17" t="str">
        <f aca="false">INDEX(Accounts!$K$5:$K$336,MATCH(B295,Accounts!$A$5:$A$336,0))</f>
        <v>Public Sector &amp; Development</v>
      </c>
      <c r="Q295" s="17" t="str">
        <f aca="false">INDEX(Accounts!$D$5:$D$336,MATCH(B295,Accounts!$A$5:$A$336,0))</f>
        <v>Priority</v>
      </c>
      <c r="R295" s="7" t="n">
        <f aca="false">INDEX(Inputs!$B$11:$B$16,MATCH(E295,Inputs!$A$11:$A$16,0))</f>
        <v>25</v>
      </c>
      <c r="S295" s="27" t="n">
        <f aca="false">IF(F295="",0,F295)*R295/100</f>
        <v>5223500</v>
      </c>
      <c r="T295" s="7" t="n">
        <f aca="false">Inputs!$B$4-J295</f>
        <v>43</v>
      </c>
      <c r="U295" s="7" t="n">
        <f aca="false">IF(OR(F295="",F295=0),1,0)</f>
        <v>0</v>
      </c>
      <c r="V295" s="7" t="n">
        <f aca="false">IF(K295="",1,0)</f>
        <v>0</v>
      </c>
      <c r="W295" s="7" t="n">
        <f aca="false">IF(AND(O295=1,K295&lt;&gt;"",COUNTIFS(Owners!$A$5:$A$32,K295,Owners!$E$5:$E$32,"No")&gt;0),1,0)</f>
        <v>0</v>
      </c>
      <c r="X295" s="7" t="n">
        <f aca="false">IF(AND(O295=1,I295&lt;Inputs!$B$4),1,0)</f>
        <v>0</v>
      </c>
      <c r="Y295" s="7" t="n">
        <f aca="false">IF(AND(O295=1,T295&gt;Inputs!$B$5),1,0)</f>
        <v>0</v>
      </c>
      <c r="Z295" s="7" t="n">
        <f aca="false">IF(AND(O295=1,G295&lt;&gt;R295),1,0)</f>
        <v>0</v>
      </c>
      <c r="AA295" s="7" t="n">
        <f aca="false">IF(AND(O295=1,M295=""),1,0)</f>
        <v>0</v>
      </c>
      <c r="AB295" s="7" t="n">
        <f aca="false">IF(AND(E295="Closed Lost",N295=""),1,0)</f>
        <v>0</v>
      </c>
      <c r="AC295" s="7" t="n">
        <f aca="false">SUM(U295:AB295)</f>
        <v>0</v>
      </c>
      <c r="AD295" s="7" t="n">
        <f aca="false">IF(AC295=0,1,0)</f>
        <v>1</v>
      </c>
      <c r="AE295" s="7" t="n">
        <f aca="false">IF(AND(O295=1,I295&gt;=Inputs!$B$6,I295&lt;=Inputs!$B$7),1,0)</f>
        <v>1</v>
      </c>
      <c r="AF295" s="7" t="n">
        <f aca="false">IF(AND(E295="Closed Won",I295&gt;=Inputs!$B$6,I295&lt;=Inputs!$B$4),1,0)</f>
        <v>0</v>
      </c>
      <c r="AG295" s="7" t="n">
        <f aca="false">IF(AND(O295=0,I295&gt;Inputs!$B$4-Inputs!$B$8,I295&lt;=Inputs!$B$4),1,0)</f>
        <v>0</v>
      </c>
      <c r="AH295" s="7" t="n">
        <f aca="false">I295-H295</f>
        <v>72</v>
      </c>
    </row>
    <row r="296" customFormat="false" ht="15" hidden="false" customHeight="false" outlineLevel="0" collapsed="false">
      <c r="A296" s="16" t="s">
        <v>1266</v>
      </c>
      <c r="B296" s="16" t="s">
        <v>586</v>
      </c>
      <c r="C296" s="16" t="s">
        <v>1267</v>
      </c>
      <c r="D296" s="16" t="s">
        <v>162</v>
      </c>
      <c r="E296" s="16" t="s">
        <v>528</v>
      </c>
      <c r="F296" s="26" t="n">
        <v>4180000</v>
      </c>
      <c r="G296" s="25" t="n">
        <v>50</v>
      </c>
      <c r="H296" s="22" t="n">
        <v>46076</v>
      </c>
      <c r="I296" s="22" t="n">
        <v>46350</v>
      </c>
      <c r="J296" s="22" t="n">
        <v>46282</v>
      </c>
      <c r="K296" s="16" t="s">
        <v>651</v>
      </c>
      <c r="L296" s="16" t="s">
        <v>592</v>
      </c>
      <c r="M296" s="16" t="s">
        <v>593</v>
      </c>
      <c r="N296" s="16"/>
      <c r="O296" s="7" t="n">
        <f aca="false">IF(OR(E296="Closed Won",E296="Closed Lost"),0,1)</f>
        <v>1</v>
      </c>
      <c r="P296" s="17" t="str">
        <f aca="false">INDEX(Accounts!$K$5:$K$336,MATCH(B296,Accounts!$A$5:$A$336,0))</f>
        <v>Technology, Media &amp; Telecom</v>
      </c>
      <c r="Q296" s="17" t="str">
        <f aca="false">INDEX(Accounts!$D$5:$D$336,MATCH(B296,Accounts!$A$5:$A$336,0))</f>
        <v>Standard</v>
      </c>
      <c r="R296" s="7" t="n">
        <f aca="false">INDEX(Inputs!$B$11:$B$16,MATCH(E296,Inputs!$A$11:$A$16,0))</f>
        <v>50</v>
      </c>
      <c r="S296" s="27" t="n">
        <f aca="false">IF(F296="",0,F296)*R296/100</f>
        <v>2090000</v>
      </c>
      <c r="T296" s="7" t="n">
        <f aca="false">Inputs!$B$4-J296</f>
        <v>32</v>
      </c>
      <c r="U296" s="7" t="n">
        <f aca="false">IF(OR(F296="",F296=0),1,0)</f>
        <v>0</v>
      </c>
      <c r="V296" s="7" t="n">
        <f aca="false">IF(K296="",1,0)</f>
        <v>0</v>
      </c>
      <c r="W296" s="7" t="n">
        <f aca="false">IF(AND(O296=1,K296&lt;&gt;"",COUNTIFS(Owners!$A$5:$A$32,K296,Owners!$E$5:$E$32,"No")&gt;0),1,0)</f>
        <v>0</v>
      </c>
      <c r="X296" s="7" t="n">
        <f aca="false">IF(AND(O296=1,I296&lt;Inputs!$B$4),1,0)</f>
        <v>0</v>
      </c>
      <c r="Y296" s="7" t="n">
        <f aca="false">IF(AND(O296=1,T296&gt;Inputs!$B$5),1,0)</f>
        <v>0</v>
      </c>
      <c r="Z296" s="7" t="n">
        <f aca="false">IF(AND(O296=1,G296&lt;&gt;R296),1,0)</f>
        <v>0</v>
      </c>
      <c r="AA296" s="7" t="n">
        <f aca="false">IF(AND(O296=1,M296=""),1,0)</f>
        <v>0</v>
      </c>
      <c r="AB296" s="7" t="n">
        <f aca="false">IF(AND(E296="Closed Lost",N296=""),1,0)</f>
        <v>0</v>
      </c>
      <c r="AC296" s="7" t="n">
        <f aca="false">SUM(U296:AB296)</f>
        <v>0</v>
      </c>
      <c r="AD296" s="7" t="n">
        <f aca="false">IF(AC296=0,1,0)</f>
        <v>1</v>
      </c>
      <c r="AE296" s="7" t="n">
        <f aca="false">IF(AND(O296=1,I296&gt;=Inputs!$B$6,I296&lt;=Inputs!$B$7),1,0)</f>
        <v>1</v>
      </c>
      <c r="AF296" s="7" t="n">
        <f aca="false">IF(AND(E296="Closed Won",I296&gt;=Inputs!$B$6,I296&lt;=Inputs!$B$4),1,0)</f>
        <v>0</v>
      </c>
      <c r="AG296" s="7" t="n">
        <f aca="false">IF(AND(O296=0,I296&gt;Inputs!$B$4-Inputs!$B$8,I296&lt;=Inputs!$B$4),1,0)</f>
        <v>0</v>
      </c>
      <c r="AH296" s="7" t="n">
        <f aca="false">I296-H296</f>
        <v>274</v>
      </c>
    </row>
    <row r="297" customFormat="false" ht="15" hidden="false" customHeight="false" outlineLevel="0" collapsed="false">
      <c r="A297" s="16" t="s">
        <v>1268</v>
      </c>
      <c r="B297" s="16" t="s">
        <v>246</v>
      </c>
      <c r="C297" s="16" t="s">
        <v>1269</v>
      </c>
      <c r="D297" s="16" t="s">
        <v>158</v>
      </c>
      <c r="E297" s="16" t="s">
        <v>527</v>
      </c>
      <c r="F297" s="26" t="n">
        <v>16352000</v>
      </c>
      <c r="G297" s="25" t="n">
        <v>25</v>
      </c>
      <c r="H297" s="22" t="n">
        <v>46237</v>
      </c>
      <c r="I297" s="22" t="n">
        <v>46298</v>
      </c>
      <c r="J297" s="22" t="n">
        <v>46285</v>
      </c>
      <c r="K297" s="16" t="s">
        <v>583</v>
      </c>
      <c r="L297" s="16" t="s">
        <v>584</v>
      </c>
      <c r="M297" s="16" t="s">
        <v>593</v>
      </c>
      <c r="N297" s="16"/>
      <c r="O297" s="7" t="n">
        <f aca="false">IF(OR(E297="Closed Won",E297="Closed Lost"),0,1)</f>
        <v>1</v>
      </c>
      <c r="P297" s="17" t="str">
        <f aca="false">INDEX(Accounts!$K$5:$K$336,MATCH(B297,Accounts!$A$5:$A$336,0))</f>
        <v>Technology, Media &amp; Telecom</v>
      </c>
      <c r="Q297" s="17" t="str">
        <f aca="false">INDEX(Accounts!$D$5:$D$336,MATCH(B297,Accounts!$A$5:$A$336,0))</f>
        <v>Standard</v>
      </c>
      <c r="R297" s="7" t="n">
        <f aca="false">INDEX(Inputs!$B$11:$B$16,MATCH(E297,Inputs!$A$11:$A$16,0))</f>
        <v>25</v>
      </c>
      <c r="S297" s="27" t="n">
        <f aca="false">IF(F297="",0,F297)*R297/100</f>
        <v>4088000</v>
      </c>
      <c r="T297" s="7" t="n">
        <f aca="false">Inputs!$B$4-J297</f>
        <v>29</v>
      </c>
      <c r="U297" s="7" t="n">
        <f aca="false">IF(OR(F297="",F297=0),1,0)</f>
        <v>0</v>
      </c>
      <c r="V297" s="7" t="n">
        <f aca="false">IF(K297="",1,0)</f>
        <v>0</v>
      </c>
      <c r="W297" s="7" t="n">
        <f aca="false">IF(AND(O297=1,K297&lt;&gt;"",COUNTIFS(Owners!$A$5:$A$32,K297,Owners!$E$5:$E$32,"No")&gt;0),1,0)</f>
        <v>1</v>
      </c>
      <c r="X297" s="7" t="n">
        <f aca="false">IF(AND(O297=1,I297&lt;Inputs!$B$4),1,0)</f>
        <v>1</v>
      </c>
      <c r="Y297" s="7" t="n">
        <f aca="false">IF(AND(O297=1,T297&gt;Inputs!$B$5),1,0)</f>
        <v>0</v>
      </c>
      <c r="Z297" s="7" t="n">
        <f aca="false">IF(AND(O297=1,G297&lt;&gt;R297),1,0)</f>
        <v>0</v>
      </c>
      <c r="AA297" s="7" t="n">
        <f aca="false">IF(AND(O297=1,M297=""),1,0)</f>
        <v>0</v>
      </c>
      <c r="AB297" s="7" t="n">
        <f aca="false">IF(AND(E297="Closed Lost",N297=""),1,0)</f>
        <v>0</v>
      </c>
      <c r="AC297" s="7" t="n">
        <f aca="false">SUM(U297:AB297)</f>
        <v>2</v>
      </c>
      <c r="AD297" s="7" t="n">
        <f aca="false">IF(AC297=0,1,0)</f>
        <v>0</v>
      </c>
      <c r="AE297" s="7" t="n">
        <f aca="false">IF(AND(O297=1,I297&gt;=Inputs!$B$6,I297&lt;=Inputs!$B$7),1,0)</f>
        <v>1</v>
      </c>
      <c r="AF297" s="7" t="n">
        <f aca="false">IF(AND(E297="Closed Won",I297&gt;=Inputs!$B$6,I297&lt;=Inputs!$B$4),1,0)</f>
        <v>0</v>
      </c>
      <c r="AG297" s="7" t="n">
        <f aca="false">IF(AND(O297=0,I297&gt;Inputs!$B$4-Inputs!$B$8,I297&lt;=Inputs!$B$4),1,0)</f>
        <v>0</v>
      </c>
      <c r="AH297" s="7" t="n">
        <f aca="false">I297-H297</f>
        <v>61</v>
      </c>
    </row>
    <row r="298" customFormat="false" ht="15" hidden="false" customHeight="false" outlineLevel="0" collapsed="false">
      <c r="A298" s="16" t="s">
        <v>1270</v>
      </c>
      <c r="B298" s="16" t="s">
        <v>206</v>
      </c>
      <c r="C298" s="16" t="s">
        <v>1271</v>
      </c>
      <c r="D298" s="16" t="s">
        <v>165</v>
      </c>
      <c r="E298" s="16" t="s">
        <v>531</v>
      </c>
      <c r="F298" s="26" t="n">
        <v>35939000</v>
      </c>
      <c r="G298" s="25" t="n">
        <v>0</v>
      </c>
      <c r="H298" s="22" t="n">
        <v>45939</v>
      </c>
      <c r="I298" s="22" t="n">
        <v>46133</v>
      </c>
      <c r="J298" s="22" t="n">
        <v>46133</v>
      </c>
      <c r="K298" s="16" t="s">
        <v>596</v>
      </c>
      <c r="L298" s="16" t="s">
        <v>609</v>
      </c>
      <c r="M298" s="16"/>
      <c r="N298" s="16" t="s">
        <v>579</v>
      </c>
      <c r="O298" s="7" t="n">
        <f aca="false">IF(OR(E298="Closed Won",E298="Closed Lost"),0,1)</f>
        <v>0</v>
      </c>
      <c r="P298" s="17" t="str">
        <f aca="false">INDEX(Accounts!$K$5:$K$336,MATCH(B298,Accounts!$A$5:$A$336,0))</f>
        <v>Agribusiness</v>
      </c>
      <c r="Q298" s="17" t="str">
        <f aca="false">INDEX(Accounts!$D$5:$D$336,MATCH(B298,Accounts!$A$5:$A$336,0))</f>
        <v>Standard</v>
      </c>
      <c r="R298" s="7" t="n">
        <f aca="false">INDEX(Inputs!$B$11:$B$16,MATCH(E298,Inputs!$A$11:$A$16,0))</f>
        <v>0</v>
      </c>
      <c r="S298" s="27" t="n">
        <f aca="false">IF(F298="",0,F298)*R298/100</f>
        <v>0</v>
      </c>
      <c r="T298" s="7" t="n">
        <f aca="false">Inputs!$B$4-J298</f>
        <v>181</v>
      </c>
      <c r="U298" s="7" t="n">
        <f aca="false">IF(OR(F298="",F298=0),1,0)</f>
        <v>0</v>
      </c>
      <c r="V298" s="7" t="n">
        <f aca="false">IF(K298="",1,0)</f>
        <v>0</v>
      </c>
      <c r="W298" s="7" t="n">
        <f aca="false">IF(AND(O298=1,K298&lt;&gt;"",COUNTIFS(Owners!$A$5:$A$32,K298,Owners!$E$5:$E$32,"No")&gt;0),1,0)</f>
        <v>0</v>
      </c>
      <c r="X298" s="7" t="n">
        <f aca="false">IF(AND(O298=1,I298&lt;Inputs!$B$4),1,0)</f>
        <v>0</v>
      </c>
      <c r="Y298" s="7" t="n">
        <f aca="false">IF(AND(O298=1,T298&gt;Inputs!$B$5),1,0)</f>
        <v>0</v>
      </c>
      <c r="Z298" s="7" t="n">
        <f aca="false">IF(AND(O298=1,G298&lt;&gt;R298),1,0)</f>
        <v>0</v>
      </c>
      <c r="AA298" s="7" t="n">
        <f aca="false">IF(AND(O298=1,M298=""),1,0)</f>
        <v>0</v>
      </c>
      <c r="AB298" s="7" t="n">
        <f aca="false">IF(AND(E298="Closed Lost",N298=""),1,0)</f>
        <v>0</v>
      </c>
      <c r="AC298" s="7" t="n">
        <f aca="false">SUM(U298:AB298)</f>
        <v>0</v>
      </c>
      <c r="AD298" s="7" t="n">
        <f aca="false">IF(AC298=0,1,0)</f>
        <v>1</v>
      </c>
      <c r="AE298" s="7" t="n">
        <f aca="false">IF(AND(O298=1,I298&gt;=Inputs!$B$6,I298&lt;=Inputs!$B$7),1,0)</f>
        <v>0</v>
      </c>
      <c r="AF298" s="7" t="n">
        <f aca="false">IF(AND(E298="Closed Won",I298&gt;=Inputs!$B$6,I298&lt;=Inputs!$B$4),1,0)</f>
        <v>0</v>
      </c>
      <c r="AG298" s="7" t="n">
        <f aca="false">IF(AND(O298=0,I298&gt;Inputs!$B$4-Inputs!$B$8,I298&lt;=Inputs!$B$4),1,0)</f>
        <v>1</v>
      </c>
      <c r="AH298" s="7" t="n">
        <f aca="false">I298-H298</f>
        <v>194</v>
      </c>
    </row>
    <row r="299" customFormat="false" ht="15" hidden="false" customHeight="false" outlineLevel="0" collapsed="false">
      <c r="A299" s="16" t="s">
        <v>1272</v>
      </c>
      <c r="B299" s="16" t="s">
        <v>748</v>
      </c>
      <c r="C299" s="16" t="s">
        <v>1273</v>
      </c>
      <c r="D299" s="16" t="s">
        <v>162</v>
      </c>
      <c r="E299" s="16" t="s">
        <v>526</v>
      </c>
      <c r="F299" s="26" t="n">
        <v>1976000</v>
      </c>
      <c r="G299" s="25" t="n">
        <v>10</v>
      </c>
      <c r="H299" s="22" t="n">
        <v>46120</v>
      </c>
      <c r="I299" s="22" t="n">
        <v>46381</v>
      </c>
      <c r="J299" s="22" t="n">
        <v>46307</v>
      </c>
      <c r="K299" s="16" t="s">
        <v>651</v>
      </c>
      <c r="L299" s="16" t="s">
        <v>584</v>
      </c>
      <c r="M299" s="16" t="s">
        <v>593</v>
      </c>
      <c r="N299" s="16"/>
      <c r="O299" s="7" t="n">
        <f aca="false">IF(OR(E299="Closed Won",E299="Closed Lost"),0,1)</f>
        <v>1</v>
      </c>
      <c r="P299" s="17" t="str">
        <f aca="false">INDEX(Accounts!$K$5:$K$336,MATCH(B299,Accounts!$A$5:$A$336,0))</f>
        <v>Technology, Media &amp; Telecom</v>
      </c>
      <c r="Q299" s="17" t="str">
        <f aca="false">INDEX(Accounts!$D$5:$D$336,MATCH(B299,Accounts!$A$5:$A$336,0))</f>
        <v>Key</v>
      </c>
      <c r="R299" s="7" t="n">
        <f aca="false">INDEX(Inputs!$B$11:$B$16,MATCH(E299,Inputs!$A$11:$A$16,0))</f>
        <v>10</v>
      </c>
      <c r="S299" s="27" t="n">
        <f aca="false">IF(F299="",0,F299)*R299/100</f>
        <v>197600</v>
      </c>
      <c r="T299" s="7" t="n">
        <f aca="false">Inputs!$B$4-J299</f>
        <v>7</v>
      </c>
      <c r="U299" s="7" t="n">
        <f aca="false">IF(OR(F299="",F299=0),1,0)</f>
        <v>0</v>
      </c>
      <c r="V299" s="7" t="n">
        <f aca="false">IF(K299="",1,0)</f>
        <v>0</v>
      </c>
      <c r="W299" s="7" t="n">
        <f aca="false">IF(AND(O299=1,K299&lt;&gt;"",COUNTIFS(Owners!$A$5:$A$32,K299,Owners!$E$5:$E$32,"No")&gt;0),1,0)</f>
        <v>0</v>
      </c>
      <c r="X299" s="7" t="n">
        <f aca="false">IF(AND(O299=1,I299&lt;Inputs!$B$4),1,0)</f>
        <v>0</v>
      </c>
      <c r="Y299" s="7" t="n">
        <f aca="false">IF(AND(O299=1,T299&gt;Inputs!$B$5),1,0)</f>
        <v>0</v>
      </c>
      <c r="Z299" s="7" t="n">
        <f aca="false">IF(AND(O299=1,G299&lt;&gt;R299),1,0)</f>
        <v>0</v>
      </c>
      <c r="AA299" s="7" t="n">
        <f aca="false">IF(AND(O299=1,M299=""),1,0)</f>
        <v>0</v>
      </c>
      <c r="AB299" s="7" t="n">
        <f aca="false">IF(AND(E299="Closed Lost",N299=""),1,0)</f>
        <v>0</v>
      </c>
      <c r="AC299" s="7" t="n">
        <f aca="false">SUM(U299:AB299)</f>
        <v>0</v>
      </c>
      <c r="AD299" s="7" t="n">
        <f aca="false">IF(AC299=0,1,0)</f>
        <v>1</v>
      </c>
      <c r="AE299" s="7" t="n">
        <f aca="false">IF(AND(O299=1,I299&gt;=Inputs!$B$6,I299&lt;=Inputs!$B$7),1,0)</f>
        <v>1</v>
      </c>
      <c r="AF299" s="7" t="n">
        <f aca="false">IF(AND(E299="Closed Won",I299&gt;=Inputs!$B$6,I299&lt;=Inputs!$B$4),1,0)</f>
        <v>0</v>
      </c>
      <c r="AG299" s="7" t="n">
        <f aca="false">IF(AND(O299=0,I299&gt;Inputs!$B$4-Inputs!$B$8,I299&lt;=Inputs!$B$4),1,0)</f>
        <v>0</v>
      </c>
      <c r="AH299" s="7" t="n">
        <f aca="false">I299-H299</f>
        <v>261</v>
      </c>
    </row>
    <row r="300" customFormat="false" ht="15" hidden="false" customHeight="false" outlineLevel="0" collapsed="false">
      <c r="A300" s="16" t="s">
        <v>1274</v>
      </c>
      <c r="B300" s="16" t="s">
        <v>62</v>
      </c>
      <c r="C300" s="16" t="s">
        <v>1275</v>
      </c>
      <c r="D300" s="16" t="s">
        <v>165</v>
      </c>
      <c r="E300" s="16" t="s">
        <v>526</v>
      </c>
      <c r="F300" s="26" t="n">
        <v>44591000</v>
      </c>
      <c r="G300" s="25" t="n">
        <v>10</v>
      </c>
      <c r="H300" s="22" t="n">
        <v>46274</v>
      </c>
      <c r="I300" s="22" t="n">
        <v>46397</v>
      </c>
      <c r="J300" s="22" t="n">
        <v>46296</v>
      </c>
      <c r="K300" s="16" t="s">
        <v>666</v>
      </c>
      <c r="L300" s="16" t="s">
        <v>568</v>
      </c>
      <c r="M300" s="16" t="s">
        <v>619</v>
      </c>
      <c r="N300" s="16"/>
      <c r="O300" s="7" t="n">
        <f aca="false">IF(OR(E300="Closed Won",E300="Closed Lost"),0,1)</f>
        <v>1</v>
      </c>
      <c r="P300" s="17" t="str">
        <f aca="false">INDEX(Accounts!$K$5:$K$336,MATCH(B300,Accounts!$A$5:$A$336,0))</f>
        <v>Financial Services</v>
      </c>
      <c r="Q300" s="17" t="str">
        <f aca="false">INDEX(Accounts!$D$5:$D$336,MATCH(B300,Accounts!$A$5:$A$336,0))</f>
        <v>Priority</v>
      </c>
      <c r="R300" s="7" t="n">
        <f aca="false">INDEX(Inputs!$B$11:$B$16,MATCH(E300,Inputs!$A$11:$A$16,0))</f>
        <v>10</v>
      </c>
      <c r="S300" s="27" t="n">
        <f aca="false">IF(F300="",0,F300)*R300/100</f>
        <v>4459100</v>
      </c>
      <c r="T300" s="7" t="n">
        <f aca="false">Inputs!$B$4-J300</f>
        <v>18</v>
      </c>
      <c r="U300" s="7" t="n">
        <f aca="false">IF(OR(F300="",F300=0),1,0)</f>
        <v>0</v>
      </c>
      <c r="V300" s="7" t="n">
        <f aca="false">IF(K300="",1,0)</f>
        <v>0</v>
      </c>
      <c r="W300" s="7" t="n">
        <f aca="false">IF(AND(O300=1,K300&lt;&gt;"",COUNTIFS(Owners!$A$5:$A$32,K300,Owners!$E$5:$E$32,"No")&gt;0),1,0)</f>
        <v>0</v>
      </c>
      <c r="X300" s="7" t="n">
        <f aca="false">IF(AND(O300=1,I300&lt;Inputs!$B$4),1,0)</f>
        <v>0</v>
      </c>
      <c r="Y300" s="7" t="n">
        <f aca="false">IF(AND(O300=1,T300&gt;Inputs!$B$5),1,0)</f>
        <v>0</v>
      </c>
      <c r="Z300" s="7" t="n">
        <f aca="false">IF(AND(O300=1,G300&lt;&gt;R300),1,0)</f>
        <v>0</v>
      </c>
      <c r="AA300" s="7" t="n">
        <f aca="false">IF(AND(O300=1,M300=""),1,0)</f>
        <v>0</v>
      </c>
      <c r="AB300" s="7" t="n">
        <f aca="false">IF(AND(E300="Closed Lost",N300=""),1,0)</f>
        <v>0</v>
      </c>
      <c r="AC300" s="7" t="n">
        <f aca="false">SUM(U300:AB300)</f>
        <v>0</v>
      </c>
      <c r="AD300" s="7" t="n">
        <f aca="false">IF(AC300=0,1,0)</f>
        <v>1</v>
      </c>
      <c r="AE300" s="7" t="n">
        <f aca="false">IF(AND(O300=1,I300&gt;=Inputs!$B$6,I300&lt;=Inputs!$B$7),1,0)</f>
        <v>1</v>
      </c>
      <c r="AF300" s="7" t="n">
        <f aca="false">IF(AND(E300="Closed Won",I300&gt;=Inputs!$B$6,I300&lt;=Inputs!$B$4),1,0)</f>
        <v>0</v>
      </c>
      <c r="AG300" s="7" t="n">
        <f aca="false">IF(AND(O300=0,I300&gt;Inputs!$B$4-Inputs!$B$8,I300&lt;=Inputs!$B$4),1,0)</f>
        <v>0</v>
      </c>
      <c r="AH300" s="7" t="n">
        <f aca="false">I300-H300</f>
        <v>123</v>
      </c>
    </row>
    <row r="301" customFormat="false" ht="15" hidden="false" customHeight="false" outlineLevel="0" collapsed="false">
      <c r="A301" s="16" t="s">
        <v>1276</v>
      </c>
      <c r="B301" s="16" t="s">
        <v>1277</v>
      </c>
      <c r="C301" s="16" t="s">
        <v>1278</v>
      </c>
      <c r="D301" s="16" t="s">
        <v>162</v>
      </c>
      <c r="E301" s="16" t="s">
        <v>531</v>
      </c>
      <c r="F301" s="26" t="n">
        <v>8531000</v>
      </c>
      <c r="G301" s="25" t="n">
        <v>0</v>
      </c>
      <c r="H301" s="22" t="n">
        <v>46010</v>
      </c>
      <c r="I301" s="22" t="n">
        <v>46152</v>
      </c>
      <c r="J301" s="22" t="n">
        <v>46152</v>
      </c>
      <c r="K301" s="16" t="s">
        <v>831</v>
      </c>
      <c r="L301" s="16" t="s">
        <v>609</v>
      </c>
      <c r="M301" s="16"/>
      <c r="N301" s="16"/>
      <c r="O301" s="7" t="n">
        <f aca="false">IF(OR(E301="Closed Won",E301="Closed Lost"),0,1)</f>
        <v>0</v>
      </c>
      <c r="P301" s="17" t="str">
        <f aca="false">INDEX(Accounts!$K$5:$K$336,MATCH(B301,Accounts!$A$5:$A$336,0))</f>
        <v>Financial Services</v>
      </c>
      <c r="Q301" s="17" t="str">
        <f aca="false">INDEX(Accounts!$D$5:$D$336,MATCH(B301,Accounts!$A$5:$A$336,0))</f>
        <v>Standard</v>
      </c>
      <c r="R301" s="7" t="n">
        <f aca="false">INDEX(Inputs!$B$11:$B$16,MATCH(E301,Inputs!$A$11:$A$16,0))</f>
        <v>0</v>
      </c>
      <c r="S301" s="27" t="n">
        <f aca="false">IF(F301="",0,F301)*R301/100</f>
        <v>0</v>
      </c>
      <c r="T301" s="7" t="n">
        <f aca="false">Inputs!$B$4-J301</f>
        <v>162</v>
      </c>
      <c r="U301" s="7" t="n">
        <f aca="false">IF(OR(F301="",F301=0),1,0)</f>
        <v>0</v>
      </c>
      <c r="V301" s="7" t="n">
        <f aca="false">IF(K301="",1,0)</f>
        <v>0</v>
      </c>
      <c r="W301" s="7" t="n">
        <f aca="false">IF(AND(O301=1,K301&lt;&gt;"",COUNTIFS(Owners!$A$5:$A$32,K301,Owners!$E$5:$E$32,"No")&gt;0),1,0)</f>
        <v>0</v>
      </c>
      <c r="X301" s="7" t="n">
        <f aca="false">IF(AND(O301=1,I301&lt;Inputs!$B$4),1,0)</f>
        <v>0</v>
      </c>
      <c r="Y301" s="7" t="n">
        <f aca="false">IF(AND(O301=1,T301&gt;Inputs!$B$5),1,0)</f>
        <v>0</v>
      </c>
      <c r="Z301" s="7" t="n">
        <f aca="false">IF(AND(O301=1,G301&lt;&gt;R301),1,0)</f>
        <v>0</v>
      </c>
      <c r="AA301" s="7" t="n">
        <f aca="false">IF(AND(O301=1,M301=""),1,0)</f>
        <v>0</v>
      </c>
      <c r="AB301" s="7" t="n">
        <f aca="false">IF(AND(E301="Closed Lost",N301=""),1,0)</f>
        <v>1</v>
      </c>
      <c r="AC301" s="7" t="n">
        <f aca="false">SUM(U301:AB301)</f>
        <v>1</v>
      </c>
      <c r="AD301" s="7" t="n">
        <f aca="false">IF(AC301=0,1,0)</f>
        <v>0</v>
      </c>
      <c r="AE301" s="7" t="n">
        <f aca="false">IF(AND(O301=1,I301&gt;=Inputs!$B$6,I301&lt;=Inputs!$B$7),1,0)</f>
        <v>0</v>
      </c>
      <c r="AF301" s="7" t="n">
        <f aca="false">IF(AND(E301="Closed Won",I301&gt;=Inputs!$B$6,I301&lt;=Inputs!$B$4),1,0)</f>
        <v>0</v>
      </c>
      <c r="AG301" s="7" t="n">
        <f aca="false">IF(AND(O301=0,I301&gt;Inputs!$B$4-Inputs!$B$8,I301&lt;=Inputs!$B$4),1,0)</f>
        <v>1</v>
      </c>
      <c r="AH301" s="7" t="n">
        <f aca="false">I301-H301</f>
        <v>142</v>
      </c>
    </row>
    <row r="302" customFormat="false" ht="15" hidden="false" customHeight="false" outlineLevel="0" collapsed="false">
      <c r="A302" s="16" t="s">
        <v>1279</v>
      </c>
      <c r="B302" s="16" t="s">
        <v>1280</v>
      </c>
      <c r="C302" s="16" t="s">
        <v>1281</v>
      </c>
      <c r="D302" s="16" t="s">
        <v>165</v>
      </c>
      <c r="E302" s="16" t="s">
        <v>530</v>
      </c>
      <c r="F302" s="26" t="n">
        <v>9073000</v>
      </c>
      <c r="G302" s="25" t="n">
        <v>100</v>
      </c>
      <c r="H302" s="22" t="n">
        <v>46071</v>
      </c>
      <c r="I302" s="22" t="n">
        <v>46208</v>
      </c>
      <c r="J302" s="22" t="n">
        <v>46208</v>
      </c>
      <c r="K302" s="16" t="s">
        <v>640</v>
      </c>
      <c r="L302" s="16" t="s">
        <v>584</v>
      </c>
      <c r="M302" s="16"/>
      <c r="N302" s="16"/>
      <c r="O302" s="7" t="n">
        <f aca="false">IF(OR(E302="Closed Won",E302="Closed Lost"),0,1)</f>
        <v>0</v>
      </c>
      <c r="P302" s="17" t="str">
        <f aca="false">INDEX(Accounts!$K$5:$K$336,MATCH(B302,Accounts!$A$5:$A$336,0))</f>
        <v>Agribusiness</v>
      </c>
      <c r="Q302" s="17" t="str">
        <f aca="false">INDEX(Accounts!$D$5:$D$336,MATCH(B302,Accounts!$A$5:$A$336,0))</f>
        <v>Standard</v>
      </c>
      <c r="R302" s="7" t="n">
        <f aca="false">INDEX(Inputs!$B$11:$B$16,MATCH(E302,Inputs!$A$11:$A$16,0))</f>
        <v>100</v>
      </c>
      <c r="S302" s="27" t="n">
        <f aca="false">IF(F302="",0,F302)*R302/100</f>
        <v>9073000</v>
      </c>
      <c r="T302" s="7" t="n">
        <f aca="false">Inputs!$B$4-J302</f>
        <v>106</v>
      </c>
      <c r="U302" s="7" t="n">
        <f aca="false">IF(OR(F302="",F302=0),1,0)</f>
        <v>0</v>
      </c>
      <c r="V302" s="7" t="n">
        <f aca="false">IF(K302="",1,0)</f>
        <v>0</v>
      </c>
      <c r="W302" s="7" t="n">
        <f aca="false">IF(AND(O302=1,K302&lt;&gt;"",COUNTIFS(Owners!$A$5:$A$32,K302,Owners!$E$5:$E$32,"No")&gt;0),1,0)</f>
        <v>0</v>
      </c>
      <c r="X302" s="7" t="n">
        <f aca="false">IF(AND(O302=1,I302&lt;Inputs!$B$4),1,0)</f>
        <v>0</v>
      </c>
      <c r="Y302" s="7" t="n">
        <f aca="false">IF(AND(O302=1,T302&gt;Inputs!$B$5),1,0)</f>
        <v>0</v>
      </c>
      <c r="Z302" s="7" t="n">
        <f aca="false">IF(AND(O302=1,G302&lt;&gt;R302),1,0)</f>
        <v>0</v>
      </c>
      <c r="AA302" s="7" t="n">
        <f aca="false">IF(AND(O302=1,M302=""),1,0)</f>
        <v>0</v>
      </c>
      <c r="AB302" s="7" t="n">
        <f aca="false">IF(AND(E302="Closed Lost",N302=""),1,0)</f>
        <v>0</v>
      </c>
      <c r="AC302" s="7" t="n">
        <f aca="false">SUM(U302:AB302)</f>
        <v>0</v>
      </c>
      <c r="AD302" s="7" t="n">
        <f aca="false">IF(AC302=0,1,0)</f>
        <v>1</v>
      </c>
      <c r="AE302" s="7" t="n">
        <f aca="false">IF(AND(O302=1,I302&gt;=Inputs!$B$6,I302&lt;=Inputs!$B$7),1,0)</f>
        <v>0</v>
      </c>
      <c r="AF302" s="7" t="n">
        <f aca="false">IF(AND(E302="Closed Won",I302&gt;=Inputs!$B$6,I302&lt;=Inputs!$B$4),1,0)</f>
        <v>1</v>
      </c>
      <c r="AG302" s="7" t="n">
        <f aca="false">IF(AND(O302=0,I302&gt;Inputs!$B$4-Inputs!$B$8,I302&lt;=Inputs!$B$4),1,0)</f>
        <v>1</v>
      </c>
      <c r="AH302" s="7" t="n">
        <f aca="false">I302-H302</f>
        <v>137</v>
      </c>
    </row>
    <row r="303" customFormat="false" ht="15" hidden="false" customHeight="false" outlineLevel="0" collapsed="false">
      <c r="A303" s="16" t="s">
        <v>1282</v>
      </c>
      <c r="B303" s="16" t="s">
        <v>748</v>
      </c>
      <c r="C303" s="16" t="s">
        <v>1283</v>
      </c>
      <c r="D303" s="16" t="s">
        <v>162</v>
      </c>
      <c r="E303" s="16" t="s">
        <v>527</v>
      </c>
      <c r="F303" s="26" t="n">
        <v>5100000</v>
      </c>
      <c r="G303" s="25" t="n">
        <v>25</v>
      </c>
      <c r="H303" s="22" t="n">
        <v>46257</v>
      </c>
      <c r="I303" s="22" t="n">
        <v>46543</v>
      </c>
      <c r="J303" s="22" t="n">
        <v>46286</v>
      </c>
      <c r="K303" s="16" t="s">
        <v>666</v>
      </c>
      <c r="L303" s="16" t="s">
        <v>609</v>
      </c>
      <c r="M303" s="16" t="s">
        <v>613</v>
      </c>
      <c r="N303" s="16"/>
      <c r="O303" s="7" t="n">
        <f aca="false">IF(OR(E303="Closed Won",E303="Closed Lost"),0,1)</f>
        <v>1</v>
      </c>
      <c r="P303" s="17" t="str">
        <f aca="false">INDEX(Accounts!$K$5:$K$336,MATCH(B303,Accounts!$A$5:$A$336,0))</f>
        <v>Technology, Media &amp; Telecom</v>
      </c>
      <c r="Q303" s="17" t="str">
        <f aca="false">INDEX(Accounts!$D$5:$D$336,MATCH(B303,Accounts!$A$5:$A$336,0))</f>
        <v>Key</v>
      </c>
      <c r="R303" s="7" t="n">
        <f aca="false">INDEX(Inputs!$B$11:$B$16,MATCH(E303,Inputs!$A$11:$A$16,0))</f>
        <v>25</v>
      </c>
      <c r="S303" s="27" t="n">
        <f aca="false">IF(F303="",0,F303)*R303/100</f>
        <v>1275000</v>
      </c>
      <c r="T303" s="7" t="n">
        <f aca="false">Inputs!$B$4-J303</f>
        <v>28</v>
      </c>
      <c r="U303" s="7" t="n">
        <f aca="false">IF(OR(F303="",F303=0),1,0)</f>
        <v>0</v>
      </c>
      <c r="V303" s="7" t="n">
        <f aca="false">IF(K303="",1,0)</f>
        <v>0</v>
      </c>
      <c r="W303" s="7" t="n">
        <f aca="false">IF(AND(O303=1,K303&lt;&gt;"",COUNTIFS(Owners!$A$5:$A$32,K303,Owners!$E$5:$E$32,"No")&gt;0),1,0)</f>
        <v>0</v>
      </c>
      <c r="X303" s="7" t="n">
        <f aca="false">IF(AND(O303=1,I303&lt;Inputs!$B$4),1,0)</f>
        <v>0</v>
      </c>
      <c r="Y303" s="7" t="n">
        <f aca="false">IF(AND(O303=1,T303&gt;Inputs!$B$5),1,0)</f>
        <v>0</v>
      </c>
      <c r="Z303" s="7" t="n">
        <f aca="false">IF(AND(O303=1,G303&lt;&gt;R303),1,0)</f>
        <v>0</v>
      </c>
      <c r="AA303" s="7" t="n">
        <f aca="false">IF(AND(O303=1,M303=""),1,0)</f>
        <v>0</v>
      </c>
      <c r="AB303" s="7" t="n">
        <f aca="false">IF(AND(E303="Closed Lost",N303=""),1,0)</f>
        <v>0</v>
      </c>
      <c r="AC303" s="7" t="n">
        <f aca="false">SUM(U303:AB303)</f>
        <v>0</v>
      </c>
      <c r="AD303" s="7" t="n">
        <f aca="false">IF(AC303=0,1,0)</f>
        <v>1</v>
      </c>
      <c r="AE303" s="7" t="n">
        <f aca="false">IF(AND(O303=1,I303&gt;=Inputs!$B$6,I303&lt;=Inputs!$B$7),1,0)</f>
        <v>1</v>
      </c>
      <c r="AF303" s="7" t="n">
        <f aca="false">IF(AND(E303="Closed Won",I303&gt;=Inputs!$B$6,I303&lt;=Inputs!$B$4),1,0)</f>
        <v>0</v>
      </c>
      <c r="AG303" s="7" t="n">
        <f aca="false">IF(AND(O303=0,I303&gt;Inputs!$B$4-Inputs!$B$8,I303&lt;=Inputs!$B$4),1,0)</f>
        <v>0</v>
      </c>
      <c r="AH303" s="7" t="n">
        <f aca="false">I303-H303</f>
        <v>286</v>
      </c>
    </row>
    <row r="304" customFormat="false" ht="15" hidden="false" customHeight="false" outlineLevel="0" collapsed="false">
      <c r="A304" s="16" t="s">
        <v>1284</v>
      </c>
      <c r="B304" s="16" t="s">
        <v>394</v>
      </c>
      <c r="C304" s="16" t="s">
        <v>1285</v>
      </c>
      <c r="D304" s="16" t="s">
        <v>162</v>
      </c>
      <c r="E304" s="16" t="s">
        <v>528</v>
      </c>
      <c r="F304" s="26" t="n">
        <v>3340000</v>
      </c>
      <c r="G304" s="25" t="n">
        <v>50</v>
      </c>
      <c r="H304" s="22" t="n">
        <v>46272</v>
      </c>
      <c r="I304" s="22" t="n">
        <v>46545</v>
      </c>
      <c r="J304" s="22" t="n">
        <v>46301</v>
      </c>
      <c r="K304" s="16" t="s">
        <v>646</v>
      </c>
      <c r="L304" s="16" t="s">
        <v>568</v>
      </c>
      <c r="M304" s="16" t="s">
        <v>575</v>
      </c>
      <c r="N304" s="16"/>
      <c r="O304" s="7" t="n">
        <f aca="false">IF(OR(E304="Closed Won",E304="Closed Lost"),0,1)</f>
        <v>1</v>
      </c>
      <c r="P304" s="17" t="str">
        <f aca="false">INDEX(Accounts!$K$5:$K$336,MATCH(B304,Accounts!$A$5:$A$336,0))</f>
        <v>Energy &amp; Resources</v>
      </c>
      <c r="Q304" s="17" t="str">
        <f aca="false">INDEX(Accounts!$D$5:$D$336,MATCH(B304,Accounts!$A$5:$A$336,0))</f>
        <v>Key</v>
      </c>
      <c r="R304" s="7" t="n">
        <f aca="false">INDEX(Inputs!$B$11:$B$16,MATCH(E304,Inputs!$A$11:$A$16,0))</f>
        <v>50</v>
      </c>
      <c r="S304" s="27" t="n">
        <f aca="false">IF(F304="",0,F304)*R304/100</f>
        <v>1670000</v>
      </c>
      <c r="T304" s="7" t="n">
        <f aca="false">Inputs!$B$4-J304</f>
        <v>13</v>
      </c>
      <c r="U304" s="7" t="n">
        <f aca="false">IF(OR(F304="",F304=0),1,0)</f>
        <v>0</v>
      </c>
      <c r="V304" s="7" t="n">
        <f aca="false">IF(K304="",1,0)</f>
        <v>0</v>
      </c>
      <c r="W304" s="7" t="n">
        <f aca="false">IF(AND(O304=1,K304&lt;&gt;"",COUNTIFS(Owners!$A$5:$A$32,K304,Owners!$E$5:$E$32,"No")&gt;0),1,0)</f>
        <v>0</v>
      </c>
      <c r="X304" s="7" t="n">
        <f aca="false">IF(AND(O304=1,I304&lt;Inputs!$B$4),1,0)</f>
        <v>0</v>
      </c>
      <c r="Y304" s="7" t="n">
        <f aca="false">IF(AND(O304=1,T304&gt;Inputs!$B$5),1,0)</f>
        <v>0</v>
      </c>
      <c r="Z304" s="7" t="n">
        <f aca="false">IF(AND(O304=1,G304&lt;&gt;R304),1,0)</f>
        <v>0</v>
      </c>
      <c r="AA304" s="7" t="n">
        <f aca="false">IF(AND(O304=1,M304=""),1,0)</f>
        <v>0</v>
      </c>
      <c r="AB304" s="7" t="n">
        <f aca="false">IF(AND(E304="Closed Lost",N304=""),1,0)</f>
        <v>0</v>
      </c>
      <c r="AC304" s="7" t="n">
        <f aca="false">SUM(U304:AB304)</f>
        <v>0</v>
      </c>
      <c r="AD304" s="7" t="n">
        <f aca="false">IF(AC304=0,1,0)</f>
        <v>1</v>
      </c>
      <c r="AE304" s="7" t="n">
        <f aca="false">IF(AND(O304=1,I304&gt;=Inputs!$B$6,I304&lt;=Inputs!$B$7),1,0)</f>
        <v>1</v>
      </c>
      <c r="AF304" s="7" t="n">
        <f aca="false">IF(AND(E304="Closed Won",I304&gt;=Inputs!$B$6,I304&lt;=Inputs!$B$4),1,0)</f>
        <v>0</v>
      </c>
      <c r="AG304" s="7" t="n">
        <f aca="false">IF(AND(O304=0,I304&gt;Inputs!$B$4-Inputs!$B$8,I304&lt;=Inputs!$B$4),1,0)</f>
        <v>0</v>
      </c>
      <c r="AH304" s="7" t="n">
        <f aca="false">I304-H304</f>
        <v>273</v>
      </c>
    </row>
    <row r="305" customFormat="false" ht="15" hidden="false" customHeight="false" outlineLevel="0" collapsed="false">
      <c r="A305" s="16" t="s">
        <v>1286</v>
      </c>
      <c r="B305" s="16" t="s">
        <v>456</v>
      </c>
      <c r="C305" s="16" t="s">
        <v>1287</v>
      </c>
      <c r="D305" s="16" t="s">
        <v>167</v>
      </c>
      <c r="E305" s="16" t="s">
        <v>530</v>
      </c>
      <c r="F305" s="26" t="n">
        <v>15545000</v>
      </c>
      <c r="G305" s="25" t="n">
        <v>100</v>
      </c>
      <c r="H305" s="22" t="n">
        <v>46014</v>
      </c>
      <c r="I305" s="22" t="n">
        <v>46196</v>
      </c>
      <c r="J305" s="22" t="n">
        <v>46196</v>
      </c>
      <c r="K305" s="16" t="s">
        <v>622</v>
      </c>
      <c r="L305" s="16" t="s">
        <v>609</v>
      </c>
      <c r="M305" s="16"/>
      <c r="N305" s="16"/>
      <c r="O305" s="7" t="n">
        <f aca="false">IF(OR(E305="Closed Won",E305="Closed Lost"),0,1)</f>
        <v>0</v>
      </c>
      <c r="P305" s="17" t="str">
        <f aca="false">INDEX(Accounts!$K$5:$K$336,MATCH(B305,Accounts!$A$5:$A$336,0))</f>
        <v>Agribusiness</v>
      </c>
      <c r="Q305" s="17" t="str">
        <f aca="false">INDEX(Accounts!$D$5:$D$336,MATCH(B305,Accounts!$A$5:$A$336,0))</f>
        <v>Key</v>
      </c>
      <c r="R305" s="7" t="n">
        <f aca="false">INDEX(Inputs!$B$11:$B$16,MATCH(E305,Inputs!$A$11:$A$16,0))</f>
        <v>100</v>
      </c>
      <c r="S305" s="27" t="n">
        <f aca="false">IF(F305="",0,F305)*R305/100</f>
        <v>15545000</v>
      </c>
      <c r="T305" s="7" t="n">
        <f aca="false">Inputs!$B$4-J305</f>
        <v>118</v>
      </c>
      <c r="U305" s="7" t="n">
        <f aca="false">IF(OR(F305="",F305=0),1,0)</f>
        <v>0</v>
      </c>
      <c r="V305" s="7" t="n">
        <f aca="false">IF(K305="",1,0)</f>
        <v>0</v>
      </c>
      <c r="W305" s="7" t="n">
        <f aca="false">IF(AND(O305=1,K305&lt;&gt;"",COUNTIFS(Owners!$A$5:$A$32,K305,Owners!$E$5:$E$32,"No")&gt;0),1,0)</f>
        <v>0</v>
      </c>
      <c r="X305" s="7" t="n">
        <f aca="false">IF(AND(O305=1,I305&lt;Inputs!$B$4),1,0)</f>
        <v>0</v>
      </c>
      <c r="Y305" s="7" t="n">
        <f aca="false">IF(AND(O305=1,T305&gt;Inputs!$B$5),1,0)</f>
        <v>0</v>
      </c>
      <c r="Z305" s="7" t="n">
        <f aca="false">IF(AND(O305=1,G305&lt;&gt;R305),1,0)</f>
        <v>0</v>
      </c>
      <c r="AA305" s="7" t="n">
        <f aca="false">IF(AND(O305=1,M305=""),1,0)</f>
        <v>0</v>
      </c>
      <c r="AB305" s="7" t="n">
        <f aca="false">IF(AND(E305="Closed Lost",N305=""),1,0)</f>
        <v>0</v>
      </c>
      <c r="AC305" s="7" t="n">
        <f aca="false">SUM(U305:AB305)</f>
        <v>0</v>
      </c>
      <c r="AD305" s="7" t="n">
        <f aca="false">IF(AC305=0,1,0)</f>
        <v>1</v>
      </c>
      <c r="AE305" s="7" t="n">
        <f aca="false">IF(AND(O305=1,I305&gt;=Inputs!$B$6,I305&lt;=Inputs!$B$7),1,0)</f>
        <v>0</v>
      </c>
      <c r="AF305" s="7" t="n">
        <f aca="false">IF(AND(E305="Closed Won",I305&gt;=Inputs!$B$6,I305&lt;=Inputs!$B$4),1,0)</f>
        <v>0</v>
      </c>
      <c r="AG305" s="7" t="n">
        <f aca="false">IF(AND(O305=0,I305&gt;Inputs!$B$4-Inputs!$B$8,I305&lt;=Inputs!$B$4),1,0)</f>
        <v>1</v>
      </c>
      <c r="AH305" s="7" t="n">
        <f aca="false">I305-H305</f>
        <v>182</v>
      </c>
    </row>
    <row r="306" customFormat="false" ht="15" hidden="false" customHeight="false" outlineLevel="0" collapsed="false">
      <c r="A306" s="16" t="s">
        <v>1288</v>
      </c>
      <c r="B306" s="16" t="s">
        <v>1289</v>
      </c>
      <c r="C306" s="16" t="s">
        <v>1290</v>
      </c>
      <c r="D306" s="16" t="s">
        <v>167</v>
      </c>
      <c r="E306" s="16" t="s">
        <v>531</v>
      </c>
      <c r="F306" s="26" t="n">
        <v>26894000</v>
      </c>
      <c r="G306" s="25" t="n">
        <v>0</v>
      </c>
      <c r="H306" s="22" t="n">
        <v>45909</v>
      </c>
      <c r="I306" s="22" t="n">
        <v>46047</v>
      </c>
      <c r="J306" s="22" t="n">
        <v>46047</v>
      </c>
      <c r="K306" s="16" t="s">
        <v>880</v>
      </c>
      <c r="L306" s="16" t="s">
        <v>609</v>
      </c>
      <c r="M306" s="16"/>
      <c r="N306" s="16" t="s">
        <v>713</v>
      </c>
      <c r="O306" s="7" t="n">
        <f aca="false">IF(OR(E306="Closed Won",E306="Closed Lost"),0,1)</f>
        <v>0</v>
      </c>
      <c r="P306" s="17" t="str">
        <f aca="false">INDEX(Accounts!$K$5:$K$336,MATCH(B306,Accounts!$A$5:$A$336,0))</f>
        <v>Technology, Media &amp; Telecom</v>
      </c>
      <c r="Q306" s="17" t="str">
        <f aca="false">INDEX(Accounts!$D$5:$D$336,MATCH(B306,Accounts!$A$5:$A$336,0))</f>
        <v>Key</v>
      </c>
      <c r="R306" s="7" t="n">
        <f aca="false">INDEX(Inputs!$B$11:$B$16,MATCH(E306,Inputs!$A$11:$A$16,0))</f>
        <v>0</v>
      </c>
      <c r="S306" s="27" t="n">
        <f aca="false">IF(F306="",0,F306)*R306/100</f>
        <v>0</v>
      </c>
      <c r="T306" s="7" t="n">
        <f aca="false">Inputs!$B$4-J306</f>
        <v>267</v>
      </c>
      <c r="U306" s="7" t="n">
        <f aca="false">IF(OR(F306="",F306=0),1,0)</f>
        <v>0</v>
      </c>
      <c r="V306" s="7" t="n">
        <f aca="false">IF(K306="",1,0)</f>
        <v>0</v>
      </c>
      <c r="W306" s="7" t="n">
        <f aca="false">IF(AND(O306=1,K306&lt;&gt;"",COUNTIFS(Owners!$A$5:$A$32,K306,Owners!$E$5:$E$32,"No")&gt;0),1,0)</f>
        <v>0</v>
      </c>
      <c r="X306" s="7" t="n">
        <f aca="false">IF(AND(O306=1,I306&lt;Inputs!$B$4),1,0)</f>
        <v>0</v>
      </c>
      <c r="Y306" s="7" t="n">
        <f aca="false">IF(AND(O306=1,T306&gt;Inputs!$B$5),1,0)</f>
        <v>0</v>
      </c>
      <c r="Z306" s="7" t="n">
        <f aca="false">IF(AND(O306=1,G306&lt;&gt;R306),1,0)</f>
        <v>0</v>
      </c>
      <c r="AA306" s="7" t="n">
        <f aca="false">IF(AND(O306=1,M306=""),1,0)</f>
        <v>0</v>
      </c>
      <c r="AB306" s="7" t="n">
        <f aca="false">IF(AND(E306="Closed Lost",N306=""),1,0)</f>
        <v>0</v>
      </c>
      <c r="AC306" s="7" t="n">
        <f aca="false">SUM(U306:AB306)</f>
        <v>0</v>
      </c>
      <c r="AD306" s="7" t="n">
        <f aca="false">IF(AC306=0,1,0)</f>
        <v>1</v>
      </c>
      <c r="AE306" s="7" t="n">
        <f aca="false">IF(AND(O306=1,I306&gt;=Inputs!$B$6,I306&lt;=Inputs!$B$7),1,0)</f>
        <v>0</v>
      </c>
      <c r="AF306" s="7" t="n">
        <f aca="false">IF(AND(E306="Closed Won",I306&gt;=Inputs!$B$6,I306&lt;=Inputs!$B$4),1,0)</f>
        <v>0</v>
      </c>
      <c r="AG306" s="7" t="n">
        <f aca="false">IF(AND(O306=0,I306&gt;Inputs!$B$4-Inputs!$B$8,I306&lt;=Inputs!$B$4),1,0)</f>
        <v>1</v>
      </c>
      <c r="AH306" s="7" t="n">
        <f aca="false">I306-H306</f>
        <v>138</v>
      </c>
    </row>
    <row r="307" customFormat="false" ht="15" hidden="false" customHeight="false" outlineLevel="0" collapsed="false">
      <c r="A307" s="16" t="s">
        <v>1291</v>
      </c>
      <c r="B307" s="16" t="s">
        <v>1292</v>
      </c>
      <c r="C307" s="16" t="s">
        <v>1293</v>
      </c>
      <c r="D307" s="16" t="s">
        <v>158</v>
      </c>
      <c r="E307" s="16" t="s">
        <v>531</v>
      </c>
      <c r="F307" s="26" t="n">
        <v>23375000</v>
      </c>
      <c r="G307" s="25" t="n">
        <v>0</v>
      </c>
      <c r="H307" s="22" t="n">
        <v>46010</v>
      </c>
      <c r="I307" s="22" t="n">
        <v>46293</v>
      </c>
      <c r="J307" s="22" t="n">
        <v>46293</v>
      </c>
      <c r="K307" s="16" t="s">
        <v>831</v>
      </c>
      <c r="L307" s="16" t="s">
        <v>574</v>
      </c>
      <c r="M307" s="16"/>
      <c r="N307" s="16" t="s">
        <v>722</v>
      </c>
      <c r="O307" s="7" t="n">
        <f aca="false">IF(OR(E307="Closed Won",E307="Closed Lost"),0,1)</f>
        <v>0</v>
      </c>
      <c r="P307" s="17" t="str">
        <f aca="false">INDEX(Accounts!$K$5:$K$336,MATCH(B307,Accounts!$A$5:$A$336,0))</f>
        <v>Agribusiness</v>
      </c>
      <c r="Q307" s="17" t="str">
        <f aca="false">INDEX(Accounts!$D$5:$D$336,MATCH(B307,Accounts!$A$5:$A$336,0))</f>
        <v>Key</v>
      </c>
      <c r="R307" s="7" t="n">
        <f aca="false">INDEX(Inputs!$B$11:$B$16,MATCH(E307,Inputs!$A$11:$A$16,0))</f>
        <v>0</v>
      </c>
      <c r="S307" s="27" t="n">
        <f aca="false">IF(F307="",0,F307)*R307/100</f>
        <v>0</v>
      </c>
      <c r="T307" s="7" t="n">
        <f aca="false">Inputs!$B$4-J307</f>
        <v>21</v>
      </c>
      <c r="U307" s="7" t="n">
        <f aca="false">IF(OR(F307="",F307=0),1,0)</f>
        <v>0</v>
      </c>
      <c r="V307" s="7" t="n">
        <f aca="false">IF(K307="",1,0)</f>
        <v>0</v>
      </c>
      <c r="W307" s="7" t="n">
        <f aca="false">IF(AND(O307=1,K307&lt;&gt;"",COUNTIFS(Owners!$A$5:$A$32,K307,Owners!$E$5:$E$32,"No")&gt;0),1,0)</f>
        <v>0</v>
      </c>
      <c r="X307" s="7" t="n">
        <f aca="false">IF(AND(O307=1,I307&lt;Inputs!$B$4),1,0)</f>
        <v>0</v>
      </c>
      <c r="Y307" s="7" t="n">
        <f aca="false">IF(AND(O307=1,T307&gt;Inputs!$B$5),1,0)</f>
        <v>0</v>
      </c>
      <c r="Z307" s="7" t="n">
        <f aca="false">IF(AND(O307=1,G307&lt;&gt;R307),1,0)</f>
        <v>0</v>
      </c>
      <c r="AA307" s="7" t="n">
        <f aca="false">IF(AND(O307=1,M307=""),1,0)</f>
        <v>0</v>
      </c>
      <c r="AB307" s="7" t="n">
        <f aca="false">IF(AND(E307="Closed Lost",N307=""),1,0)</f>
        <v>0</v>
      </c>
      <c r="AC307" s="7" t="n">
        <f aca="false">SUM(U307:AB307)</f>
        <v>0</v>
      </c>
      <c r="AD307" s="7" t="n">
        <f aca="false">IF(AC307=0,1,0)</f>
        <v>1</v>
      </c>
      <c r="AE307" s="7" t="n">
        <f aca="false">IF(AND(O307=1,I307&gt;=Inputs!$B$6,I307&lt;=Inputs!$B$7),1,0)</f>
        <v>0</v>
      </c>
      <c r="AF307" s="7" t="n">
        <f aca="false">IF(AND(E307="Closed Won",I307&gt;=Inputs!$B$6,I307&lt;=Inputs!$B$4),1,0)</f>
        <v>0</v>
      </c>
      <c r="AG307" s="7" t="n">
        <f aca="false">IF(AND(O307=0,I307&gt;Inputs!$B$4-Inputs!$B$8,I307&lt;=Inputs!$B$4),1,0)</f>
        <v>1</v>
      </c>
      <c r="AH307" s="7" t="n">
        <f aca="false">I307-H307</f>
        <v>283</v>
      </c>
    </row>
    <row r="308" customFormat="false" ht="15" hidden="false" customHeight="false" outlineLevel="0" collapsed="false">
      <c r="A308" s="16" t="s">
        <v>1294</v>
      </c>
      <c r="B308" s="16" t="s">
        <v>89</v>
      </c>
      <c r="C308" s="16" t="s">
        <v>1295</v>
      </c>
      <c r="D308" s="16" t="s">
        <v>167</v>
      </c>
      <c r="E308" s="16" t="s">
        <v>527</v>
      </c>
      <c r="F308" s="26"/>
      <c r="G308" s="25" t="n">
        <v>25</v>
      </c>
      <c r="H308" s="22" t="n">
        <v>46235</v>
      </c>
      <c r="I308" s="22" t="n">
        <v>46478</v>
      </c>
      <c r="J308" s="22" t="n">
        <v>46280</v>
      </c>
      <c r="K308" s="16" t="s">
        <v>704</v>
      </c>
      <c r="L308" s="16" t="s">
        <v>568</v>
      </c>
      <c r="M308" s="16" t="s">
        <v>613</v>
      </c>
      <c r="N308" s="16"/>
      <c r="O308" s="7" t="n">
        <f aca="false">IF(OR(E308="Closed Won",E308="Closed Lost"),0,1)</f>
        <v>1</v>
      </c>
      <c r="P308" s="17" t="str">
        <f aca="false">INDEX(Accounts!$K$5:$K$336,MATCH(B308,Accounts!$A$5:$A$336,0))</f>
        <v>Agribusiness</v>
      </c>
      <c r="Q308" s="17" t="str">
        <f aca="false">INDEX(Accounts!$D$5:$D$336,MATCH(B308,Accounts!$A$5:$A$336,0))</f>
        <v>Priority</v>
      </c>
      <c r="R308" s="7" t="n">
        <f aca="false">INDEX(Inputs!$B$11:$B$16,MATCH(E308,Inputs!$A$11:$A$16,0))</f>
        <v>25</v>
      </c>
      <c r="S308" s="27" t="n">
        <f aca="false">IF(F308="",0,F308)*R308/100</f>
        <v>0</v>
      </c>
      <c r="T308" s="7" t="n">
        <f aca="false">Inputs!$B$4-J308</f>
        <v>34</v>
      </c>
      <c r="U308" s="7" t="n">
        <f aca="false">IF(OR(F308="",F308=0),1,0)</f>
        <v>1</v>
      </c>
      <c r="V308" s="7" t="n">
        <f aca="false">IF(K308="",1,0)</f>
        <v>0</v>
      </c>
      <c r="W308" s="7" t="n">
        <f aca="false">IF(AND(O308=1,K308&lt;&gt;"",COUNTIFS(Owners!$A$5:$A$32,K308,Owners!$E$5:$E$32,"No")&gt;0),1,0)</f>
        <v>0</v>
      </c>
      <c r="X308" s="7" t="n">
        <f aca="false">IF(AND(O308=1,I308&lt;Inputs!$B$4),1,0)</f>
        <v>0</v>
      </c>
      <c r="Y308" s="7" t="n">
        <f aca="false">IF(AND(O308=1,T308&gt;Inputs!$B$5),1,0)</f>
        <v>0</v>
      </c>
      <c r="Z308" s="7" t="n">
        <f aca="false">IF(AND(O308=1,G308&lt;&gt;R308),1,0)</f>
        <v>0</v>
      </c>
      <c r="AA308" s="7" t="n">
        <f aca="false">IF(AND(O308=1,M308=""),1,0)</f>
        <v>0</v>
      </c>
      <c r="AB308" s="7" t="n">
        <f aca="false">IF(AND(E308="Closed Lost",N308=""),1,0)</f>
        <v>0</v>
      </c>
      <c r="AC308" s="7" t="n">
        <f aca="false">SUM(U308:AB308)</f>
        <v>1</v>
      </c>
      <c r="AD308" s="7" t="n">
        <f aca="false">IF(AC308=0,1,0)</f>
        <v>0</v>
      </c>
      <c r="AE308" s="7" t="n">
        <f aca="false">IF(AND(O308=1,I308&gt;=Inputs!$B$6,I308&lt;=Inputs!$B$7),1,0)</f>
        <v>1</v>
      </c>
      <c r="AF308" s="7" t="n">
        <f aca="false">IF(AND(E308="Closed Won",I308&gt;=Inputs!$B$6,I308&lt;=Inputs!$B$4),1,0)</f>
        <v>0</v>
      </c>
      <c r="AG308" s="7" t="n">
        <f aca="false">IF(AND(O308=0,I308&gt;Inputs!$B$4-Inputs!$B$8,I308&lt;=Inputs!$B$4),1,0)</f>
        <v>0</v>
      </c>
      <c r="AH308" s="7" t="n">
        <f aca="false">I308-H308</f>
        <v>243</v>
      </c>
    </row>
    <row r="309" customFormat="false" ht="15" hidden="false" customHeight="false" outlineLevel="0" collapsed="false">
      <c r="A309" s="16" t="s">
        <v>1296</v>
      </c>
      <c r="B309" s="16" t="s">
        <v>635</v>
      </c>
      <c r="C309" s="16" t="s">
        <v>1297</v>
      </c>
      <c r="D309" s="16" t="s">
        <v>162</v>
      </c>
      <c r="E309" s="16" t="s">
        <v>529</v>
      </c>
      <c r="F309" s="26" t="n">
        <v>12021000</v>
      </c>
      <c r="G309" s="25" t="n">
        <v>75</v>
      </c>
      <c r="H309" s="22" t="n">
        <v>46213</v>
      </c>
      <c r="I309" s="22" t="n">
        <v>46351</v>
      </c>
      <c r="J309" s="22" t="n">
        <v>46295</v>
      </c>
      <c r="K309" s="16" t="s">
        <v>651</v>
      </c>
      <c r="L309" s="16" t="s">
        <v>568</v>
      </c>
      <c r="M309" s="16" t="s">
        <v>619</v>
      </c>
      <c r="N309" s="16"/>
      <c r="O309" s="7" t="n">
        <f aca="false">IF(OR(E309="Closed Won",E309="Closed Lost"),0,1)</f>
        <v>1</v>
      </c>
      <c r="P309" s="17" t="str">
        <f aca="false">INDEX(Accounts!$K$5:$K$336,MATCH(B309,Accounts!$A$5:$A$336,0))</f>
        <v>Public Sector &amp; Development</v>
      </c>
      <c r="Q309" s="17" t="str">
        <f aca="false">INDEX(Accounts!$D$5:$D$336,MATCH(B309,Accounts!$A$5:$A$336,0))</f>
        <v>Standard</v>
      </c>
      <c r="R309" s="7" t="n">
        <f aca="false">INDEX(Inputs!$B$11:$B$16,MATCH(E309,Inputs!$A$11:$A$16,0))</f>
        <v>75</v>
      </c>
      <c r="S309" s="27" t="n">
        <f aca="false">IF(F309="",0,F309)*R309/100</f>
        <v>9015750</v>
      </c>
      <c r="T309" s="7" t="n">
        <f aca="false">Inputs!$B$4-J309</f>
        <v>19</v>
      </c>
      <c r="U309" s="7" t="n">
        <f aca="false">IF(OR(F309="",F309=0),1,0)</f>
        <v>0</v>
      </c>
      <c r="V309" s="7" t="n">
        <f aca="false">IF(K309="",1,0)</f>
        <v>0</v>
      </c>
      <c r="W309" s="7" t="n">
        <f aca="false">IF(AND(O309=1,K309&lt;&gt;"",COUNTIFS(Owners!$A$5:$A$32,K309,Owners!$E$5:$E$32,"No")&gt;0),1,0)</f>
        <v>0</v>
      </c>
      <c r="X309" s="7" t="n">
        <f aca="false">IF(AND(O309=1,I309&lt;Inputs!$B$4),1,0)</f>
        <v>0</v>
      </c>
      <c r="Y309" s="7" t="n">
        <f aca="false">IF(AND(O309=1,T309&gt;Inputs!$B$5),1,0)</f>
        <v>0</v>
      </c>
      <c r="Z309" s="7" t="n">
        <f aca="false">IF(AND(O309=1,G309&lt;&gt;R309),1,0)</f>
        <v>0</v>
      </c>
      <c r="AA309" s="7" t="n">
        <f aca="false">IF(AND(O309=1,M309=""),1,0)</f>
        <v>0</v>
      </c>
      <c r="AB309" s="7" t="n">
        <f aca="false">IF(AND(E309="Closed Lost",N309=""),1,0)</f>
        <v>0</v>
      </c>
      <c r="AC309" s="7" t="n">
        <f aca="false">SUM(U309:AB309)</f>
        <v>0</v>
      </c>
      <c r="AD309" s="7" t="n">
        <f aca="false">IF(AC309=0,1,0)</f>
        <v>1</v>
      </c>
      <c r="AE309" s="7" t="n">
        <f aca="false">IF(AND(O309=1,I309&gt;=Inputs!$B$6,I309&lt;=Inputs!$B$7),1,0)</f>
        <v>1</v>
      </c>
      <c r="AF309" s="7" t="n">
        <f aca="false">IF(AND(E309="Closed Won",I309&gt;=Inputs!$B$6,I309&lt;=Inputs!$B$4),1,0)</f>
        <v>0</v>
      </c>
      <c r="AG309" s="7" t="n">
        <f aca="false">IF(AND(O309=0,I309&gt;Inputs!$B$4-Inputs!$B$8,I309&lt;=Inputs!$B$4),1,0)</f>
        <v>0</v>
      </c>
      <c r="AH309" s="7" t="n">
        <f aca="false">I309-H309</f>
        <v>138</v>
      </c>
    </row>
    <row r="310" customFormat="false" ht="15" hidden="false" customHeight="false" outlineLevel="0" collapsed="false">
      <c r="A310" s="16" t="s">
        <v>1298</v>
      </c>
      <c r="B310" s="16" t="s">
        <v>94</v>
      </c>
      <c r="C310" s="16" t="s">
        <v>1299</v>
      </c>
      <c r="D310" s="16" t="s">
        <v>167</v>
      </c>
      <c r="E310" s="16" t="s">
        <v>531</v>
      </c>
      <c r="F310" s="26" t="n">
        <v>3139000</v>
      </c>
      <c r="G310" s="25" t="n">
        <v>0</v>
      </c>
      <c r="H310" s="22" t="n">
        <v>46106</v>
      </c>
      <c r="I310" s="22" t="n">
        <v>46179</v>
      </c>
      <c r="J310" s="22" t="n">
        <v>46179</v>
      </c>
      <c r="K310" s="16" t="s">
        <v>640</v>
      </c>
      <c r="L310" s="16" t="s">
        <v>584</v>
      </c>
      <c r="M310" s="16"/>
      <c r="N310" s="16" t="s">
        <v>722</v>
      </c>
      <c r="O310" s="7" t="n">
        <f aca="false">IF(OR(E310="Closed Won",E310="Closed Lost"),0,1)</f>
        <v>0</v>
      </c>
      <c r="P310" s="17" t="str">
        <f aca="false">INDEX(Accounts!$K$5:$K$336,MATCH(B310,Accounts!$A$5:$A$336,0))</f>
        <v>Technology, Media &amp; Telecom</v>
      </c>
      <c r="Q310" s="17" t="str">
        <f aca="false">INDEX(Accounts!$D$5:$D$336,MATCH(B310,Accounts!$A$5:$A$336,0))</f>
        <v>Priority</v>
      </c>
      <c r="R310" s="7" t="n">
        <f aca="false">INDEX(Inputs!$B$11:$B$16,MATCH(E310,Inputs!$A$11:$A$16,0))</f>
        <v>0</v>
      </c>
      <c r="S310" s="27" t="n">
        <f aca="false">IF(F310="",0,F310)*R310/100</f>
        <v>0</v>
      </c>
      <c r="T310" s="7" t="n">
        <f aca="false">Inputs!$B$4-J310</f>
        <v>135</v>
      </c>
      <c r="U310" s="7" t="n">
        <f aca="false">IF(OR(F310="",F310=0),1,0)</f>
        <v>0</v>
      </c>
      <c r="V310" s="7" t="n">
        <f aca="false">IF(K310="",1,0)</f>
        <v>0</v>
      </c>
      <c r="W310" s="7" t="n">
        <f aca="false">IF(AND(O310=1,K310&lt;&gt;"",COUNTIFS(Owners!$A$5:$A$32,K310,Owners!$E$5:$E$32,"No")&gt;0),1,0)</f>
        <v>0</v>
      </c>
      <c r="X310" s="7" t="n">
        <f aca="false">IF(AND(O310=1,I310&lt;Inputs!$B$4),1,0)</f>
        <v>0</v>
      </c>
      <c r="Y310" s="7" t="n">
        <f aca="false">IF(AND(O310=1,T310&gt;Inputs!$B$5),1,0)</f>
        <v>0</v>
      </c>
      <c r="Z310" s="7" t="n">
        <f aca="false">IF(AND(O310=1,G310&lt;&gt;R310),1,0)</f>
        <v>0</v>
      </c>
      <c r="AA310" s="7" t="n">
        <f aca="false">IF(AND(O310=1,M310=""),1,0)</f>
        <v>0</v>
      </c>
      <c r="AB310" s="7" t="n">
        <f aca="false">IF(AND(E310="Closed Lost",N310=""),1,0)</f>
        <v>0</v>
      </c>
      <c r="AC310" s="7" t="n">
        <f aca="false">SUM(U310:AB310)</f>
        <v>0</v>
      </c>
      <c r="AD310" s="7" t="n">
        <f aca="false">IF(AC310=0,1,0)</f>
        <v>1</v>
      </c>
      <c r="AE310" s="7" t="n">
        <f aca="false">IF(AND(O310=1,I310&gt;=Inputs!$B$6,I310&lt;=Inputs!$B$7),1,0)</f>
        <v>0</v>
      </c>
      <c r="AF310" s="7" t="n">
        <f aca="false">IF(AND(E310="Closed Won",I310&gt;=Inputs!$B$6,I310&lt;=Inputs!$B$4),1,0)</f>
        <v>0</v>
      </c>
      <c r="AG310" s="7" t="n">
        <f aca="false">IF(AND(O310=0,I310&gt;Inputs!$B$4-Inputs!$B$8,I310&lt;=Inputs!$B$4),1,0)</f>
        <v>1</v>
      </c>
      <c r="AH310" s="7" t="n">
        <f aca="false">I310-H310</f>
        <v>73</v>
      </c>
    </row>
    <row r="311" customFormat="false" ht="15" hidden="false" customHeight="false" outlineLevel="0" collapsed="false">
      <c r="A311" s="16" t="s">
        <v>1300</v>
      </c>
      <c r="B311" s="16" t="s">
        <v>78</v>
      </c>
      <c r="C311" s="16" t="s">
        <v>1301</v>
      </c>
      <c r="D311" s="16" t="s">
        <v>167</v>
      </c>
      <c r="E311" s="16" t="s">
        <v>531</v>
      </c>
      <c r="F311" s="26" t="n">
        <v>3694000</v>
      </c>
      <c r="G311" s="25" t="n">
        <v>0</v>
      </c>
      <c r="H311" s="22" t="n">
        <v>46025</v>
      </c>
      <c r="I311" s="22" t="n">
        <v>46264</v>
      </c>
      <c r="J311" s="22" t="n">
        <v>46264</v>
      </c>
      <c r="K311" s="16" t="s">
        <v>717</v>
      </c>
      <c r="L311" s="16" t="s">
        <v>568</v>
      </c>
      <c r="M311" s="16"/>
      <c r="N311" s="16" t="s">
        <v>697</v>
      </c>
      <c r="O311" s="7" t="n">
        <f aca="false">IF(OR(E311="Closed Won",E311="Closed Lost"),0,1)</f>
        <v>0</v>
      </c>
      <c r="P311" s="17" t="str">
        <f aca="false">INDEX(Accounts!$K$5:$K$336,MATCH(B311,Accounts!$A$5:$A$336,0))</f>
        <v>Financial Services</v>
      </c>
      <c r="Q311" s="17" t="str">
        <f aca="false">INDEX(Accounts!$D$5:$D$336,MATCH(B311,Accounts!$A$5:$A$336,0))</f>
        <v>Priority</v>
      </c>
      <c r="R311" s="7" t="n">
        <f aca="false">INDEX(Inputs!$B$11:$B$16,MATCH(E311,Inputs!$A$11:$A$16,0))</f>
        <v>0</v>
      </c>
      <c r="S311" s="27" t="n">
        <f aca="false">IF(F311="",0,F311)*R311/100</f>
        <v>0</v>
      </c>
      <c r="T311" s="7" t="n">
        <f aca="false">Inputs!$B$4-J311</f>
        <v>50</v>
      </c>
      <c r="U311" s="7" t="n">
        <f aca="false">IF(OR(F311="",F311=0),1,0)</f>
        <v>0</v>
      </c>
      <c r="V311" s="7" t="n">
        <f aca="false">IF(K311="",1,0)</f>
        <v>0</v>
      </c>
      <c r="W311" s="7" t="n">
        <f aca="false">IF(AND(O311=1,K311&lt;&gt;"",COUNTIFS(Owners!$A$5:$A$32,K311,Owners!$E$5:$E$32,"No")&gt;0),1,0)</f>
        <v>0</v>
      </c>
      <c r="X311" s="7" t="n">
        <f aca="false">IF(AND(O311=1,I311&lt;Inputs!$B$4),1,0)</f>
        <v>0</v>
      </c>
      <c r="Y311" s="7" t="n">
        <f aca="false">IF(AND(O311=1,T311&gt;Inputs!$B$5),1,0)</f>
        <v>0</v>
      </c>
      <c r="Z311" s="7" t="n">
        <f aca="false">IF(AND(O311=1,G311&lt;&gt;R311),1,0)</f>
        <v>0</v>
      </c>
      <c r="AA311" s="7" t="n">
        <f aca="false">IF(AND(O311=1,M311=""),1,0)</f>
        <v>0</v>
      </c>
      <c r="AB311" s="7" t="n">
        <f aca="false">IF(AND(E311="Closed Lost",N311=""),1,0)</f>
        <v>0</v>
      </c>
      <c r="AC311" s="7" t="n">
        <f aca="false">SUM(U311:AB311)</f>
        <v>0</v>
      </c>
      <c r="AD311" s="7" t="n">
        <f aca="false">IF(AC311=0,1,0)</f>
        <v>1</v>
      </c>
      <c r="AE311" s="7" t="n">
        <f aca="false">IF(AND(O311=1,I311&gt;=Inputs!$B$6,I311&lt;=Inputs!$B$7),1,0)</f>
        <v>0</v>
      </c>
      <c r="AF311" s="7" t="n">
        <f aca="false">IF(AND(E311="Closed Won",I311&gt;=Inputs!$B$6,I311&lt;=Inputs!$B$4),1,0)</f>
        <v>0</v>
      </c>
      <c r="AG311" s="7" t="n">
        <f aca="false">IF(AND(O311=0,I311&gt;Inputs!$B$4-Inputs!$B$8,I311&lt;=Inputs!$B$4),1,0)</f>
        <v>1</v>
      </c>
      <c r="AH311" s="7" t="n">
        <f aca="false">I311-H311</f>
        <v>239</v>
      </c>
    </row>
    <row r="312" customFormat="false" ht="15" hidden="false" customHeight="false" outlineLevel="0" collapsed="false">
      <c r="A312" s="16" t="s">
        <v>1302</v>
      </c>
      <c r="B312" s="16" t="s">
        <v>408</v>
      </c>
      <c r="C312" s="16" t="s">
        <v>1303</v>
      </c>
      <c r="D312" s="16" t="s">
        <v>158</v>
      </c>
      <c r="E312" s="16" t="s">
        <v>527</v>
      </c>
      <c r="F312" s="26"/>
      <c r="G312" s="25" t="n">
        <v>25</v>
      </c>
      <c r="H312" s="22" t="n">
        <v>46180</v>
      </c>
      <c r="I312" s="22" t="n">
        <v>46295</v>
      </c>
      <c r="J312" s="22" t="n">
        <v>46289</v>
      </c>
      <c r="K312" s="16" t="s">
        <v>651</v>
      </c>
      <c r="L312" s="16" t="s">
        <v>584</v>
      </c>
      <c r="M312" s="16"/>
      <c r="N312" s="16"/>
      <c r="O312" s="7" t="n">
        <f aca="false">IF(OR(E312="Closed Won",E312="Closed Lost"),0,1)</f>
        <v>1</v>
      </c>
      <c r="P312" s="17" t="str">
        <f aca="false">INDEX(Accounts!$K$5:$K$336,MATCH(B312,Accounts!$A$5:$A$336,0))</f>
        <v>Unassigned</v>
      </c>
      <c r="Q312" s="17" t="str">
        <f aca="false">INDEX(Accounts!$D$5:$D$336,MATCH(B312,Accounts!$A$5:$A$336,0))</f>
        <v>Standard</v>
      </c>
      <c r="R312" s="7" t="n">
        <f aca="false">INDEX(Inputs!$B$11:$B$16,MATCH(E312,Inputs!$A$11:$A$16,0))</f>
        <v>25</v>
      </c>
      <c r="S312" s="27" t="n">
        <f aca="false">IF(F312="",0,F312)*R312/100</f>
        <v>0</v>
      </c>
      <c r="T312" s="7" t="n">
        <f aca="false">Inputs!$B$4-J312</f>
        <v>25</v>
      </c>
      <c r="U312" s="7" t="n">
        <f aca="false">IF(OR(F312="",F312=0),1,0)</f>
        <v>1</v>
      </c>
      <c r="V312" s="7" t="n">
        <f aca="false">IF(K312="",1,0)</f>
        <v>0</v>
      </c>
      <c r="W312" s="7" t="n">
        <f aca="false">IF(AND(O312=1,K312&lt;&gt;"",COUNTIFS(Owners!$A$5:$A$32,K312,Owners!$E$5:$E$32,"No")&gt;0),1,0)</f>
        <v>0</v>
      </c>
      <c r="X312" s="7" t="n">
        <f aca="false">IF(AND(O312=1,I312&lt;Inputs!$B$4),1,0)</f>
        <v>1</v>
      </c>
      <c r="Y312" s="7" t="n">
        <f aca="false">IF(AND(O312=1,T312&gt;Inputs!$B$5),1,0)</f>
        <v>0</v>
      </c>
      <c r="Z312" s="7" t="n">
        <f aca="false">IF(AND(O312=1,G312&lt;&gt;R312),1,0)</f>
        <v>0</v>
      </c>
      <c r="AA312" s="7" t="n">
        <f aca="false">IF(AND(O312=1,M312=""),1,0)</f>
        <v>1</v>
      </c>
      <c r="AB312" s="7" t="n">
        <f aca="false">IF(AND(E312="Closed Lost",N312=""),1,0)</f>
        <v>0</v>
      </c>
      <c r="AC312" s="7" t="n">
        <f aca="false">SUM(U312:AB312)</f>
        <v>3</v>
      </c>
      <c r="AD312" s="7" t="n">
        <f aca="false">IF(AC312=0,1,0)</f>
        <v>0</v>
      </c>
      <c r="AE312" s="7" t="n">
        <f aca="false">IF(AND(O312=1,I312&gt;=Inputs!$B$6,I312&lt;=Inputs!$B$7),1,0)</f>
        <v>1</v>
      </c>
      <c r="AF312" s="7" t="n">
        <f aca="false">IF(AND(E312="Closed Won",I312&gt;=Inputs!$B$6,I312&lt;=Inputs!$B$4),1,0)</f>
        <v>0</v>
      </c>
      <c r="AG312" s="7" t="n">
        <f aca="false">IF(AND(O312=0,I312&gt;Inputs!$B$4-Inputs!$B$8,I312&lt;=Inputs!$B$4),1,0)</f>
        <v>0</v>
      </c>
      <c r="AH312" s="7" t="n">
        <f aca="false">I312-H312</f>
        <v>115</v>
      </c>
    </row>
    <row r="313" customFormat="false" ht="15" hidden="false" customHeight="false" outlineLevel="0" collapsed="false">
      <c r="A313" s="16" t="s">
        <v>1304</v>
      </c>
      <c r="B313" s="16" t="s">
        <v>1280</v>
      </c>
      <c r="C313" s="16" t="s">
        <v>1305</v>
      </c>
      <c r="D313" s="16" t="s">
        <v>162</v>
      </c>
      <c r="E313" s="16" t="s">
        <v>531</v>
      </c>
      <c r="F313" s="26" t="n">
        <v>7767000</v>
      </c>
      <c r="G313" s="25" t="n">
        <v>0</v>
      </c>
      <c r="H313" s="22" t="n">
        <v>45955</v>
      </c>
      <c r="I313" s="22" t="n">
        <v>46053</v>
      </c>
      <c r="J313" s="22" t="n">
        <v>46053</v>
      </c>
      <c r="K313" s="16" t="s">
        <v>640</v>
      </c>
      <c r="L313" s="16" t="s">
        <v>592</v>
      </c>
      <c r="M313" s="16"/>
      <c r="N313" s="16"/>
      <c r="O313" s="7" t="n">
        <f aca="false">IF(OR(E313="Closed Won",E313="Closed Lost"),0,1)</f>
        <v>0</v>
      </c>
      <c r="P313" s="17" t="str">
        <f aca="false">INDEX(Accounts!$K$5:$K$336,MATCH(B313,Accounts!$A$5:$A$336,0))</f>
        <v>Agribusiness</v>
      </c>
      <c r="Q313" s="17" t="str">
        <f aca="false">INDEX(Accounts!$D$5:$D$336,MATCH(B313,Accounts!$A$5:$A$336,0))</f>
        <v>Standard</v>
      </c>
      <c r="R313" s="7" t="n">
        <f aca="false">INDEX(Inputs!$B$11:$B$16,MATCH(E313,Inputs!$A$11:$A$16,0))</f>
        <v>0</v>
      </c>
      <c r="S313" s="27" t="n">
        <f aca="false">IF(F313="",0,F313)*R313/100</f>
        <v>0</v>
      </c>
      <c r="T313" s="7" t="n">
        <f aca="false">Inputs!$B$4-J313</f>
        <v>261</v>
      </c>
      <c r="U313" s="7" t="n">
        <f aca="false">IF(OR(F313="",F313=0),1,0)</f>
        <v>0</v>
      </c>
      <c r="V313" s="7" t="n">
        <f aca="false">IF(K313="",1,0)</f>
        <v>0</v>
      </c>
      <c r="W313" s="7" t="n">
        <f aca="false">IF(AND(O313=1,K313&lt;&gt;"",COUNTIFS(Owners!$A$5:$A$32,K313,Owners!$E$5:$E$32,"No")&gt;0),1,0)</f>
        <v>0</v>
      </c>
      <c r="X313" s="7" t="n">
        <f aca="false">IF(AND(O313=1,I313&lt;Inputs!$B$4),1,0)</f>
        <v>0</v>
      </c>
      <c r="Y313" s="7" t="n">
        <f aca="false">IF(AND(O313=1,T313&gt;Inputs!$B$5),1,0)</f>
        <v>0</v>
      </c>
      <c r="Z313" s="7" t="n">
        <f aca="false">IF(AND(O313=1,G313&lt;&gt;R313),1,0)</f>
        <v>0</v>
      </c>
      <c r="AA313" s="7" t="n">
        <f aca="false">IF(AND(O313=1,M313=""),1,0)</f>
        <v>0</v>
      </c>
      <c r="AB313" s="7" t="n">
        <f aca="false">IF(AND(E313="Closed Lost",N313=""),1,0)</f>
        <v>1</v>
      </c>
      <c r="AC313" s="7" t="n">
        <f aca="false">SUM(U313:AB313)</f>
        <v>1</v>
      </c>
      <c r="AD313" s="7" t="n">
        <f aca="false">IF(AC313=0,1,0)</f>
        <v>0</v>
      </c>
      <c r="AE313" s="7" t="n">
        <f aca="false">IF(AND(O313=1,I313&gt;=Inputs!$B$6,I313&lt;=Inputs!$B$7),1,0)</f>
        <v>0</v>
      </c>
      <c r="AF313" s="7" t="n">
        <f aca="false">IF(AND(E313="Closed Won",I313&gt;=Inputs!$B$6,I313&lt;=Inputs!$B$4),1,0)</f>
        <v>0</v>
      </c>
      <c r="AG313" s="7" t="n">
        <f aca="false">IF(AND(O313=0,I313&gt;Inputs!$B$4-Inputs!$B$8,I313&lt;=Inputs!$B$4),1,0)</f>
        <v>1</v>
      </c>
      <c r="AH313" s="7" t="n">
        <f aca="false">I313-H313</f>
        <v>98</v>
      </c>
    </row>
    <row r="314" customFormat="false" ht="15" hidden="false" customHeight="false" outlineLevel="0" collapsed="false">
      <c r="A314" s="16" t="s">
        <v>1306</v>
      </c>
      <c r="B314" s="16" t="s">
        <v>70</v>
      </c>
      <c r="C314" s="16" t="s">
        <v>1307</v>
      </c>
      <c r="D314" s="16" t="s">
        <v>162</v>
      </c>
      <c r="E314" s="16" t="s">
        <v>531</v>
      </c>
      <c r="F314" s="26" t="n">
        <v>12772000</v>
      </c>
      <c r="G314" s="25" t="n">
        <v>0</v>
      </c>
      <c r="H314" s="22" t="n">
        <v>46236</v>
      </c>
      <c r="I314" s="22" t="n">
        <v>46308</v>
      </c>
      <c r="J314" s="22" t="n">
        <v>46308</v>
      </c>
      <c r="K314" s="16" t="s">
        <v>596</v>
      </c>
      <c r="L314" s="16" t="s">
        <v>584</v>
      </c>
      <c r="M314" s="16"/>
      <c r="N314" s="16" t="s">
        <v>579</v>
      </c>
      <c r="O314" s="7" t="n">
        <f aca="false">IF(OR(E314="Closed Won",E314="Closed Lost"),0,1)</f>
        <v>0</v>
      </c>
      <c r="P314" s="17" t="str">
        <f aca="false">INDEX(Accounts!$K$5:$K$336,MATCH(B314,Accounts!$A$5:$A$336,0))</f>
        <v>Consumer &amp; Retail</v>
      </c>
      <c r="Q314" s="17" t="str">
        <f aca="false">INDEX(Accounts!$D$5:$D$336,MATCH(B314,Accounts!$A$5:$A$336,0))</f>
        <v>Priority</v>
      </c>
      <c r="R314" s="7" t="n">
        <f aca="false">INDEX(Inputs!$B$11:$B$16,MATCH(E314,Inputs!$A$11:$A$16,0))</f>
        <v>0</v>
      </c>
      <c r="S314" s="27" t="n">
        <f aca="false">IF(F314="",0,F314)*R314/100</f>
        <v>0</v>
      </c>
      <c r="T314" s="7" t="n">
        <f aca="false">Inputs!$B$4-J314</f>
        <v>6</v>
      </c>
      <c r="U314" s="7" t="n">
        <f aca="false">IF(OR(F314="",F314=0),1,0)</f>
        <v>0</v>
      </c>
      <c r="V314" s="7" t="n">
        <f aca="false">IF(K314="",1,0)</f>
        <v>0</v>
      </c>
      <c r="W314" s="7" t="n">
        <f aca="false">IF(AND(O314=1,K314&lt;&gt;"",COUNTIFS(Owners!$A$5:$A$32,K314,Owners!$E$5:$E$32,"No")&gt;0),1,0)</f>
        <v>0</v>
      </c>
      <c r="X314" s="7" t="n">
        <f aca="false">IF(AND(O314=1,I314&lt;Inputs!$B$4),1,0)</f>
        <v>0</v>
      </c>
      <c r="Y314" s="7" t="n">
        <f aca="false">IF(AND(O314=1,T314&gt;Inputs!$B$5),1,0)</f>
        <v>0</v>
      </c>
      <c r="Z314" s="7" t="n">
        <f aca="false">IF(AND(O314=1,G314&lt;&gt;R314),1,0)</f>
        <v>0</v>
      </c>
      <c r="AA314" s="7" t="n">
        <f aca="false">IF(AND(O314=1,M314=""),1,0)</f>
        <v>0</v>
      </c>
      <c r="AB314" s="7" t="n">
        <f aca="false">IF(AND(E314="Closed Lost",N314=""),1,0)</f>
        <v>0</v>
      </c>
      <c r="AC314" s="7" t="n">
        <f aca="false">SUM(U314:AB314)</f>
        <v>0</v>
      </c>
      <c r="AD314" s="7" t="n">
        <f aca="false">IF(AC314=0,1,0)</f>
        <v>1</v>
      </c>
      <c r="AE314" s="7" t="n">
        <f aca="false">IF(AND(O314=1,I314&gt;=Inputs!$B$6,I314&lt;=Inputs!$B$7),1,0)</f>
        <v>0</v>
      </c>
      <c r="AF314" s="7" t="n">
        <f aca="false">IF(AND(E314="Closed Won",I314&gt;=Inputs!$B$6,I314&lt;=Inputs!$B$4),1,0)</f>
        <v>0</v>
      </c>
      <c r="AG314" s="7" t="n">
        <f aca="false">IF(AND(O314=0,I314&gt;Inputs!$B$4-Inputs!$B$8,I314&lt;=Inputs!$B$4),1,0)</f>
        <v>1</v>
      </c>
      <c r="AH314" s="7" t="n">
        <f aca="false">I314-H314</f>
        <v>72</v>
      </c>
    </row>
    <row r="315" customFormat="false" ht="15" hidden="false" customHeight="false" outlineLevel="0" collapsed="false">
      <c r="A315" s="16" t="s">
        <v>1308</v>
      </c>
      <c r="B315" s="16" t="s">
        <v>1309</v>
      </c>
      <c r="C315" s="16" t="s">
        <v>1310</v>
      </c>
      <c r="D315" s="16" t="s">
        <v>162</v>
      </c>
      <c r="E315" s="16" t="s">
        <v>531</v>
      </c>
      <c r="F315" s="26" t="n">
        <v>19991000</v>
      </c>
      <c r="G315" s="25" t="n">
        <v>0</v>
      </c>
      <c r="H315" s="22" t="n">
        <v>45897</v>
      </c>
      <c r="I315" s="22" t="n">
        <v>46009</v>
      </c>
      <c r="J315" s="22" t="n">
        <v>46009</v>
      </c>
      <c r="K315" s="16" t="s">
        <v>691</v>
      </c>
      <c r="L315" s="16" t="s">
        <v>500</v>
      </c>
      <c r="M315" s="16"/>
      <c r="N315" s="16" t="s">
        <v>597</v>
      </c>
      <c r="O315" s="7" t="n">
        <f aca="false">IF(OR(E315="Closed Won",E315="Closed Lost"),0,1)</f>
        <v>0</v>
      </c>
      <c r="P315" s="17" t="str">
        <f aca="false">INDEX(Accounts!$K$5:$K$336,MATCH(B315,Accounts!$A$5:$A$336,0))</f>
        <v>Financial Services</v>
      </c>
      <c r="Q315" s="17" t="str">
        <f aca="false">INDEX(Accounts!$D$5:$D$336,MATCH(B315,Accounts!$A$5:$A$336,0))</f>
        <v>Standard</v>
      </c>
      <c r="R315" s="7" t="n">
        <f aca="false">INDEX(Inputs!$B$11:$B$16,MATCH(E315,Inputs!$A$11:$A$16,0))</f>
        <v>0</v>
      </c>
      <c r="S315" s="27" t="n">
        <f aca="false">IF(F315="",0,F315)*R315/100</f>
        <v>0</v>
      </c>
      <c r="T315" s="7" t="n">
        <f aca="false">Inputs!$B$4-J315</f>
        <v>305</v>
      </c>
      <c r="U315" s="7" t="n">
        <f aca="false">IF(OR(F315="",F315=0),1,0)</f>
        <v>0</v>
      </c>
      <c r="V315" s="7" t="n">
        <f aca="false">IF(K315="",1,0)</f>
        <v>0</v>
      </c>
      <c r="W315" s="7" t="n">
        <f aca="false">IF(AND(O315=1,K315&lt;&gt;"",COUNTIFS(Owners!$A$5:$A$32,K315,Owners!$E$5:$E$32,"No")&gt;0),1,0)</f>
        <v>0</v>
      </c>
      <c r="X315" s="7" t="n">
        <f aca="false">IF(AND(O315=1,I315&lt;Inputs!$B$4),1,0)</f>
        <v>0</v>
      </c>
      <c r="Y315" s="7" t="n">
        <f aca="false">IF(AND(O315=1,T315&gt;Inputs!$B$5),1,0)</f>
        <v>0</v>
      </c>
      <c r="Z315" s="7" t="n">
        <f aca="false">IF(AND(O315=1,G315&lt;&gt;R315),1,0)</f>
        <v>0</v>
      </c>
      <c r="AA315" s="7" t="n">
        <f aca="false">IF(AND(O315=1,M315=""),1,0)</f>
        <v>0</v>
      </c>
      <c r="AB315" s="7" t="n">
        <f aca="false">IF(AND(E315="Closed Lost",N315=""),1,0)</f>
        <v>0</v>
      </c>
      <c r="AC315" s="7" t="n">
        <f aca="false">SUM(U315:AB315)</f>
        <v>0</v>
      </c>
      <c r="AD315" s="7" t="n">
        <f aca="false">IF(AC315=0,1,0)</f>
        <v>1</v>
      </c>
      <c r="AE315" s="7" t="n">
        <f aca="false">IF(AND(O315=1,I315&gt;=Inputs!$B$6,I315&lt;=Inputs!$B$7),1,0)</f>
        <v>0</v>
      </c>
      <c r="AF315" s="7" t="n">
        <f aca="false">IF(AND(E315="Closed Won",I315&gt;=Inputs!$B$6,I315&lt;=Inputs!$B$4),1,0)</f>
        <v>0</v>
      </c>
      <c r="AG315" s="7" t="n">
        <f aca="false">IF(AND(O315=0,I315&gt;Inputs!$B$4-Inputs!$B$8,I315&lt;=Inputs!$B$4),1,0)</f>
        <v>1</v>
      </c>
      <c r="AH315" s="7" t="n">
        <f aca="false">I315-H315</f>
        <v>112</v>
      </c>
    </row>
    <row r="316" customFormat="false" ht="15" hidden="false" customHeight="false" outlineLevel="0" collapsed="false">
      <c r="A316" s="16" t="s">
        <v>1311</v>
      </c>
      <c r="B316" s="16" t="s">
        <v>75</v>
      </c>
      <c r="C316" s="16" t="s">
        <v>1312</v>
      </c>
      <c r="D316" s="16" t="s">
        <v>162</v>
      </c>
      <c r="E316" s="16" t="s">
        <v>528</v>
      </c>
      <c r="F316" s="26" t="n">
        <v>10637000</v>
      </c>
      <c r="G316" s="25" t="n">
        <v>50</v>
      </c>
      <c r="H316" s="22" t="n">
        <v>46188</v>
      </c>
      <c r="I316" s="22" t="n">
        <v>46290</v>
      </c>
      <c r="J316" s="22" t="n">
        <v>46290</v>
      </c>
      <c r="K316" s="16" t="s">
        <v>654</v>
      </c>
      <c r="L316" s="16" t="s">
        <v>584</v>
      </c>
      <c r="M316" s="16" t="s">
        <v>593</v>
      </c>
      <c r="N316" s="16"/>
      <c r="O316" s="7" t="n">
        <f aca="false">IF(OR(E316="Closed Won",E316="Closed Lost"),0,1)</f>
        <v>1</v>
      </c>
      <c r="P316" s="17" t="str">
        <f aca="false">INDEX(Accounts!$K$5:$K$336,MATCH(B316,Accounts!$A$5:$A$336,0))</f>
        <v>Technology, Media &amp; Telecom</v>
      </c>
      <c r="Q316" s="17" t="str">
        <f aca="false">INDEX(Accounts!$D$5:$D$336,MATCH(B316,Accounts!$A$5:$A$336,0))</f>
        <v>Priority</v>
      </c>
      <c r="R316" s="7" t="n">
        <f aca="false">INDEX(Inputs!$B$11:$B$16,MATCH(E316,Inputs!$A$11:$A$16,0))</f>
        <v>50</v>
      </c>
      <c r="S316" s="27" t="n">
        <f aca="false">IF(F316="",0,F316)*R316/100</f>
        <v>5318500</v>
      </c>
      <c r="T316" s="7" t="n">
        <f aca="false">Inputs!$B$4-J316</f>
        <v>24</v>
      </c>
      <c r="U316" s="7" t="n">
        <f aca="false">IF(OR(F316="",F316=0),1,0)</f>
        <v>0</v>
      </c>
      <c r="V316" s="7" t="n">
        <f aca="false">IF(K316="",1,0)</f>
        <v>0</v>
      </c>
      <c r="W316" s="7" t="n">
        <f aca="false">IF(AND(O316=1,K316&lt;&gt;"",COUNTIFS(Owners!$A$5:$A$32,K316,Owners!$E$5:$E$32,"No")&gt;0),1,0)</f>
        <v>0</v>
      </c>
      <c r="X316" s="7" t="n">
        <f aca="false">IF(AND(O316=1,I316&lt;Inputs!$B$4),1,0)</f>
        <v>1</v>
      </c>
      <c r="Y316" s="7" t="n">
        <f aca="false">IF(AND(O316=1,T316&gt;Inputs!$B$5),1,0)</f>
        <v>0</v>
      </c>
      <c r="Z316" s="7" t="n">
        <f aca="false">IF(AND(O316=1,G316&lt;&gt;R316),1,0)</f>
        <v>0</v>
      </c>
      <c r="AA316" s="7" t="n">
        <f aca="false">IF(AND(O316=1,M316=""),1,0)</f>
        <v>0</v>
      </c>
      <c r="AB316" s="7" t="n">
        <f aca="false">IF(AND(E316="Closed Lost",N316=""),1,0)</f>
        <v>0</v>
      </c>
      <c r="AC316" s="7" t="n">
        <f aca="false">SUM(U316:AB316)</f>
        <v>1</v>
      </c>
      <c r="AD316" s="7" t="n">
        <f aca="false">IF(AC316=0,1,0)</f>
        <v>0</v>
      </c>
      <c r="AE316" s="7" t="n">
        <f aca="false">IF(AND(O316=1,I316&gt;=Inputs!$B$6,I316&lt;=Inputs!$B$7),1,0)</f>
        <v>1</v>
      </c>
      <c r="AF316" s="7" t="n">
        <f aca="false">IF(AND(E316="Closed Won",I316&gt;=Inputs!$B$6,I316&lt;=Inputs!$B$4),1,0)</f>
        <v>0</v>
      </c>
      <c r="AG316" s="7" t="n">
        <f aca="false">IF(AND(O316=0,I316&gt;Inputs!$B$4-Inputs!$B$8,I316&lt;=Inputs!$B$4),1,0)</f>
        <v>0</v>
      </c>
      <c r="AH316" s="7" t="n">
        <f aca="false">I316-H316</f>
        <v>102</v>
      </c>
    </row>
    <row r="317" customFormat="false" ht="15" hidden="false" customHeight="false" outlineLevel="0" collapsed="false">
      <c r="A317" s="16" t="s">
        <v>1313</v>
      </c>
      <c r="B317" s="16" t="s">
        <v>791</v>
      </c>
      <c r="C317" s="16" t="s">
        <v>1314</v>
      </c>
      <c r="D317" s="16" t="s">
        <v>158</v>
      </c>
      <c r="E317" s="16" t="s">
        <v>531</v>
      </c>
      <c r="F317" s="26" t="n">
        <v>48163000</v>
      </c>
      <c r="G317" s="25" t="n">
        <v>0</v>
      </c>
      <c r="H317" s="22" t="n">
        <v>45993</v>
      </c>
      <c r="I317" s="22" t="n">
        <v>46287</v>
      </c>
      <c r="J317" s="22" t="n">
        <v>46287</v>
      </c>
      <c r="K317" s="16" t="s">
        <v>588</v>
      </c>
      <c r="L317" s="16" t="s">
        <v>609</v>
      </c>
      <c r="M317" s="16"/>
      <c r="N317" s="16" t="s">
        <v>722</v>
      </c>
      <c r="O317" s="7" t="n">
        <f aca="false">IF(OR(E317="Closed Won",E317="Closed Lost"),0,1)</f>
        <v>0</v>
      </c>
      <c r="P317" s="17" t="str">
        <f aca="false">INDEX(Accounts!$K$5:$K$336,MATCH(B317,Accounts!$A$5:$A$336,0))</f>
        <v>Consumer &amp; Retail</v>
      </c>
      <c r="Q317" s="17" t="str">
        <f aca="false">INDEX(Accounts!$D$5:$D$336,MATCH(B317,Accounts!$A$5:$A$336,0))</f>
        <v>Standard</v>
      </c>
      <c r="R317" s="7" t="n">
        <f aca="false">INDEX(Inputs!$B$11:$B$16,MATCH(E317,Inputs!$A$11:$A$16,0))</f>
        <v>0</v>
      </c>
      <c r="S317" s="27" t="n">
        <f aca="false">IF(F317="",0,F317)*R317/100</f>
        <v>0</v>
      </c>
      <c r="T317" s="7" t="n">
        <f aca="false">Inputs!$B$4-J317</f>
        <v>27</v>
      </c>
      <c r="U317" s="7" t="n">
        <f aca="false">IF(OR(F317="",F317=0),1,0)</f>
        <v>0</v>
      </c>
      <c r="V317" s="7" t="n">
        <f aca="false">IF(K317="",1,0)</f>
        <v>0</v>
      </c>
      <c r="W317" s="7" t="n">
        <f aca="false">IF(AND(O317=1,K317&lt;&gt;"",COUNTIFS(Owners!$A$5:$A$32,K317,Owners!$E$5:$E$32,"No")&gt;0),1,0)</f>
        <v>0</v>
      </c>
      <c r="X317" s="7" t="n">
        <f aca="false">IF(AND(O317=1,I317&lt;Inputs!$B$4),1,0)</f>
        <v>0</v>
      </c>
      <c r="Y317" s="7" t="n">
        <f aca="false">IF(AND(O317=1,T317&gt;Inputs!$B$5),1,0)</f>
        <v>0</v>
      </c>
      <c r="Z317" s="7" t="n">
        <f aca="false">IF(AND(O317=1,G317&lt;&gt;R317),1,0)</f>
        <v>0</v>
      </c>
      <c r="AA317" s="7" t="n">
        <f aca="false">IF(AND(O317=1,M317=""),1,0)</f>
        <v>0</v>
      </c>
      <c r="AB317" s="7" t="n">
        <f aca="false">IF(AND(E317="Closed Lost",N317=""),1,0)</f>
        <v>0</v>
      </c>
      <c r="AC317" s="7" t="n">
        <f aca="false">SUM(U317:AB317)</f>
        <v>0</v>
      </c>
      <c r="AD317" s="7" t="n">
        <f aca="false">IF(AC317=0,1,0)</f>
        <v>1</v>
      </c>
      <c r="AE317" s="7" t="n">
        <f aca="false">IF(AND(O317=1,I317&gt;=Inputs!$B$6,I317&lt;=Inputs!$B$7),1,0)</f>
        <v>0</v>
      </c>
      <c r="AF317" s="7" t="n">
        <f aca="false">IF(AND(E317="Closed Won",I317&gt;=Inputs!$B$6,I317&lt;=Inputs!$B$4),1,0)</f>
        <v>0</v>
      </c>
      <c r="AG317" s="7" t="n">
        <f aca="false">IF(AND(O317=0,I317&gt;Inputs!$B$4-Inputs!$B$8,I317&lt;=Inputs!$B$4),1,0)</f>
        <v>1</v>
      </c>
      <c r="AH317" s="7" t="n">
        <f aca="false">I317-H317</f>
        <v>294</v>
      </c>
    </row>
    <row r="318" customFormat="false" ht="15" hidden="false" customHeight="false" outlineLevel="0" collapsed="false">
      <c r="A318" s="16" t="s">
        <v>1315</v>
      </c>
      <c r="B318" s="16" t="s">
        <v>810</v>
      </c>
      <c r="C318" s="16" t="s">
        <v>1316</v>
      </c>
      <c r="D318" s="16" t="s">
        <v>162</v>
      </c>
      <c r="E318" s="16" t="s">
        <v>531</v>
      </c>
      <c r="F318" s="26" t="n">
        <v>9904000</v>
      </c>
      <c r="G318" s="25" t="n">
        <v>0</v>
      </c>
      <c r="H318" s="22" t="n">
        <v>46042</v>
      </c>
      <c r="I318" s="22" t="n">
        <v>46153</v>
      </c>
      <c r="J318" s="22" t="n">
        <v>46153</v>
      </c>
      <c r="K318" s="16" t="s">
        <v>765</v>
      </c>
      <c r="L318" s="16" t="s">
        <v>609</v>
      </c>
      <c r="M318" s="16"/>
      <c r="N318" s="16" t="s">
        <v>597</v>
      </c>
      <c r="O318" s="7" t="n">
        <f aca="false">IF(OR(E318="Closed Won",E318="Closed Lost"),0,1)</f>
        <v>0</v>
      </c>
      <c r="P318" s="17" t="str">
        <f aca="false">INDEX(Accounts!$K$5:$K$336,MATCH(B318,Accounts!$A$5:$A$336,0))</f>
        <v>Financial Services</v>
      </c>
      <c r="Q318" s="17" t="str">
        <f aca="false">INDEX(Accounts!$D$5:$D$336,MATCH(B318,Accounts!$A$5:$A$336,0))</f>
        <v>Key</v>
      </c>
      <c r="R318" s="7" t="n">
        <f aca="false">INDEX(Inputs!$B$11:$B$16,MATCH(E318,Inputs!$A$11:$A$16,0))</f>
        <v>0</v>
      </c>
      <c r="S318" s="27" t="n">
        <f aca="false">IF(F318="",0,F318)*R318/100</f>
        <v>0</v>
      </c>
      <c r="T318" s="7" t="n">
        <f aca="false">Inputs!$B$4-J318</f>
        <v>161</v>
      </c>
      <c r="U318" s="7" t="n">
        <f aca="false">IF(OR(F318="",F318=0),1,0)</f>
        <v>0</v>
      </c>
      <c r="V318" s="7" t="n">
        <f aca="false">IF(K318="",1,0)</f>
        <v>0</v>
      </c>
      <c r="W318" s="7" t="n">
        <f aca="false">IF(AND(O318=1,K318&lt;&gt;"",COUNTIFS(Owners!$A$5:$A$32,K318,Owners!$E$5:$E$32,"No")&gt;0),1,0)</f>
        <v>0</v>
      </c>
      <c r="X318" s="7" t="n">
        <f aca="false">IF(AND(O318=1,I318&lt;Inputs!$B$4),1,0)</f>
        <v>0</v>
      </c>
      <c r="Y318" s="7" t="n">
        <f aca="false">IF(AND(O318=1,T318&gt;Inputs!$B$5),1,0)</f>
        <v>0</v>
      </c>
      <c r="Z318" s="7" t="n">
        <f aca="false">IF(AND(O318=1,G318&lt;&gt;R318),1,0)</f>
        <v>0</v>
      </c>
      <c r="AA318" s="7" t="n">
        <f aca="false">IF(AND(O318=1,M318=""),1,0)</f>
        <v>0</v>
      </c>
      <c r="AB318" s="7" t="n">
        <f aca="false">IF(AND(E318="Closed Lost",N318=""),1,0)</f>
        <v>0</v>
      </c>
      <c r="AC318" s="7" t="n">
        <f aca="false">SUM(U318:AB318)</f>
        <v>0</v>
      </c>
      <c r="AD318" s="7" t="n">
        <f aca="false">IF(AC318=0,1,0)</f>
        <v>1</v>
      </c>
      <c r="AE318" s="7" t="n">
        <f aca="false">IF(AND(O318=1,I318&gt;=Inputs!$B$6,I318&lt;=Inputs!$B$7),1,0)</f>
        <v>0</v>
      </c>
      <c r="AF318" s="7" t="n">
        <f aca="false">IF(AND(E318="Closed Won",I318&gt;=Inputs!$B$6,I318&lt;=Inputs!$B$4),1,0)</f>
        <v>0</v>
      </c>
      <c r="AG318" s="7" t="n">
        <f aca="false">IF(AND(O318=0,I318&gt;Inputs!$B$4-Inputs!$B$8,I318&lt;=Inputs!$B$4),1,0)</f>
        <v>1</v>
      </c>
      <c r="AH318" s="7" t="n">
        <f aca="false">I318-H318</f>
        <v>111</v>
      </c>
    </row>
    <row r="319" customFormat="false" ht="15" hidden="false" customHeight="false" outlineLevel="0" collapsed="false">
      <c r="A319" s="16" t="s">
        <v>1317</v>
      </c>
      <c r="B319" s="16" t="s">
        <v>76</v>
      </c>
      <c r="C319" s="16" t="s">
        <v>1318</v>
      </c>
      <c r="D319" s="16" t="s">
        <v>162</v>
      </c>
      <c r="E319" s="16" t="s">
        <v>531</v>
      </c>
      <c r="F319" s="26" t="n">
        <v>4671000</v>
      </c>
      <c r="G319" s="25" t="n">
        <v>0</v>
      </c>
      <c r="H319" s="22" t="n">
        <v>46234</v>
      </c>
      <c r="I319" s="22" t="n">
        <v>46309</v>
      </c>
      <c r="J319" s="22" t="n">
        <v>46309</v>
      </c>
      <c r="K319" s="16" t="s">
        <v>604</v>
      </c>
      <c r="L319" s="16" t="s">
        <v>500</v>
      </c>
      <c r="M319" s="16"/>
      <c r="N319" s="16"/>
      <c r="O319" s="7" t="n">
        <f aca="false">IF(OR(E319="Closed Won",E319="Closed Lost"),0,1)</f>
        <v>0</v>
      </c>
      <c r="P319" s="17" t="str">
        <f aca="false">INDEX(Accounts!$K$5:$K$336,MATCH(B319,Accounts!$A$5:$A$336,0))</f>
        <v>Real Estate &amp; Infrastructure</v>
      </c>
      <c r="Q319" s="17" t="str">
        <f aca="false">INDEX(Accounts!$D$5:$D$336,MATCH(B319,Accounts!$A$5:$A$336,0))</f>
        <v>Priority</v>
      </c>
      <c r="R319" s="7" t="n">
        <f aca="false">INDEX(Inputs!$B$11:$B$16,MATCH(E319,Inputs!$A$11:$A$16,0))</f>
        <v>0</v>
      </c>
      <c r="S319" s="27" t="n">
        <f aca="false">IF(F319="",0,F319)*R319/100</f>
        <v>0</v>
      </c>
      <c r="T319" s="7" t="n">
        <f aca="false">Inputs!$B$4-J319</f>
        <v>5</v>
      </c>
      <c r="U319" s="7" t="n">
        <f aca="false">IF(OR(F319="",F319=0),1,0)</f>
        <v>0</v>
      </c>
      <c r="V319" s="7" t="n">
        <f aca="false">IF(K319="",1,0)</f>
        <v>0</v>
      </c>
      <c r="W319" s="7" t="n">
        <f aca="false">IF(AND(O319=1,K319&lt;&gt;"",COUNTIFS(Owners!$A$5:$A$32,K319,Owners!$E$5:$E$32,"No")&gt;0),1,0)</f>
        <v>0</v>
      </c>
      <c r="X319" s="7" t="n">
        <f aca="false">IF(AND(O319=1,I319&lt;Inputs!$B$4),1,0)</f>
        <v>0</v>
      </c>
      <c r="Y319" s="7" t="n">
        <f aca="false">IF(AND(O319=1,T319&gt;Inputs!$B$5),1,0)</f>
        <v>0</v>
      </c>
      <c r="Z319" s="7" t="n">
        <f aca="false">IF(AND(O319=1,G319&lt;&gt;R319),1,0)</f>
        <v>0</v>
      </c>
      <c r="AA319" s="7" t="n">
        <f aca="false">IF(AND(O319=1,M319=""),1,0)</f>
        <v>0</v>
      </c>
      <c r="AB319" s="7" t="n">
        <f aca="false">IF(AND(E319="Closed Lost",N319=""),1,0)</f>
        <v>1</v>
      </c>
      <c r="AC319" s="7" t="n">
        <f aca="false">SUM(U319:AB319)</f>
        <v>1</v>
      </c>
      <c r="AD319" s="7" t="n">
        <f aca="false">IF(AC319=0,1,0)</f>
        <v>0</v>
      </c>
      <c r="AE319" s="7" t="n">
        <f aca="false">IF(AND(O319=1,I319&gt;=Inputs!$B$6,I319&lt;=Inputs!$B$7),1,0)</f>
        <v>0</v>
      </c>
      <c r="AF319" s="7" t="n">
        <f aca="false">IF(AND(E319="Closed Won",I319&gt;=Inputs!$B$6,I319&lt;=Inputs!$B$4),1,0)</f>
        <v>0</v>
      </c>
      <c r="AG319" s="7" t="n">
        <f aca="false">IF(AND(O319=0,I319&gt;Inputs!$B$4-Inputs!$B$8,I319&lt;=Inputs!$B$4),1,0)</f>
        <v>1</v>
      </c>
      <c r="AH319" s="7" t="n">
        <f aca="false">I319-H319</f>
        <v>75</v>
      </c>
    </row>
    <row r="320" customFormat="false" ht="15" hidden="false" customHeight="false" outlineLevel="0" collapsed="false">
      <c r="A320" s="16" t="s">
        <v>1319</v>
      </c>
      <c r="B320" s="16" t="s">
        <v>71</v>
      </c>
      <c r="C320" s="16" t="s">
        <v>1249</v>
      </c>
      <c r="D320" s="16" t="s">
        <v>167</v>
      </c>
      <c r="E320" s="16" t="s">
        <v>530</v>
      </c>
      <c r="F320" s="26" t="n">
        <v>15039000</v>
      </c>
      <c r="G320" s="25" t="n">
        <v>100</v>
      </c>
      <c r="H320" s="22" t="n">
        <v>46066</v>
      </c>
      <c r="I320" s="22" t="n">
        <v>46273</v>
      </c>
      <c r="J320" s="22" t="n">
        <v>46273</v>
      </c>
      <c r="K320" s="16" t="s">
        <v>691</v>
      </c>
      <c r="L320" s="16" t="s">
        <v>584</v>
      </c>
      <c r="M320" s="16"/>
      <c r="N320" s="16"/>
      <c r="O320" s="7" t="n">
        <f aca="false">IF(OR(E320="Closed Won",E320="Closed Lost"),0,1)</f>
        <v>0</v>
      </c>
      <c r="P320" s="17" t="str">
        <f aca="false">INDEX(Accounts!$K$5:$K$336,MATCH(B320,Accounts!$A$5:$A$336,0))</f>
        <v>Energy &amp; Resources</v>
      </c>
      <c r="Q320" s="17" t="str">
        <f aca="false">INDEX(Accounts!$D$5:$D$336,MATCH(B320,Accounts!$A$5:$A$336,0))</f>
        <v>Priority</v>
      </c>
      <c r="R320" s="7" t="n">
        <f aca="false">INDEX(Inputs!$B$11:$B$16,MATCH(E320,Inputs!$A$11:$A$16,0))</f>
        <v>100</v>
      </c>
      <c r="S320" s="27" t="n">
        <f aca="false">IF(F320="",0,F320)*R320/100</f>
        <v>15039000</v>
      </c>
      <c r="T320" s="7" t="n">
        <f aca="false">Inputs!$B$4-J320</f>
        <v>41</v>
      </c>
      <c r="U320" s="7" t="n">
        <f aca="false">IF(OR(F320="",F320=0),1,0)</f>
        <v>0</v>
      </c>
      <c r="V320" s="7" t="n">
        <f aca="false">IF(K320="",1,0)</f>
        <v>0</v>
      </c>
      <c r="W320" s="7" t="n">
        <f aca="false">IF(AND(O320=1,K320&lt;&gt;"",COUNTIFS(Owners!$A$5:$A$32,K320,Owners!$E$5:$E$32,"No")&gt;0),1,0)</f>
        <v>0</v>
      </c>
      <c r="X320" s="7" t="n">
        <f aca="false">IF(AND(O320=1,I320&lt;Inputs!$B$4),1,0)</f>
        <v>0</v>
      </c>
      <c r="Y320" s="7" t="n">
        <f aca="false">IF(AND(O320=1,T320&gt;Inputs!$B$5),1,0)</f>
        <v>0</v>
      </c>
      <c r="Z320" s="7" t="n">
        <f aca="false">IF(AND(O320=1,G320&lt;&gt;R320),1,0)</f>
        <v>0</v>
      </c>
      <c r="AA320" s="7" t="n">
        <f aca="false">IF(AND(O320=1,M320=""),1,0)</f>
        <v>0</v>
      </c>
      <c r="AB320" s="7" t="n">
        <f aca="false">IF(AND(E320="Closed Lost",N320=""),1,0)</f>
        <v>0</v>
      </c>
      <c r="AC320" s="7" t="n">
        <f aca="false">SUM(U320:AB320)</f>
        <v>0</v>
      </c>
      <c r="AD320" s="7" t="n">
        <f aca="false">IF(AC320=0,1,0)</f>
        <v>1</v>
      </c>
      <c r="AE320" s="7" t="n">
        <f aca="false">IF(AND(O320=1,I320&gt;=Inputs!$B$6,I320&lt;=Inputs!$B$7),1,0)</f>
        <v>0</v>
      </c>
      <c r="AF320" s="7" t="n">
        <f aca="false">IF(AND(E320="Closed Won",I320&gt;=Inputs!$B$6,I320&lt;=Inputs!$B$4),1,0)</f>
        <v>1</v>
      </c>
      <c r="AG320" s="7" t="n">
        <f aca="false">IF(AND(O320=0,I320&gt;Inputs!$B$4-Inputs!$B$8,I320&lt;=Inputs!$B$4),1,0)</f>
        <v>1</v>
      </c>
      <c r="AH320" s="7" t="n">
        <f aca="false">I320-H320</f>
        <v>207</v>
      </c>
    </row>
    <row r="321" customFormat="false" ht="15" hidden="false" customHeight="false" outlineLevel="0" collapsed="false">
      <c r="A321" s="16" t="s">
        <v>1320</v>
      </c>
      <c r="B321" s="16" t="s">
        <v>394</v>
      </c>
      <c r="C321" s="16" t="s">
        <v>1321</v>
      </c>
      <c r="D321" s="16" t="s">
        <v>158</v>
      </c>
      <c r="E321" s="16" t="s">
        <v>528</v>
      </c>
      <c r="F321" s="26" t="n">
        <v>31161000</v>
      </c>
      <c r="G321" s="25" t="n">
        <v>50</v>
      </c>
      <c r="H321" s="22" t="n">
        <v>46155</v>
      </c>
      <c r="I321" s="22" t="n">
        <v>46318</v>
      </c>
      <c r="J321" s="22" t="n">
        <v>46299</v>
      </c>
      <c r="K321" s="16" t="s">
        <v>765</v>
      </c>
      <c r="L321" s="16" t="s">
        <v>568</v>
      </c>
      <c r="M321" s="16" t="s">
        <v>569</v>
      </c>
      <c r="N321" s="16"/>
      <c r="O321" s="7" t="n">
        <f aca="false">IF(OR(E321="Closed Won",E321="Closed Lost"),0,1)</f>
        <v>1</v>
      </c>
      <c r="P321" s="17" t="str">
        <f aca="false">INDEX(Accounts!$K$5:$K$336,MATCH(B321,Accounts!$A$5:$A$336,0))</f>
        <v>Energy &amp; Resources</v>
      </c>
      <c r="Q321" s="17" t="str">
        <f aca="false">INDEX(Accounts!$D$5:$D$336,MATCH(B321,Accounts!$A$5:$A$336,0))</f>
        <v>Key</v>
      </c>
      <c r="R321" s="7" t="n">
        <f aca="false">INDEX(Inputs!$B$11:$B$16,MATCH(E321,Inputs!$A$11:$A$16,0))</f>
        <v>50</v>
      </c>
      <c r="S321" s="27" t="n">
        <f aca="false">IF(F321="",0,F321)*R321/100</f>
        <v>15580500</v>
      </c>
      <c r="T321" s="7" t="n">
        <f aca="false">Inputs!$B$4-J321</f>
        <v>15</v>
      </c>
      <c r="U321" s="7" t="n">
        <f aca="false">IF(OR(F321="",F321=0),1,0)</f>
        <v>0</v>
      </c>
      <c r="V321" s="7" t="n">
        <f aca="false">IF(K321="",1,0)</f>
        <v>0</v>
      </c>
      <c r="W321" s="7" t="n">
        <f aca="false">IF(AND(O321=1,K321&lt;&gt;"",COUNTIFS(Owners!$A$5:$A$32,K321,Owners!$E$5:$E$32,"No")&gt;0),1,0)</f>
        <v>0</v>
      </c>
      <c r="X321" s="7" t="n">
        <f aca="false">IF(AND(O321=1,I321&lt;Inputs!$B$4),1,0)</f>
        <v>0</v>
      </c>
      <c r="Y321" s="7" t="n">
        <f aca="false">IF(AND(O321=1,T321&gt;Inputs!$B$5),1,0)</f>
        <v>0</v>
      </c>
      <c r="Z321" s="7" t="n">
        <f aca="false">IF(AND(O321=1,G321&lt;&gt;R321),1,0)</f>
        <v>0</v>
      </c>
      <c r="AA321" s="7" t="n">
        <f aca="false">IF(AND(O321=1,M321=""),1,0)</f>
        <v>0</v>
      </c>
      <c r="AB321" s="7" t="n">
        <f aca="false">IF(AND(E321="Closed Lost",N321=""),1,0)</f>
        <v>0</v>
      </c>
      <c r="AC321" s="7" t="n">
        <f aca="false">SUM(U321:AB321)</f>
        <v>0</v>
      </c>
      <c r="AD321" s="7" t="n">
        <f aca="false">IF(AC321=0,1,0)</f>
        <v>1</v>
      </c>
      <c r="AE321" s="7" t="n">
        <f aca="false">IF(AND(O321=1,I321&gt;=Inputs!$B$6,I321&lt;=Inputs!$B$7),1,0)</f>
        <v>1</v>
      </c>
      <c r="AF321" s="7" t="n">
        <f aca="false">IF(AND(E321="Closed Won",I321&gt;=Inputs!$B$6,I321&lt;=Inputs!$B$4),1,0)</f>
        <v>0</v>
      </c>
      <c r="AG321" s="7" t="n">
        <f aca="false">IF(AND(O321=0,I321&gt;Inputs!$B$4-Inputs!$B$8,I321&lt;=Inputs!$B$4),1,0)</f>
        <v>0</v>
      </c>
      <c r="AH321" s="7" t="n">
        <f aca="false">I321-H321</f>
        <v>163</v>
      </c>
    </row>
    <row r="322" customFormat="false" ht="15" hidden="false" customHeight="false" outlineLevel="0" collapsed="false">
      <c r="A322" s="16" t="s">
        <v>1322</v>
      </c>
      <c r="B322" s="16" t="s">
        <v>222</v>
      </c>
      <c r="C322" s="16" t="s">
        <v>1323</v>
      </c>
      <c r="D322" s="16" t="s">
        <v>158</v>
      </c>
      <c r="E322" s="16" t="s">
        <v>531</v>
      </c>
      <c r="F322" s="26" t="n">
        <v>73914000</v>
      </c>
      <c r="G322" s="25" t="n">
        <v>0</v>
      </c>
      <c r="H322" s="22" t="n">
        <v>45979</v>
      </c>
      <c r="I322" s="22" t="n">
        <v>46142</v>
      </c>
      <c r="J322" s="22" t="n">
        <v>46142</v>
      </c>
      <c r="K322" s="16" t="s">
        <v>596</v>
      </c>
      <c r="L322" s="16" t="s">
        <v>574</v>
      </c>
      <c r="M322" s="16"/>
      <c r="N322" s="16" t="s">
        <v>722</v>
      </c>
      <c r="O322" s="7" t="n">
        <f aca="false">IF(OR(E322="Closed Won",E322="Closed Lost"),0,1)</f>
        <v>0</v>
      </c>
      <c r="P322" s="17" t="str">
        <f aca="false">INDEX(Accounts!$K$5:$K$336,MATCH(B322,Accounts!$A$5:$A$336,0))</f>
        <v>Real Estate &amp; Infrastructure</v>
      </c>
      <c r="Q322" s="17" t="str">
        <f aca="false">INDEX(Accounts!$D$5:$D$336,MATCH(B322,Accounts!$A$5:$A$336,0))</f>
        <v>Key</v>
      </c>
      <c r="R322" s="7" t="n">
        <f aca="false">INDEX(Inputs!$B$11:$B$16,MATCH(E322,Inputs!$A$11:$A$16,0))</f>
        <v>0</v>
      </c>
      <c r="S322" s="27" t="n">
        <f aca="false">IF(F322="",0,F322)*R322/100</f>
        <v>0</v>
      </c>
      <c r="T322" s="7" t="n">
        <f aca="false">Inputs!$B$4-J322</f>
        <v>172</v>
      </c>
      <c r="U322" s="7" t="n">
        <f aca="false">IF(OR(F322="",F322=0),1,0)</f>
        <v>0</v>
      </c>
      <c r="V322" s="7" t="n">
        <f aca="false">IF(K322="",1,0)</f>
        <v>0</v>
      </c>
      <c r="W322" s="7" t="n">
        <f aca="false">IF(AND(O322=1,K322&lt;&gt;"",COUNTIFS(Owners!$A$5:$A$32,K322,Owners!$E$5:$E$32,"No")&gt;0),1,0)</f>
        <v>0</v>
      </c>
      <c r="X322" s="7" t="n">
        <f aca="false">IF(AND(O322=1,I322&lt;Inputs!$B$4),1,0)</f>
        <v>0</v>
      </c>
      <c r="Y322" s="7" t="n">
        <f aca="false">IF(AND(O322=1,T322&gt;Inputs!$B$5),1,0)</f>
        <v>0</v>
      </c>
      <c r="Z322" s="7" t="n">
        <f aca="false">IF(AND(O322=1,G322&lt;&gt;R322),1,0)</f>
        <v>0</v>
      </c>
      <c r="AA322" s="7" t="n">
        <f aca="false">IF(AND(O322=1,M322=""),1,0)</f>
        <v>0</v>
      </c>
      <c r="AB322" s="7" t="n">
        <f aca="false">IF(AND(E322="Closed Lost",N322=""),1,0)</f>
        <v>0</v>
      </c>
      <c r="AC322" s="7" t="n">
        <f aca="false">SUM(U322:AB322)</f>
        <v>0</v>
      </c>
      <c r="AD322" s="7" t="n">
        <f aca="false">IF(AC322=0,1,0)</f>
        <v>1</v>
      </c>
      <c r="AE322" s="7" t="n">
        <f aca="false">IF(AND(O322=1,I322&gt;=Inputs!$B$6,I322&lt;=Inputs!$B$7),1,0)</f>
        <v>0</v>
      </c>
      <c r="AF322" s="7" t="n">
        <f aca="false">IF(AND(E322="Closed Won",I322&gt;=Inputs!$B$6,I322&lt;=Inputs!$B$4),1,0)</f>
        <v>0</v>
      </c>
      <c r="AG322" s="7" t="n">
        <f aca="false">IF(AND(O322=0,I322&gt;Inputs!$B$4-Inputs!$B$8,I322&lt;=Inputs!$B$4),1,0)</f>
        <v>1</v>
      </c>
      <c r="AH322" s="7" t="n">
        <f aca="false">I322-H322</f>
        <v>163</v>
      </c>
    </row>
    <row r="323" customFormat="false" ht="15" hidden="false" customHeight="false" outlineLevel="0" collapsed="false">
      <c r="A323" s="16" t="s">
        <v>1324</v>
      </c>
      <c r="B323" s="16" t="s">
        <v>89</v>
      </c>
      <c r="C323" s="16" t="s">
        <v>1325</v>
      </c>
      <c r="D323" s="16" t="s">
        <v>158</v>
      </c>
      <c r="E323" s="16" t="s">
        <v>528</v>
      </c>
      <c r="F323" s="26" t="n">
        <v>78179000</v>
      </c>
      <c r="G323" s="25" t="n">
        <v>50</v>
      </c>
      <c r="H323" s="22" t="n">
        <v>46198</v>
      </c>
      <c r="I323" s="22" t="n">
        <v>46565</v>
      </c>
      <c r="J323" s="22" t="n">
        <v>46119</v>
      </c>
      <c r="K323" s="16" t="s">
        <v>704</v>
      </c>
      <c r="L323" s="16" t="s">
        <v>609</v>
      </c>
      <c r="M323" s="16"/>
      <c r="N323" s="16"/>
      <c r="O323" s="7" t="n">
        <f aca="false">IF(OR(E323="Closed Won",E323="Closed Lost"),0,1)</f>
        <v>1</v>
      </c>
      <c r="P323" s="17" t="str">
        <f aca="false">INDEX(Accounts!$K$5:$K$336,MATCH(B323,Accounts!$A$5:$A$336,0))</f>
        <v>Agribusiness</v>
      </c>
      <c r="Q323" s="17" t="str">
        <f aca="false">INDEX(Accounts!$D$5:$D$336,MATCH(B323,Accounts!$A$5:$A$336,0))</f>
        <v>Priority</v>
      </c>
      <c r="R323" s="7" t="n">
        <f aca="false">INDEX(Inputs!$B$11:$B$16,MATCH(E323,Inputs!$A$11:$A$16,0))</f>
        <v>50</v>
      </c>
      <c r="S323" s="27" t="n">
        <f aca="false">IF(F323="",0,F323)*R323/100</f>
        <v>39089500</v>
      </c>
      <c r="T323" s="7" t="n">
        <f aca="false">Inputs!$B$4-J323</f>
        <v>195</v>
      </c>
      <c r="U323" s="7" t="n">
        <f aca="false">IF(OR(F323="",F323=0),1,0)</f>
        <v>0</v>
      </c>
      <c r="V323" s="7" t="n">
        <f aca="false">IF(K323="",1,0)</f>
        <v>0</v>
      </c>
      <c r="W323" s="7" t="n">
        <f aca="false">IF(AND(O323=1,K323&lt;&gt;"",COUNTIFS(Owners!$A$5:$A$32,K323,Owners!$E$5:$E$32,"No")&gt;0),1,0)</f>
        <v>0</v>
      </c>
      <c r="X323" s="7" t="n">
        <f aca="false">IF(AND(O323=1,I323&lt;Inputs!$B$4),1,0)</f>
        <v>0</v>
      </c>
      <c r="Y323" s="7" t="n">
        <f aca="false">IF(AND(O323=1,T323&gt;Inputs!$B$5),1,0)</f>
        <v>1</v>
      </c>
      <c r="Z323" s="7" t="n">
        <f aca="false">IF(AND(O323=1,G323&lt;&gt;R323),1,0)</f>
        <v>0</v>
      </c>
      <c r="AA323" s="7" t="n">
        <f aca="false">IF(AND(O323=1,M323=""),1,0)</f>
        <v>1</v>
      </c>
      <c r="AB323" s="7" t="n">
        <f aca="false">IF(AND(E323="Closed Lost",N323=""),1,0)</f>
        <v>0</v>
      </c>
      <c r="AC323" s="7" t="n">
        <f aca="false">SUM(U323:AB323)</f>
        <v>2</v>
      </c>
      <c r="AD323" s="7" t="n">
        <f aca="false">IF(AC323=0,1,0)</f>
        <v>0</v>
      </c>
      <c r="AE323" s="7" t="n">
        <f aca="false">IF(AND(O323=1,I323&gt;=Inputs!$B$6,I323&lt;=Inputs!$B$7),1,0)</f>
        <v>1</v>
      </c>
      <c r="AF323" s="7" t="n">
        <f aca="false">IF(AND(E323="Closed Won",I323&gt;=Inputs!$B$6,I323&lt;=Inputs!$B$4),1,0)</f>
        <v>0</v>
      </c>
      <c r="AG323" s="7" t="n">
        <f aca="false">IF(AND(O323=0,I323&gt;Inputs!$B$4-Inputs!$B$8,I323&lt;=Inputs!$B$4),1,0)</f>
        <v>0</v>
      </c>
      <c r="AH323" s="7" t="n">
        <f aca="false">I323-H323</f>
        <v>367</v>
      </c>
    </row>
    <row r="324" customFormat="false" ht="15" hidden="false" customHeight="false" outlineLevel="0" collapsed="false">
      <c r="A324" s="16" t="s">
        <v>1326</v>
      </c>
      <c r="B324" s="16" t="s">
        <v>1327</v>
      </c>
      <c r="C324" s="16" t="s">
        <v>1328</v>
      </c>
      <c r="D324" s="16" t="s">
        <v>177</v>
      </c>
      <c r="E324" s="16" t="s">
        <v>530</v>
      </c>
      <c r="F324" s="26" t="n">
        <v>38011000</v>
      </c>
      <c r="G324" s="25" t="n">
        <v>100</v>
      </c>
      <c r="H324" s="22" t="n">
        <v>45903</v>
      </c>
      <c r="I324" s="22" t="n">
        <v>45987</v>
      </c>
      <c r="J324" s="22" t="n">
        <v>45987</v>
      </c>
      <c r="K324" s="16" t="s">
        <v>640</v>
      </c>
      <c r="L324" s="16" t="s">
        <v>584</v>
      </c>
      <c r="M324" s="16"/>
      <c r="N324" s="16"/>
      <c r="O324" s="7" t="n">
        <f aca="false">IF(OR(E324="Closed Won",E324="Closed Lost"),0,1)</f>
        <v>0</v>
      </c>
      <c r="P324" s="17" t="str">
        <f aca="false">INDEX(Accounts!$K$5:$K$336,MATCH(B324,Accounts!$A$5:$A$336,0))</f>
        <v>Energy &amp; Resources</v>
      </c>
      <c r="Q324" s="17" t="str">
        <f aca="false">INDEX(Accounts!$D$5:$D$336,MATCH(B324,Accounts!$A$5:$A$336,0))</f>
        <v>Key</v>
      </c>
      <c r="R324" s="7" t="n">
        <f aca="false">INDEX(Inputs!$B$11:$B$16,MATCH(E324,Inputs!$A$11:$A$16,0))</f>
        <v>100</v>
      </c>
      <c r="S324" s="27" t="n">
        <f aca="false">IF(F324="",0,F324)*R324/100</f>
        <v>38011000</v>
      </c>
      <c r="T324" s="7" t="n">
        <f aca="false">Inputs!$B$4-J324</f>
        <v>327</v>
      </c>
      <c r="U324" s="7" t="n">
        <f aca="false">IF(OR(F324="",F324=0),1,0)</f>
        <v>0</v>
      </c>
      <c r="V324" s="7" t="n">
        <f aca="false">IF(K324="",1,0)</f>
        <v>0</v>
      </c>
      <c r="W324" s="7" t="n">
        <f aca="false">IF(AND(O324=1,K324&lt;&gt;"",COUNTIFS(Owners!$A$5:$A$32,K324,Owners!$E$5:$E$32,"No")&gt;0),1,0)</f>
        <v>0</v>
      </c>
      <c r="X324" s="7" t="n">
        <f aca="false">IF(AND(O324=1,I324&lt;Inputs!$B$4),1,0)</f>
        <v>0</v>
      </c>
      <c r="Y324" s="7" t="n">
        <f aca="false">IF(AND(O324=1,T324&gt;Inputs!$B$5),1,0)</f>
        <v>0</v>
      </c>
      <c r="Z324" s="7" t="n">
        <f aca="false">IF(AND(O324=1,G324&lt;&gt;R324),1,0)</f>
        <v>0</v>
      </c>
      <c r="AA324" s="7" t="n">
        <f aca="false">IF(AND(O324=1,M324=""),1,0)</f>
        <v>0</v>
      </c>
      <c r="AB324" s="7" t="n">
        <f aca="false">IF(AND(E324="Closed Lost",N324=""),1,0)</f>
        <v>0</v>
      </c>
      <c r="AC324" s="7" t="n">
        <f aca="false">SUM(U324:AB324)</f>
        <v>0</v>
      </c>
      <c r="AD324" s="7" t="n">
        <f aca="false">IF(AC324=0,1,0)</f>
        <v>1</v>
      </c>
      <c r="AE324" s="7" t="n">
        <f aca="false">IF(AND(O324=1,I324&gt;=Inputs!$B$6,I324&lt;=Inputs!$B$7),1,0)</f>
        <v>0</v>
      </c>
      <c r="AF324" s="7" t="n">
        <f aca="false">IF(AND(E324="Closed Won",I324&gt;=Inputs!$B$6,I324&lt;=Inputs!$B$4),1,0)</f>
        <v>0</v>
      </c>
      <c r="AG324" s="7" t="n">
        <f aca="false">IF(AND(O324=0,I324&gt;Inputs!$B$4-Inputs!$B$8,I324&lt;=Inputs!$B$4),1,0)</f>
        <v>1</v>
      </c>
      <c r="AH324" s="7" t="n">
        <f aca="false">I324-H324</f>
        <v>84</v>
      </c>
    </row>
    <row r="325" customFormat="false" ht="15" hidden="false" customHeight="false" outlineLevel="0" collapsed="false">
      <c r="A325" s="16" t="s">
        <v>1329</v>
      </c>
      <c r="B325" s="16" t="s">
        <v>427</v>
      </c>
      <c r="C325" s="16" t="s">
        <v>1330</v>
      </c>
      <c r="D325" s="16" t="s">
        <v>158</v>
      </c>
      <c r="E325" s="16" t="s">
        <v>531</v>
      </c>
      <c r="F325" s="26" t="n">
        <v>43210000</v>
      </c>
      <c r="G325" s="25" t="n">
        <v>0</v>
      </c>
      <c r="H325" s="22" t="n">
        <v>46187</v>
      </c>
      <c r="I325" s="22" t="n">
        <v>46286</v>
      </c>
      <c r="J325" s="22" t="n">
        <v>46286</v>
      </c>
      <c r="K325" s="16" t="s">
        <v>880</v>
      </c>
      <c r="L325" s="16" t="s">
        <v>500</v>
      </c>
      <c r="M325" s="16"/>
      <c r="N325" s="16" t="s">
        <v>579</v>
      </c>
      <c r="O325" s="7" t="n">
        <f aca="false">IF(OR(E325="Closed Won",E325="Closed Lost"),0,1)</f>
        <v>0</v>
      </c>
      <c r="P325" s="17" t="str">
        <f aca="false">INDEX(Accounts!$K$5:$K$336,MATCH(B325,Accounts!$A$5:$A$336,0))</f>
        <v>Financial Services</v>
      </c>
      <c r="Q325" s="17" t="str">
        <f aca="false">INDEX(Accounts!$D$5:$D$336,MATCH(B325,Accounts!$A$5:$A$336,0))</f>
        <v>Standard</v>
      </c>
      <c r="R325" s="7" t="n">
        <f aca="false">INDEX(Inputs!$B$11:$B$16,MATCH(E325,Inputs!$A$11:$A$16,0))</f>
        <v>0</v>
      </c>
      <c r="S325" s="27" t="n">
        <f aca="false">IF(F325="",0,F325)*R325/100</f>
        <v>0</v>
      </c>
      <c r="T325" s="7" t="n">
        <f aca="false">Inputs!$B$4-J325</f>
        <v>28</v>
      </c>
      <c r="U325" s="7" t="n">
        <f aca="false">IF(OR(F325="",F325=0),1,0)</f>
        <v>0</v>
      </c>
      <c r="V325" s="7" t="n">
        <f aca="false">IF(K325="",1,0)</f>
        <v>0</v>
      </c>
      <c r="W325" s="7" t="n">
        <f aca="false">IF(AND(O325=1,K325&lt;&gt;"",COUNTIFS(Owners!$A$5:$A$32,K325,Owners!$E$5:$E$32,"No")&gt;0),1,0)</f>
        <v>0</v>
      </c>
      <c r="X325" s="7" t="n">
        <f aca="false">IF(AND(O325=1,I325&lt;Inputs!$B$4),1,0)</f>
        <v>0</v>
      </c>
      <c r="Y325" s="7" t="n">
        <f aca="false">IF(AND(O325=1,T325&gt;Inputs!$B$5),1,0)</f>
        <v>0</v>
      </c>
      <c r="Z325" s="7" t="n">
        <f aca="false">IF(AND(O325=1,G325&lt;&gt;R325),1,0)</f>
        <v>0</v>
      </c>
      <c r="AA325" s="7" t="n">
        <f aca="false">IF(AND(O325=1,M325=""),1,0)</f>
        <v>0</v>
      </c>
      <c r="AB325" s="7" t="n">
        <f aca="false">IF(AND(E325="Closed Lost",N325=""),1,0)</f>
        <v>0</v>
      </c>
      <c r="AC325" s="7" t="n">
        <f aca="false">SUM(U325:AB325)</f>
        <v>0</v>
      </c>
      <c r="AD325" s="7" t="n">
        <f aca="false">IF(AC325=0,1,0)</f>
        <v>1</v>
      </c>
      <c r="AE325" s="7" t="n">
        <f aca="false">IF(AND(O325=1,I325&gt;=Inputs!$B$6,I325&lt;=Inputs!$B$7),1,0)</f>
        <v>0</v>
      </c>
      <c r="AF325" s="7" t="n">
        <f aca="false">IF(AND(E325="Closed Won",I325&gt;=Inputs!$B$6,I325&lt;=Inputs!$B$4),1,0)</f>
        <v>0</v>
      </c>
      <c r="AG325" s="7" t="n">
        <f aca="false">IF(AND(O325=0,I325&gt;Inputs!$B$4-Inputs!$B$8,I325&lt;=Inputs!$B$4),1,0)</f>
        <v>1</v>
      </c>
      <c r="AH325" s="7" t="n">
        <f aca="false">I325-H325</f>
        <v>99</v>
      </c>
    </row>
    <row r="326" customFormat="false" ht="15" hidden="false" customHeight="false" outlineLevel="0" collapsed="false">
      <c r="A326" s="16" t="s">
        <v>1331</v>
      </c>
      <c r="B326" s="16" t="s">
        <v>1003</v>
      </c>
      <c r="C326" s="16" t="s">
        <v>1332</v>
      </c>
      <c r="D326" s="16" t="s">
        <v>162</v>
      </c>
      <c r="E326" s="16" t="s">
        <v>530</v>
      </c>
      <c r="F326" s="26" t="n">
        <v>22376000</v>
      </c>
      <c r="G326" s="25" t="n">
        <v>100</v>
      </c>
      <c r="H326" s="22" t="n">
        <v>45941</v>
      </c>
      <c r="I326" s="22" t="n">
        <v>46088</v>
      </c>
      <c r="J326" s="22" t="n">
        <v>46088</v>
      </c>
      <c r="K326" s="16" t="s">
        <v>704</v>
      </c>
      <c r="L326" s="16" t="s">
        <v>584</v>
      </c>
      <c r="M326" s="16"/>
      <c r="N326" s="16"/>
      <c r="O326" s="7" t="n">
        <f aca="false">IF(OR(E326="Closed Won",E326="Closed Lost"),0,1)</f>
        <v>0</v>
      </c>
      <c r="P326" s="17" t="str">
        <f aca="false">INDEX(Accounts!$K$5:$K$336,MATCH(B326,Accounts!$A$5:$A$336,0))</f>
        <v>Agribusiness</v>
      </c>
      <c r="Q326" s="17" t="str">
        <f aca="false">INDEX(Accounts!$D$5:$D$336,MATCH(B326,Accounts!$A$5:$A$336,0))</f>
        <v>Standard</v>
      </c>
      <c r="R326" s="7" t="n">
        <f aca="false">INDEX(Inputs!$B$11:$B$16,MATCH(E326,Inputs!$A$11:$A$16,0))</f>
        <v>100</v>
      </c>
      <c r="S326" s="27" t="n">
        <f aca="false">IF(F326="",0,F326)*R326/100</f>
        <v>22376000</v>
      </c>
      <c r="T326" s="7" t="n">
        <f aca="false">Inputs!$B$4-J326</f>
        <v>226</v>
      </c>
      <c r="U326" s="7" t="n">
        <f aca="false">IF(OR(F326="",F326=0),1,0)</f>
        <v>0</v>
      </c>
      <c r="V326" s="7" t="n">
        <f aca="false">IF(K326="",1,0)</f>
        <v>0</v>
      </c>
      <c r="W326" s="7" t="n">
        <f aca="false">IF(AND(O326=1,K326&lt;&gt;"",COUNTIFS(Owners!$A$5:$A$32,K326,Owners!$E$5:$E$32,"No")&gt;0),1,0)</f>
        <v>0</v>
      </c>
      <c r="X326" s="7" t="n">
        <f aca="false">IF(AND(O326=1,I326&lt;Inputs!$B$4),1,0)</f>
        <v>0</v>
      </c>
      <c r="Y326" s="7" t="n">
        <f aca="false">IF(AND(O326=1,T326&gt;Inputs!$B$5),1,0)</f>
        <v>0</v>
      </c>
      <c r="Z326" s="7" t="n">
        <f aca="false">IF(AND(O326=1,G326&lt;&gt;R326),1,0)</f>
        <v>0</v>
      </c>
      <c r="AA326" s="7" t="n">
        <f aca="false">IF(AND(O326=1,M326=""),1,0)</f>
        <v>0</v>
      </c>
      <c r="AB326" s="7" t="n">
        <f aca="false">IF(AND(E326="Closed Lost",N326=""),1,0)</f>
        <v>0</v>
      </c>
      <c r="AC326" s="7" t="n">
        <f aca="false">SUM(U326:AB326)</f>
        <v>0</v>
      </c>
      <c r="AD326" s="7" t="n">
        <f aca="false">IF(AC326=0,1,0)</f>
        <v>1</v>
      </c>
      <c r="AE326" s="7" t="n">
        <f aca="false">IF(AND(O326=1,I326&gt;=Inputs!$B$6,I326&lt;=Inputs!$B$7),1,0)</f>
        <v>0</v>
      </c>
      <c r="AF326" s="7" t="n">
        <f aca="false">IF(AND(E326="Closed Won",I326&gt;=Inputs!$B$6,I326&lt;=Inputs!$B$4),1,0)</f>
        <v>0</v>
      </c>
      <c r="AG326" s="7" t="n">
        <f aca="false">IF(AND(O326=0,I326&gt;Inputs!$B$4-Inputs!$B$8,I326&lt;=Inputs!$B$4),1,0)</f>
        <v>1</v>
      </c>
      <c r="AH326" s="7" t="n">
        <f aca="false">I326-H326</f>
        <v>147</v>
      </c>
    </row>
    <row r="327" customFormat="false" ht="15" hidden="false" customHeight="false" outlineLevel="0" collapsed="false">
      <c r="A327" s="16" t="s">
        <v>1333</v>
      </c>
      <c r="B327" s="16" t="s">
        <v>437</v>
      </c>
      <c r="C327" s="16" t="s">
        <v>1334</v>
      </c>
      <c r="D327" s="16" t="s">
        <v>158</v>
      </c>
      <c r="E327" s="16" t="s">
        <v>531</v>
      </c>
      <c r="F327" s="26" t="n">
        <v>6081000</v>
      </c>
      <c r="G327" s="25" t="n">
        <v>0</v>
      </c>
      <c r="H327" s="22" t="n">
        <v>45921</v>
      </c>
      <c r="I327" s="22" t="n">
        <v>46049</v>
      </c>
      <c r="J327" s="22" t="n">
        <v>46049</v>
      </c>
      <c r="K327" s="16" t="s">
        <v>677</v>
      </c>
      <c r="L327" s="16" t="s">
        <v>592</v>
      </c>
      <c r="M327" s="16"/>
      <c r="N327" s="16" t="s">
        <v>722</v>
      </c>
      <c r="O327" s="7" t="n">
        <f aca="false">IF(OR(E327="Closed Won",E327="Closed Lost"),0,1)</f>
        <v>0</v>
      </c>
      <c r="P327" s="17" t="str">
        <f aca="false">INDEX(Accounts!$K$5:$K$336,MATCH(B327,Accounts!$A$5:$A$336,0))</f>
        <v>Agribusiness</v>
      </c>
      <c r="Q327" s="17" t="str">
        <f aca="false">INDEX(Accounts!$D$5:$D$336,MATCH(B327,Accounts!$A$5:$A$336,0))</f>
        <v>Standard</v>
      </c>
      <c r="R327" s="7" t="n">
        <f aca="false">INDEX(Inputs!$B$11:$B$16,MATCH(E327,Inputs!$A$11:$A$16,0))</f>
        <v>0</v>
      </c>
      <c r="S327" s="27" t="n">
        <f aca="false">IF(F327="",0,F327)*R327/100</f>
        <v>0</v>
      </c>
      <c r="T327" s="7" t="n">
        <f aca="false">Inputs!$B$4-J327</f>
        <v>265</v>
      </c>
      <c r="U327" s="7" t="n">
        <f aca="false">IF(OR(F327="",F327=0),1,0)</f>
        <v>0</v>
      </c>
      <c r="V327" s="7" t="n">
        <f aca="false">IF(K327="",1,0)</f>
        <v>0</v>
      </c>
      <c r="W327" s="7" t="n">
        <f aca="false">IF(AND(O327=1,K327&lt;&gt;"",COUNTIFS(Owners!$A$5:$A$32,K327,Owners!$E$5:$E$32,"No")&gt;0),1,0)</f>
        <v>0</v>
      </c>
      <c r="X327" s="7" t="n">
        <f aca="false">IF(AND(O327=1,I327&lt;Inputs!$B$4),1,0)</f>
        <v>0</v>
      </c>
      <c r="Y327" s="7" t="n">
        <f aca="false">IF(AND(O327=1,T327&gt;Inputs!$B$5),1,0)</f>
        <v>0</v>
      </c>
      <c r="Z327" s="7" t="n">
        <f aca="false">IF(AND(O327=1,G327&lt;&gt;R327),1,0)</f>
        <v>0</v>
      </c>
      <c r="AA327" s="7" t="n">
        <f aca="false">IF(AND(O327=1,M327=""),1,0)</f>
        <v>0</v>
      </c>
      <c r="AB327" s="7" t="n">
        <f aca="false">IF(AND(E327="Closed Lost",N327=""),1,0)</f>
        <v>0</v>
      </c>
      <c r="AC327" s="7" t="n">
        <f aca="false">SUM(U327:AB327)</f>
        <v>0</v>
      </c>
      <c r="AD327" s="7" t="n">
        <f aca="false">IF(AC327=0,1,0)</f>
        <v>1</v>
      </c>
      <c r="AE327" s="7" t="n">
        <f aca="false">IF(AND(O327=1,I327&gt;=Inputs!$B$6,I327&lt;=Inputs!$B$7),1,0)</f>
        <v>0</v>
      </c>
      <c r="AF327" s="7" t="n">
        <f aca="false">IF(AND(E327="Closed Won",I327&gt;=Inputs!$B$6,I327&lt;=Inputs!$B$4),1,0)</f>
        <v>0</v>
      </c>
      <c r="AG327" s="7" t="n">
        <f aca="false">IF(AND(O327=0,I327&gt;Inputs!$B$4-Inputs!$B$8,I327&lt;=Inputs!$B$4),1,0)</f>
        <v>1</v>
      </c>
      <c r="AH327" s="7" t="n">
        <f aca="false">I327-H327</f>
        <v>128</v>
      </c>
    </row>
    <row r="328" customFormat="false" ht="15" hidden="false" customHeight="false" outlineLevel="0" collapsed="false">
      <c r="A328" s="16" t="s">
        <v>1335</v>
      </c>
      <c r="B328" s="16" t="s">
        <v>1336</v>
      </c>
      <c r="C328" s="16" t="s">
        <v>1337</v>
      </c>
      <c r="D328" s="16" t="s">
        <v>167</v>
      </c>
      <c r="E328" s="16" t="s">
        <v>526</v>
      </c>
      <c r="F328" s="26" t="n">
        <v>9470000</v>
      </c>
      <c r="G328" s="25" t="n">
        <v>10</v>
      </c>
      <c r="H328" s="22" t="n">
        <v>46273</v>
      </c>
      <c r="I328" s="22" t="n">
        <v>46396</v>
      </c>
      <c r="J328" s="22" t="n">
        <v>46284</v>
      </c>
      <c r="K328" s="16" t="s">
        <v>765</v>
      </c>
      <c r="L328" s="16" t="s">
        <v>584</v>
      </c>
      <c r="M328" s="16" t="s">
        <v>593</v>
      </c>
      <c r="N328" s="16"/>
      <c r="O328" s="7" t="n">
        <f aca="false">IF(OR(E328="Closed Won",E328="Closed Lost"),0,1)</f>
        <v>1</v>
      </c>
      <c r="P328" s="17" t="str">
        <f aca="false">INDEX(Accounts!$K$5:$K$336,MATCH(B328,Accounts!$A$5:$A$336,0))</f>
        <v>Health</v>
      </c>
      <c r="Q328" s="17" t="str">
        <f aca="false">INDEX(Accounts!$D$5:$D$336,MATCH(B328,Accounts!$A$5:$A$336,0))</f>
        <v>Standard</v>
      </c>
      <c r="R328" s="7" t="n">
        <f aca="false">INDEX(Inputs!$B$11:$B$16,MATCH(E328,Inputs!$A$11:$A$16,0))</f>
        <v>10</v>
      </c>
      <c r="S328" s="27" t="n">
        <f aca="false">IF(F328="",0,F328)*R328/100</f>
        <v>947000</v>
      </c>
      <c r="T328" s="7" t="n">
        <f aca="false">Inputs!$B$4-J328</f>
        <v>30</v>
      </c>
      <c r="U328" s="7" t="n">
        <f aca="false">IF(OR(F328="",F328=0),1,0)</f>
        <v>0</v>
      </c>
      <c r="V328" s="7" t="n">
        <f aca="false">IF(K328="",1,0)</f>
        <v>0</v>
      </c>
      <c r="W328" s="7" t="n">
        <f aca="false">IF(AND(O328=1,K328&lt;&gt;"",COUNTIFS(Owners!$A$5:$A$32,K328,Owners!$E$5:$E$32,"No")&gt;0),1,0)</f>
        <v>0</v>
      </c>
      <c r="X328" s="7" t="n">
        <f aca="false">IF(AND(O328=1,I328&lt;Inputs!$B$4),1,0)</f>
        <v>0</v>
      </c>
      <c r="Y328" s="7" t="n">
        <f aca="false">IF(AND(O328=1,T328&gt;Inputs!$B$5),1,0)</f>
        <v>0</v>
      </c>
      <c r="Z328" s="7" t="n">
        <f aca="false">IF(AND(O328=1,G328&lt;&gt;R328),1,0)</f>
        <v>0</v>
      </c>
      <c r="AA328" s="7" t="n">
        <f aca="false">IF(AND(O328=1,M328=""),1,0)</f>
        <v>0</v>
      </c>
      <c r="AB328" s="7" t="n">
        <f aca="false">IF(AND(E328="Closed Lost",N328=""),1,0)</f>
        <v>0</v>
      </c>
      <c r="AC328" s="7" t="n">
        <f aca="false">SUM(U328:AB328)</f>
        <v>0</v>
      </c>
      <c r="AD328" s="7" t="n">
        <f aca="false">IF(AC328=0,1,0)</f>
        <v>1</v>
      </c>
      <c r="AE328" s="7" t="n">
        <f aca="false">IF(AND(O328=1,I328&gt;=Inputs!$B$6,I328&lt;=Inputs!$B$7),1,0)</f>
        <v>1</v>
      </c>
      <c r="AF328" s="7" t="n">
        <f aca="false">IF(AND(E328="Closed Won",I328&gt;=Inputs!$B$6,I328&lt;=Inputs!$B$4),1,0)</f>
        <v>0</v>
      </c>
      <c r="AG328" s="7" t="n">
        <f aca="false">IF(AND(O328=0,I328&gt;Inputs!$B$4-Inputs!$B$8,I328&lt;=Inputs!$B$4),1,0)</f>
        <v>0</v>
      </c>
      <c r="AH328" s="7" t="n">
        <f aca="false">I328-H328</f>
        <v>123</v>
      </c>
    </row>
    <row r="329" customFormat="false" ht="15" hidden="false" customHeight="false" outlineLevel="0" collapsed="false">
      <c r="A329" s="16" t="s">
        <v>1338</v>
      </c>
      <c r="B329" s="16" t="s">
        <v>1339</v>
      </c>
      <c r="C329" s="16" t="s">
        <v>1340</v>
      </c>
      <c r="D329" s="16" t="s">
        <v>167</v>
      </c>
      <c r="E329" s="16" t="s">
        <v>529</v>
      </c>
      <c r="F329" s="26" t="n">
        <v>2302000</v>
      </c>
      <c r="G329" s="25" t="n">
        <v>75</v>
      </c>
      <c r="H329" s="22" t="n">
        <v>46205</v>
      </c>
      <c r="I329" s="22" t="n">
        <v>46387</v>
      </c>
      <c r="J329" s="22" t="n">
        <v>46125</v>
      </c>
      <c r="K329" s="16" t="s">
        <v>654</v>
      </c>
      <c r="L329" s="16" t="s">
        <v>609</v>
      </c>
      <c r="M329" s="16" t="s">
        <v>601</v>
      </c>
      <c r="N329" s="16"/>
      <c r="O329" s="7" t="n">
        <f aca="false">IF(OR(E329="Closed Won",E329="Closed Lost"),0,1)</f>
        <v>1</v>
      </c>
      <c r="P329" s="17" t="str">
        <f aca="false">INDEX(Accounts!$K$5:$K$336,MATCH(B329,Accounts!$A$5:$A$336,0))</f>
        <v>Public Sector &amp; Development</v>
      </c>
      <c r="Q329" s="17" t="str">
        <f aca="false">INDEX(Accounts!$D$5:$D$336,MATCH(B329,Accounts!$A$5:$A$336,0))</f>
        <v>Standard</v>
      </c>
      <c r="R329" s="7" t="n">
        <f aca="false">INDEX(Inputs!$B$11:$B$16,MATCH(E329,Inputs!$A$11:$A$16,0))</f>
        <v>75</v>
      </c>
      <c r="S329" s="27" t="n">
        <f aca="false">IF(F329="",0,F329)*R329/100</f>
        <v>1726500</v>
      </c>
      <c r="T329" s="7" t="n">
        <f aca="false">Inputs!$B$4-J329</f>
        <v>189</v>
      </c>
      <c r="U329" s="7" t="n">
        <f aca="false">IF(OR(F329="",F329=0),1,0)</f>
        <v>0</v>
      </c>
      <c r="V329" s="7" t="n">
        <f aca="false">IF(K329="",1,0)</f>
        <v>0</v>
      </c>
      <c r="W329" s="7" t="n">
        <f aca="false">IF(AND(O329=1,K329&lt;&gt;"",COUNTIFS(Owners!$A$5:$A$32,K329,Owners!$E$5:$E$32,"No")&gt;0),1,0)</f>
        <v>0</v>
      </c>
      <c r="X329" s="7" t="n">
        <f aca="false">IF(AND(O329=1,I329&lt;Inputs!$B$4),1,0)</f>
        <v>0</v>
      </c>
      <c r="Y329" s="7" t="n">
        <f aca="false">IF(AND(O329=1,T329&gt;Inputs!$B$5),1,0)</f>
        <v>1</v>
      </c>
      <c r="Z329" s="7" t="n">
        <f aca="false">IF(AND(O329=1,G329&lt;&gt;R329),1,0)</f>
        <v>0</v>
      </c>
      <c r="AA329" s="7" t="n">
        <f aca="false">IF(AND(O329=1,M329=""),1,0)</f>
        <v>0</v>
      </c>
      <c r="AB329" s="7" t="n">
        <f aca="false">IF(AND(E329="Closed Lost",N329=""),1,0)</f>
        <v>0</v>
      </c>
      <c r="AC329" s="7" t="n">
        <f aca="false">SUM(U329:AB329)</f>
        <v>1</v>
      </c>
      <c r="AD329" s="7" t="n">
        <f aca="false">IF(AC329=0,1,0)</f>
        <v>0</v>
      </c>
      <c r="AE329" s="7" t="n">
        <f aca="false">IF(AND(O329=1,I329&gt;=Inputs!$B$6,I329&lt;=Inputs!$B$7),1,0)</f>
        <v>1</v>
      </c>
      <c r="AF329" s="7" t="n">
        <f aca="false">IF(AND(E329="Closed Won",I329&gt;=Inputs!$B$6,I329&lt;=Inputs!$B$4),1,0)</f>
        <v>0</v>
      </c>
      <c r="AG329" s="7" t="n">
        <f aca="false">IF(AND(O329=0,I329&gt;Inputs!$B$4-Inputs!$B$8,I329&lt;=Inputs!$B$4),1,0)</f>
        <v>0</v>
      </c>
      <c r="AH329" s="7" t="n">
        <f aca="false">I329-H329</f>
        <v>182</v>
      </c>
    </row>
    <row r="330" customFormat="false" ht="15" hidden="false" customHeight="false" outlineLevel="0" collapsed="false">
      <c r="A330" s="16" t="s">
        <v>1341</v>
      </c>
      <c r="B330" s="16" t="s">
        <v>70</v>
      </c>
      <c r="C330" s="16" t="s">
        <v>1342</v>
      </c>
      <c r="D330" s="16" t="s">
        <v>165</v>
      </c>
      <c r="E330" s="16" t="s">
        <v>531</v>
      </c>
      <c r="F330" s="26" t="n">
        <v>11625000</v>
      </c>
      <c r="G330" s="25" t="n">
        <v>0</v>
      </c>
      <c r="H330" s="22" t="n">
        <v>45999</v>
      </c>
      <c r="I330" s="22" t="n">
        <v>46072</v>
      </c>
      <c r="J330" s="22" t="n">
        <v>46072</v>
      </c>
      <c r="K330" s="16" t="s">
        <v>633</v>
      </c>
      <c r="L330" s="16" t="s">
        <v>574</v>
      </c>
      <c r="M330" s="16"/>
      <c r="N330" s="16" t="s">
        <v>722</v>
      </c>
      <c r="O330" s="7" t="n">
        <f aca="false">IF(OR(E330="Closed Won",E330="Closed Lost"),0,1)</f>
        <v>0</v>
      </c>
      <c r="P330" s="17" t="str">
        <f aca="false">INDEX(Accounts!$K$5:$K$336,MATCH(B330,Accounts!$A$5:$A$336,0))</f>
        <v>Consumer &amp; Retail</v>
      </c>
      <c r="Q330" s="17" t="str">
        <f aca="false">INDEX(Accounts!$D$5:$D$336,MATCH(B330,Accounts!$A$5:$A$336,0))</f>
        <v>Priority</v>
      </c>
      <c r="R330" s="7" t="n">
        <f aca="false">INDEX(Inputs!$B$11:$B$16,MATCH(E330,Inputs!$A$11:$A$16,0))</f>
        <v>0</v>
      </c>
      <c r="S330" s="27" t="n">
        <f aca="false">IF(F330="",0,F330)*R330/100</f>
        <v>0</v>
      </c>
      <c r="T330" s="7" t="n">
        <f aca="false">Inputs!$B$4-J330</f>
        <v>242</v>
      </c>
      <c r="U330" s="7" t="n">
        <f aca="false">IF(OR(F330="",F330=0),1,0)</f>
        <v>0</v>
      </c>
      <c r="V330" s="7" t="n">
        <f aca="false">IF(K330="",1,0)</f>
        <v>0</v>
      </c>
      <c r="W330" s="7" t="n">
        <f aca="false">IF(AND(O330=1,K330&lt;&gt;"",COUNTIFS(Owners!$A$5:$A$32,K330,Owners!$E$5:$E$32,"No")&gt;0),1,0)</f>
        <v>0</v>
      </c>
      <c r="X330" s="7" t="n">
        <f aca="false">IF(AND(O330=1,I330&lt;Inputs!$B$4),1,0)</f>
        <v>0</v>
      </c>
      <c r="Y330" s="7" t="n">
        <f aca="false">IF(AND(O330=1,T330&gt;Inputs!$B$5),1,0)</f>
        <v>0</v>
      </c>
      <c r="Z330" s="7" t="n">
        <f aca="false">IF(AND(O330=1,G330&lt;&gt;R330),1,0)</f>
        <v>0</v>
      </c>
      <c r="AA330" s="7" t="n">
        <f aca="false">IF(AND(O330=1,M330=""),1,0)</f>
        <v>0</v>
      </c>
      <c r="AB330" s="7" t="n">
        <f aca="false">IF(AND(E330="Closed Lost",N330=""),1,0)</f>
        <v>0</v>
      </c>
      <c r="AC330" s="7" t="n">
        <f aca="false">SUM(U330:AB330)</f>
        <v>0</v>
      </c>
      <c r="AD330" s="7" t="n">
        <f aca="false">IF(AC330=0,1,0)</f>
        <v>1</v>
      </c>
      <c r="AE330" s="7" t="n">
        <f aca="false">IF(AND(O330=1,I330&gt;=Inputs!$B$6,I330&lt;=Inputs!$B$7),1,0)</f>
        <v>0</v>
      </c>
      <c r="AF330" s="7" t="n">
        <f aca="false">IF(AND(E330="Closed Won",I330&gt;=Inputs!$B$6,I330&lt;=Inputs!$B$4),1,0)</f>
        <v>0</v>
      </c>
      <c r="AG330" s="7" t="n">
        <f aca="false">IF(AND(O330=0,I330&gt;Inputs!$B$4-Inputs!$B$8,I330&lt;=Inputs!$B$4),1,0)</f>
        <v>1</v>
      </c>
      <c r="AH330" s="7" t="n">
        <f aca="false">I330-H330</f>
        <v>73</v>
      </c>
    </row>
    <row r="331" customFormat="false" ht="15" hidden="false" customHeight="false" outlineLevel="0" collapsed="false">
      <c r="A331" s="16" t="s">
        <v>1343</v>
      </c>
      <c r="B331" s="16" t="s">
        <v>919</v>
      </c>
      <c r="C331" s="16" t="s">
        <v>1344</v>
      </c>
      <c r="D331" s="16" t="s">
        <v>165</v>
      </c>
      <c r="E331" s="16" t="s">
        <v>530</v>
      </c>
      <c r="F331" s="26" t="n">
        <v>7356000</v>
      </c>
      <c r="G331" s="25" t="n">
        <v>100</v>
      </c>
      <c r="H331" s="22" t="n">
        <v>46012</v>
      </c>
      <c r="I331" s="22" t="n">
        <v>46219</v>
      </c>
      <c r="J331" s="22" t="n">
        <v>46219</v>
      </c>
      <c r="K331" s="16" t="s">
        <v>654</v>
      </c>
      <c r="L331" s="16" t="s">
        <v>609</v>
      </c>
      <c r="M331" s="16"/>
      <c r="N331" s="16"/>
      <c r="O331" s="7" t="n">
        <f aca="false">IF(OR(E331="Closed Won",E331="Closed Lost"),0,1)</f>
        <v>0</v>
      </c>
      <c r="P331" s="17" t="str">
        <f aca="false">INDEX(Accounts!$K$5:$K$336,MATCH(B331,Accounts!$A$5:$A$336,0))</f>
        <v>Financial Services</v>
      </c>
      <c r="Q331" s="17" t="str">
        <f aca="false">INDEX(Accounts!$D$5:$D$336,MATCH(B331,Accounts!$A$5:$A$336,0))</f>
        <v>Standard</v>
      </c>
      <c r="R331" s="7" t="n">
        <f aca="false">INDEX(Inputs!$B$11:$B$16,MATCH(E331,Inputs!$A$11:$A$16,0))</f>
        <v>100</v>
      </c>
      <c r="S331" s="27" t="n">
        <f aca="false">IF(F331="",0,F331)*R331/100</f>
        <v>7356000</v>
      </c>
      <c r="T331" s="7" t="n">
        <f aca="false">Inputs!$B$4-J331</f>
        <v>95</v>
      </c>
      <c r="U331" s="7" t="n">
        <f aca="false">IF(OR(F331="",F331=0),1,0)</f>
        <v>0</v>
      </c>
      <c r="V331" s="7" t="n">
        <f aca="false">IF(K331="",1,0)</f>
        <v>0</v>
      </c>
      <c r="W331" s="7" t="n">
        <f aca="false">IF(AND(O331=1,K331&lt;&gt;"",COUNTIFS(Owners!$A$5:$A$32,K331,Owners!$E$5:$E$32,"No")&gt;0),1,0)</f>
        <v>0</v>
      </c>
      <c r="X331" s="7" t="n">
        <f aca="false">IF(AND(O331=1,I331&lt;Inputs!$B$4),1,0)</f>
        <v>0</v>
      </c>
      <c r="Y331" s="7" t="n">
        <f aca="false">IF(AND(O331=1,T331&gt;Inputs!$B$5),1,0)</f>
        <v>0</v>
      </c>
      <c r="Z331" s="7" t="n">
        <f aca="false">IF(AND(O331=1,G331&lt;&gt;R331),1,0)</f>
        <v>0</v>
      </c>
      <c r="AA331" s="7" t="n">
        <f aca="false">IF(AND(O331=1,M331=""),1,0)</f>
        <v>0</v>
      </c>
      <c r="AB331" s="7" t="n">
        <f aca="false">IF(AND(E331="Closed Lost",N331=""),1,0)</f>
        <v>0</v>
      </c>
      <c r="AC331" s="7" t="n">
        <f aca="false">SUM(U331:AB331)</f>
        <v>0</v>
      </c>
      <c r="AD331" s="7" t="n">
        <f aca="false">IF(AC331=0,1,0)</f>
        <v>1</v>
      </c>
      <c r="AE331" s="7" t="n">
        <f aca="false">IF(AND(O331=1,I331&gt;=Inputs!$B$6,I331&lt;=Inputs!$B$7),1,0)</f>
        <v>0</v>
      </c>
      <c r="AF331" s="7" t="n">
        <f aca="false">IF(AND(E331="Closed Won",I331&gt;=Inputs!$B$6,I331&lt;=Inputs!$B$4),1,0)</f>
        <v>1</v>
      </c>
      <c r="AG331" s="7" t="n">
        <f aca="false">IF(AND(O331=0,I331&gt;Inputs!$B$4-Inputs!$B$8,I331&lt;=Inputs!$B$4),1,0)</f>
        <v>1</v>
      </c>
      <c r="AH331" s="7" t="n">
        <f aca="false">I331-H331</f>
        <v>207</v>
      </c>
    </row>
    <row r="332" customFormat="false" ht="15" hidden="false" customHeight="false" outlineLevel="0" collapsed="false">
      <c r="A332" s="16" t="s">
        <v>1345</v>
      </c>
      <c r="B332" s="16" t="s">
        <v>96</v>
      </c>
      <c r="C332" s="16" t="s">
        <v>1346</v>
      </c>
      <c r="D332" s="16" t="s">
        <v>165</v>
      </c>
      <c r="E332" s="16" t="s">
        <v>530</v>
      </c>
      <c r="F332" s="26" t="n">
        <v>23673000</v>
      </c>
      <c r="G332" s="25" t="n">
        <v>100</v>
      </c>
      <c r="H332" s="22" t="n">
        <v>46019</v>
      </c>
      <c r="I332" s="22" t="n">
        <v>46123</v>
      </c>
      <c r="J332" s="22" t="n">
        <v>46123</v>
      </c>
      <c r="K332" s="16" t="s">
        <v>704</v>
      </c>
      <c r="L332" s="16" t="s">
        <v>584</v>
      </c>
      <c r="M332" s="16"/>
      <c r="N332" s="16"/>
      <c r="O332" s="7" t="n">
        <f aca="false">IF(OR(E332="Closed Won",E332="Closed Lost"),0,1)</f>
        <v>0</v>
      </c>
      <c r="P332" s="17" t="str">
        <f aca="false">INDEX(Accounts!$K$5:$K$336,MATCH(B332,Accounts!$A$5:$A$336,0))</f>
        <v>Financial Services</v>
      </c>
      <c r="Q332" s="17" t="str">
        <f aca="false">INDEX(Accounts!$D$5:$D$336,MATCH(B332,Accounts!$A$5:$A$336,0))</f>
        <v>Priority</v>
      </c>
      <c r="R332" s="7" t="n">
        <f aca="false">INDEX(Inputs!$B$11:$B$16,MATCH(E332,Inputs!$A$11:$A$16,0))</f>
        <v>100</v>
      </c>
      <c r="S332" s="27" t="n">
        <f aca="false">IF(F332="",0,F332)*R332/100</f>
        <v>23673000</v>
      </c>
      <c r="T332" s="7" t="n">
        <f aca="false">Inputs!$B$4-J332</f>
        <v>191</v>
      </c>
      <c r="U332" s="7" t="n">
        <f aca="false">IF(OR(F332="",F332=0),1,0)</f>
        <v>0</v>
      </c>
      <c r="V332" s="7" t="n">
        <f aca="false">IF(K332="",1,0)</f>
        <v>0</v>
      </c>
      <c r="W332" s="7" t="n">
        <f aca="false">IF(AND(O332=1,K332&lt;&gt;"",COUNTIFS(Owners!$A$5:$A$32,K332,Owners!$E$5:$E$32,"No")&gt;0),1,0)</f>
        <v>0</v>
      </c>
      <c r="X332" s="7" t="n">
        <f aca="false">IF(AND(O332=1,I332&lt;Inputs!$B$4),1,0)</f>
        <v>0</v>
      </c>
      <c r="Y332" s="7" t="n">
        <f aca="false">IF(AND(O332=1,T332&gt;Inputs!$B$5),1,0)</f>
        <v>0</v>
      </c>
      <c r="Z332" s="7" t="n">
        <f aca="false">IF(AND(O332=1,G332&lt;&gt;R332),1,0)</f>
        <v>0</v>
      </c>
      <c r="AA332" s="7" t="n">
        <f aca="false">IF(AND(O332=1,M332=""),1,0)</f>
        <v>0</v>
      </c>
      <c r="AB332" s="7" t="n">
        <f aca="false">IF(AND(E332="Closed Lost",N332=""),1,0)</f>
        <v>0</v>
      </c>
      <c r="AC332" s="7" t="n">
        <f aca="false">SUM(U332:AB332)</f>
        <v>0</v>
      </c>
      <c r="AD332" s="7" t="n">
        <f aca="false">IF(AC332=0,1,0)</f>
        <v>1</v>
      </c>
      <c r="AE332" s="7" t="n">
        <f aca="false">IF(AND(O332=1,I332&gt;=Inputs!$B$6,I332&lt;=Inputs!$B$7),1,0)</f>
        <v>0</v>
      </c>
      <c r="AF332" s="7" t="n">
        <f aca="false">IF(AND(E332="Closed Won",I332&gt;=Inputs!$B$6,I332&lt;=Inputs!$B$4),1,0)</f>
        <v>0</v>
      </c>
      <c r="AG332" s="7" t="n">
        <f aca="false">IF(AND(O332=0,I332&gt;Inputs!$B$4-Inputs!$B$8,I332&lt;=Inputs!$B$4),1,0)</f>
        <v>1</v>
      </c>
      <c r="AH332" s="7" t="n">
        <f aca="false">I332-H332</f>
        <v>104</v>
      </c>
    </row>
    <row r="333" customFormat="false" ht="15" hidden="false" customHeight="false" outlineLevel="0" collapsed="false">
      <c r="A333" s="16" t="s">
        <v>1347</v>
      </c>
      <c r="B333" s="16" t="s">
        <v>1348</v>
      </c>
      <c r="C333" s="16" t="s">
        <v>1349</v>
      </c>
      <c r="D333" s="16" t="s">
        <v>167</v>
      </c>
      <c r="E333" s="16" t="s">
        <v>531</v>
      </c>
      <c r="F333" s="26" t="n">
        <v>4611000</v>
      </c>
      <c r="G333" s="25" t="n">
        <v>0</v>
      </c>
      <c r="H333" s="22" t="n">
        <v>45991</v>
      </c>
      <c r="I333" s="22" t="n">
        <v>46111</v>
      </c>
      <c r="J333" s="22" t="n">
        <v>46111</v>
      </c>
      <c r="K333" s="16" t="s">
        <v>765</v>
      </c>
      <c r="L333" s="16" t="s">
        <v>584</v>
      </c>
      <c r="M333" s="16"/>
      <c r="N333" s="16" t="s">
        <v>597</v>
      </c>
      <c r="O333" s="7" t="n">
        <f aca="false">IF(OR(E333="Closed Won",E333="Closed Lost"),0,1)</f>
        <v>0</v>
      </c>
      <c r="P333" s="17" t="str">
        <f aca="false">INDEX(Accounts!$K$5:$K$336,MATCH(B333,Accounts!$A$5:$A$336,0))</f>
        <v>Public Sector &amp; Development</v>
      </c>
      <c r="Q333" s="17" t="str">
        <f aca="false">INDEX(Accounts!$D$5:$D$336,MATCH(B333,Accounts!$A$5:$A$336,0))</f>
        <v>Standard</v>
      </c>
      <c r="R333" s="7" t="n">
        <f aca="false">INDEX(Inputs!$B$11:$B$16,MATCH(E333,Inputs!$A$11:$A$16,0))</f>
        <v>0</v>
      </c>
      <c r="S333" s="27" t="n">
        <f aca="false">IF(F333="",0,F333)*R333/100</f>
        <v>0</v>
      </c>
      <c r="T333" s="7" t="n">
        <f aca="false">Inputs!$B$4-J333</f>
        <v>203</v>
      </c>
      <c r="U333" s="7" t="n">
        <f aca="false">IF(OR(F333="",F333=0),1,0)</f>
        <v>0</v>
      </c>
      <c r="V333" s="7" t="n">
        <f aca="false">IF(K333="",1,0)</f>
        <v>0</v>
      </c>
      <c r="W333" s="7" t="n">
        <f aca="false">IF(AND(O333=1,K333&lt;&gt;"",COUNTIFS(Owners!$A$5:$A$32,K333,Owners!$E$5:$E$32,"No")&gt;0),1,0)</f>
        <v>0</v>
      </c>
      <c r="X333" s="7" t="n">
        <f aca="false">IF(AND(O333=1,I333&lt;Inputs!$B$4),1,0)</f>
        <v>0</v>
      </c>
      <c r="Y333" s="7" t="n">
        <f aca="false">IF(AND(O333=1,T333&gt;Inputs!$B$5),1,0)</f>
        <v>0</v>
      </c>
      <c r="Z333" s="7" t="n">
        <f aca="false">IF(AND(O333=1,G333&lt;&gt;R333),1,0)</f>
        <v>0</v>
      </c>
      <c r="AA333" s="7" t="n">
        <f aca="false">IF(AND(O333=1,M333=""),1,0)</f>
        <v>0</v>
      </c>
      <c r="AB333" s="7" t="n">
        <f aca="false">IF(AND(E333="Closed Lost",N333=""),1,0)</f>
        <v>0</v>
      </c>
      <c r="AC333" s="7" t="n">
        <f aca="false">SUM(U333:AB333)</f>
        <v>0</v>
      </c>
      <c r="AD333" s="7" t="n">
        <f aca="false">IF(AC333=0,1,0)</f>
        <v>1</v>
      </c>
      <c r="AE333" s="7" t="n">
        <f aca="false">IF(AND(O333=1,I333&gt;=Inputs!$B$6,I333&lt;=Inputs!$B$7),1,0)</f>
        <v>0</v>
      </c>
      <c r="AF333" s="7" t="n">
        <f aca="false">IF(AND(E333="Closed Won",I333&gt;=Inputs!$B$6,I333&lt;=Inputs!$B$4),1,0)</f>
        <v>0</v>
      </c>
      <c r="AG333" s="7" t="n">
        <f aca="false">IF(AND(O333=0,I333&gt;Inputs!$B$4-Inputs!$B$8,I333&lt;=Inputs!$B$4),1,0)</f>
        <v>1</v>
      </c>
      <c r="AH333" s="7" t="n">
        <f aca="false">I333-H333</f>
        <v>120</v>
      </c>
    </row>
    <row r="334" customFormat="false" ht="15" hidden="false" customHeight="false" outlineLevel="0" collapsed="false">
      <c r="A334" s="16" t="s">
        <v>1350</v>
      </c>
      <c r="B334" s="16" t="s">
        <v>254</v>
      </c>
      <c r="C334" s="16" t="s">
        <v>1351</v>
      </c>
      <c r="D334" s="16" t="s">
        <v>177</v>
      </c>
      <c r="E334" s="16" t="s">
        <v>526</v>
      </c>
      <c r="F334" s="26" t="n">
        <v>9257000</v>
      </c>
      <c r="G334" s="25" t="n">
        <v>10</v>
      </c>
      <c r="H334" s="22" t="n">
        <v>46263</v>
      </c>
      <c r="I334" s="22" t="n">
        <v>46410</v>
      </c>
      <c r="J334" s="22" t="n">
        <v>46270</v>
      </c>
      <c r="K334" s="16" t="s">
        <v>663</v>
      </c>
      <c r="L334" s="16" t="s">
        <v>609</v>
      </c>
      <c r="M334" s="16" t="s">
        <v>575</v>
      </c>
      <c r="N334" s="16"/>
      <c r="O334" s="7" t="n">
        <f aca="false">IF(OR(E334="Closed Won",E334="Closed Lost"),0,1)</f>
        <v>1</v>
      </c>
      <c r="P334" s="17" t="str">
        <f aca="false">INDEX(Accounts!$K$5:$K$336,MATCH(B334,Accounts!$A$5:$A$336,0))</f>
        <v>Technology, Media &amp; Telecom</v>
      </c>
      <c r="Q334" s="17" t="str">
        <f aca="false">INDEX(Accounts!$D$5:$D$336,MATCH(B334,Accounts!$A$5:$A$336,0))</f>
        <v>Key</v>
      </c>
      <c r="R334" s="7" t="n">
        <f aca="false">INDEX(Inputs!$B$11:$B$16,MATCH(E334,Inputs!$A$11:$A$16,0))</f>
        <v>10</v>
      </c>
      <c r="S334" s="27" t="n">
        <f aca="false">IF(F334="",0,F334)*R334/100</f>
        <v>925700</v>
      </c>
      <c r="T334" s="7" t="n">
        <f aca="false">Inputs!$B$4-J334</f>
        <v>44</v>
      </c>
      <c r="U334" s="7" t="n">
        <f aca="false">IF(OR(F334="",F334=0),1,0)</f>
        <v>0</v>
      </c>
      <c r="V334" s="7" t="n">
        <f aca="false">IF(K334="",1,0)</f>
        <v>0</v>
      </c>
      <c r="W334" s="7" t="n">
        <f aca="false">IF(AND(O334=1,K334&lt;&gt;"",COUNTIFS(Owners!$A$5:$A$32,K334,Owners!$E$5:$E$32,"No")&gt;0),1,0)</f>
        <v>0</v>
      </c>
      <c r="X334" s="7" t="n">
        <f aca="false">IF(AND(O334=1,I334&lt;Inputs!$B$4),1,0)</f>
        <v>0</v>
      </c>
      <c r="Y334" s="7" t="n">
        <f aca="false">IF(AND(O334=1,T334&gt;Inputs!$B$5),1,0)</f>
        <v>0</v>
      </c>
      <c r="Z334" s="7" t="n">
        <f aca="false">IF(AND(O334=1,G334&lt;&gt;R334),1,0)</f>
        <v>0</v>
      </c>
      <c r="AA334" s="7" t="n">
        <f aca="false">IF(AND(O334=1,M334=""),1,0)</f>
        <v>0</v>
      </c>
      <c r="AB334" s="7" t="n">
        <f aca="false">IF(AND(E334="Closed Lost",N334=""),1,0)</f>
        <v>0</v>
      </c>
      <c r="AC334" s="7" t="n">
        <f aca="false">SUM(U334:AB334)</f>
        <v>0</v>
      </c>
      <c r="AD334" s="7" t="n">
        <f aca="false">IF(AC334=0,1,0)</f>
        <v>1</v>
      </c>
      <c r="AE334" s="7" t="n">
        <f aca="false">IF(AND(O334=1,I334&gt;=Inputs!$B$6,I334&lt;=Inputs!$B$7),1,0)</f>
        <v>1</v>
      </c>
      <c r="AF334" s="7" t="n">
        <f aca="false">IF(AND(E334="Closed Won",I334&gt;=Inputs!$B$6,I334&lt;=Inputs!$B$4),1,0)</f>
        <v>0</v>
      </c>
      <c r="AG334" s="7" t="n">
        <f aca="false">IF(AND(O334=0,I334&gt;Inputs!$B$4-Inputs!$B$8,I334&lt;=Inputs!$B$4),1,0)</f>
        <v>0</v>
      </c>
      <c r="AH334" s="7" t="n">
        <f aca="false">I334-H334</f>
        <v>147</v>
      </c>
    </row>
    <row r="335" customFormat="false" ht="15" hidden="false" customHeight="false" outlineLevel="0" collapsed="false">
      <c r="A335" s="16" t="s">
        <v>1352</v>
      </c>
      <c r="B335" s="16" t="s">
        <v>1353</v>
      </c>
      <c r="C335" s="16" t="s">
        <v>1354</v>
      </c>
      <c r="D335" s="16" t="s">
        <v>165</v>
      </c>
      <c r="E335" s="16" t="s">
        <v>531</v>
      </c>
      <c r="F335" s="26" t="n">
        <v>24676000</v>
      </c>
      <c r="G335" s="25" t="n">
        <v>0</v>
      </c>
      <c r="H335" s="22" t="n">
        <v>45971</v>
      </c>
      <c r="I335" s="22" t="n">
        <v>46172</v>
      </c>
      <c r="J335" s="22" t="n">
        <v>46172</v>
      </c>
      <c r="K335" s="16" t="s">
        <v>567</v>
      </c>
      <c r="L335" s="16" t="s">
        <v>592</v>
      </c>
      <c r="M335" s="16"/>
      <c r="N335" s="16"/>
      <c r="O335" s="7" t="n">
        <f aca="false">IF(OR(E335="Closed Won",E335="Closed Lost"),0,1)</f>
        <v>0</v>
      </c>
      <c r="P335" s="17" t="str">
        <f aca="false">INDEX(Accounts!$K$5:$K$336,MATCH(B335,Accounts!$A$5:$A$336,0))</f>
        <v>Financial Services</v>
      </c>
      <c r="Q335" s="17" t="str">
        <f aca="false">INDEX(Accounts!$D$5:$D$336,MATCH(B335,Accounts!$A$5:$A$336,0))</f>
        <v>Standard</v>
      </c>
      <c r="R335" s="7" t="n">
        <f aca="false">INDEX(Inputs!$B$11:$B$16,MATCH(E335,Inputs!$A$11:$A$16,0))</f>
        <v>0</v>
      </c>
      <c r="S335" s="27" t="n">
        <f aca="false">IF(F335="",0,F335)*R335/100</f>
        <v>0</v>
      </c>
      <c r="T335" s="7" t="n">
        <f aca="false">Inputs!$B$4-J335</f>
        <v>142</v>
      </c>
      <c r="U335" s="7" t="n">
        <f aca="false">IF(OR(F335="",F335=0),1,0)</f>
        <v>0</v>
      </c>
      <c r="V335" s="7" t="n">
        <f aca="false">IF(K335="",1,0)</f>
        <v>0</v>
      </c>
      <c r="W335" s="7" t="n">
        <f aca="false">IF(AND(O335=1,K335&lt;&gt;"",COUNTIFS(Owners!$A$5:$A$32,K335,Owners!$E$5:$E$32,"No")&gt;0),1,0)</f>
        <v>0</v>
      </c>
      <c r="X335" s="7" t="n">
        <f aca="false">IF(AND(O335=1,I335&lt;Inputs!$B$4),1,0)</f>
        <v>0</v>
      </c>
      <c r="Y335" s="7" t="n">
        <f aca="false">IF(AND(O335=1,T335&gt;Inputs!$B$5),1,0)</f>
        <v>0</v>
      </c>
      <c r="Z335" s="7" t="n">
        <f aca="false">IF(AND(O335=1,G335&lt;&gt;R335),1,0)</f>
        <v>0</v>
      </c>
      <c r="AA335" s="7" t="n">
        <f aca="false">IF(AND(O335=1,M335=""),1,0)</f>
        <v>0</v>
      </c>
      <c r="AB335" s="7" t="n">
        <f aca="false">IF(AND(E335="Closed Lost",N335=""),1,0)</f>
        <v>1</v>
      </c>
      <c r="AC335" s="7" t="n">
        <f aca="false">SUM(U335:AB335)</f>
        <v>1</v>
      </c>
      <c r="AD335" s="7" t="n">
        <f aca="false">IF(AC335=0,1,0)</f>
        <v>0</v>
      </c>
      <c r="AE335" s="7" t="n">
        <f aca="false">IF(AND(O335=1,I335&gt;=Inputs!$B$6,I335&lt;=Inputs!$B$7),1,0)</f>
        <v>0</v>
      </c>
      <c r="AF335" s="7" t="n">
        <f aca="false">IF(AND(E335="Closed Won",I335&gt;=Inputs!$B$6,I335&lt;=Inputs!$B$4),1,0)</f>
        <v>0</v>
      </c>
      <c r="AG335" s="7" t="n">
        <f aca="false">IF(AND(O335=0,I335&gt;Inputs!$B$4-Inputs!$B$8,I335&lt;=Inputs!$B$4),1,0)</f>
        <v>1</v>
      </c>
      <c r="AH335" s="7" t="n">
        <f aca="false">I335-H335</f>
        <v>201</v>
      </c>
    </row>
    <row r="336" customFormat="false" ht="15" hidden="false" customHeight="false" outlineLevel="0" collapsed="false">
      <c r="A336" s="16" t="s">
        <v>1355</v>
      </c>
      <c r="B336" s="16" t="s">
        <v>382</v>
      </c>
      <c r="C336" s="16" t="s">
        <v>1356</v>
      </c>
      <c r="D336" s="16" t="s">
        <v>167</v>
      </c>
      <c r="E336" s="16" t="s">
        <v>530</v>
      </c>
      <c r="F336" s="26" t="n">
        <v>2267000</v>
      </c>
      <c r="G336" s="25" t="n">
        <v>100</v>
      </c>
      <c r="H336" s="22" t="n">
        <v>46108</v>
      </c>
      <c r="I336" s="22" t="n">
        <v>46253</v>
      </c>
      <c r="J336" s="22" t="n">
        <v>46253</v>
      </c>
      <c r="K336" s="16" t="s">
        <v>591</v>
      </c>
      <c r="L336" s="16" t="s">
        <v>584</v>
      </c>
      <c r="M336" s="16"/>
      <c r="N336" s="16"/>
      <c r="O336" s="7" t="n">
        <f aca="false">IF(OR(E336="Closed Won",E336="Closed Lost"),0,1)</f>
        <v>0</v>
      </c>
      <c r="P336" s="17" t="str">
        <f aca="false">INDEX(Accounts!$K$5:$K$336,MATCH(B336,Accounts!$A$5:$A$336,0))</f>
        <v>Consumer &amp; Retail</v>
      </c>
      <c r="Q336" s="17" t="str">
        <f aca="false">INDEX(Accounts!$D$5:$D$336,MATCH(B336,Accounts!$A$5:$A$336,0))</f>
        <v>Standard</v>
      </c>
      <c r="R336" s="7" t="n">
        <f aca="false">INDEX(Inputs!$B$11:$B$16,MATCH(E336,Inputs!$A$11:$A$16,0))</f>
        <v>100</v>
      </c>
      <c r="S336" s="27" t="n">
        <f aca="false">IF(F336="",0,F336)*R336/100</f>
        <v>2267000</v>
      </c>
      <c r="T336" s="7" t="n">
        <f aca="false">Inputs!$B$4-J336</f>
        <v>61</v>
      </c>
      <c r="U336" s="7" t="n">
        <f aca="false">IF(OR(F336="",F336=0),1,0)</f>
        <v>0</v>
      </c>
      <c r="V336" s="7" t="n">
        <f aca="false">IF(K336="",1,0)</f>
        <v>0</v>
      </c>
      <c r="W336" s="7" t="n">
        <f aca="false">IF(AND(O336=1,K336&lt;&gt;"",COUNTIFS(Owners!$A$5:$A$32,K336,Owners!$E$5:$E$32,"No")&gt;0),1,0)</f>
        <v>0</v>
      </c>
      <c r="X336" s="7" t="n">
        <f aca="false">IF(AND(O336=1,I336&lt;Inputs!$B$4),1,0)</f>
        <v>0</v>
      </c>
      <c r="Y336" s="7" t="n">
        <f aca="false">IF(AND(O336=1,T336&gt;Inputs!$B$5),1,0)</f>
        <v>0</v>
      </c>
      <c r="Z336" s="7" t="n">
        <f aca="false">IF(AND(O336=1,G336&lt;&gt;R336),1,0)</f>
        <v>0</v>
      </c>
      <c r="AA336" s="7" t="n">
        <f aca="false">IF(AND(O336=1,M336=""),1,0)</f>
        <v>0</v>
      </c>
      <c r="AB336" s="7" t="n">
        <f aca="false">IF(AND(E336="Closed Lost",N336=""),1,0)</f>
        <v>0</v>
      </c>
      <c r="AC336" s="7" t="n">
        <f aca="false">SUM(U336:AB336)</f>
        <v>0</v>
      </c>
      <c r="AD336" s="7" t="n">
        <f aca="false">IF(AC336=0,1,0)</f>
        <v>1</v>
      </c>
      <c r="AE336" s="7" t="n">
        <f aca="false">IF(AND(O336=1,I336&gt;=Inputs!$B$6,I336&lt;=Inputs!$B$7),1,0)</f>
        <v>0</v>
      </c>
      <c r="AF336" s="7" t="n">
        <f aca="false">IF(AND(E336="Closed Won",I336&gt;=Inputs!$B$6,I336&lt;=Inputs!$B$4),1,0)</f>
        <v>1</v>
      </c>
      <c r="AG336" s="7" t="n">
        <f aca="false">IF(AND(O336=0,I336&gt;Inputs!$B$4-Inputs!$B$8,I336&lt;=Inputs!$B$4),1,0)</f>
        <v>1</v>
      </c>
      <c r="AH336" s="7" t="n">
        <f aca="false">I336-H336</f>
        <v>145</v>
      </c>
    </row>
    <row r="337" customFormat="false" ht="15" hidden="false" customHeight="false" outlineLevel="0" collapsed="false">
      <c r="A337" s="16" t="s">
        <v>1357</v>
      </c>
      <c r="B337" s="16" t="s">
        <v>1358</v>
      </c>
      <c r="C337" s="16" t="s">
        <v>1359</v>
      </c>
      <c r="D337" s="16" t="s">
        <v>162</v>
      </c>
      <c r="E337" s="16" t="s">
        <v>528</v>
      </c>
      <c r="F337" s="26" t="n">
        <v>3225000</v>
      </c>
      <c r="G337" s="25" t="n">
        <v>50</v>
      </c>
      <c r="H337" s="22" t="n">
        <v>46246</v>
      </c>
      <c r="I337" s="22" t="n">
        <v>46309</v>
      </c>
      <c r="J337" s="22" t="n">
        <v>46288</v>
      </c>
      <c r="K337" s="16" t="s">
        <v>596</v>
      </c>
      <c r="L337" s="16" t="s">
        <v>568</v>
      </c>
      <c r="M337" s="16" t="s">
        <v>613</v>
      </c>
      <c r="N337" s="16"/>
      <c r="O337" s="7" t="n">
        <f aca="false">IF(OR(E337="Closed Won",E337="Closed Lost"),0,1)</f>
        <v>1</v>
      </c>
      <c r="P337" s="17" t="str">
        <f aca="false">INDEX(Accounts!$K$5:$K$336,MATCH(B337,Accounts!$A$5:$A$336,0))</f>
        <v>Agribusiness</v>
      </c>
      <c r="Q337" s="17" t="str">
        <f aca="false">INDEX(Accounts!$D$5:$D$336,MATCH(B337,Accounts!$A$5:$A$336,0))</f>
        <v>Key</v>
      </c>
      <c r="R337" s="7" t="n">
        <f aca="false">INDEX(Inputs!$B$11:$B$16,MATCH(E337,Inputs!$A$11:$A$16,0))</f>
        <v>50</v>
      </c>
      <c r="S337" s="27" t="n">
        <f aca="false">IF(F337="",0,F337)*R337/100</f>
        <v>1612500</v>
      </c>
      <c r="T337" s="7" t="n">
        <f aca="false">Inputs!$B$4-J337</f>
        <v>26</v>
      </c>
      <c r="U337" s="7" t="n">
        <f aca="false">IF(OR(F337="",F337=0),1,0)</f>
        <v>0</v>
      </c>
      <c r="V337" s="7" t="n">
        <f aca="false">IF(K337="",1,0)</f>
        <v>0</v>
      </c>
      <c r="W337" s="7" t="n">
        <f aca="false">IF(AND(O337=1,K337&lt;&gt;"",COUNTIFS(Owners!$A$5:$A$32,K337,Owners!$E$5:$E$32,"No")&gt;0),1,0)</f>
        <v>0</v>
      </c>
      <c r="X337" s="7" t="n">
        <f aca="false">IF(AND(O337=1,I337&lt;Inputs!$B$4),1,0)</f>
        <v>1</v>
      </c>
      <c r="Y337" s="7" t="n">
        <f aca="false">IF(AND(O337=1,T337&gt;Inputs!$B$5),1,0)</f>
        <v>0</v>
      </c>
      <c r="Z337" s="7" t="n">
        <f aca="false">IF(AND(O337=1,G337&lt;&gt;R337),1,0)</f>
        <v>0</v>
      </c>
      <c r="AA337" s="7" t="n">
        <f aca="false">IF(AND(O337=1,M337=""),1,0)</f>
        <v>0</v>
      </c>
      <c r="AB337" s="7" t="n">
        <f aca="false">IF(AND(E337="Closed Lost",N337=""),1,0)</f>
        <v>0</v>
      </c>
      <c r="AC337" s="7" t="n">
        <f aca="false">SUM(U337:AB337)</f>
        <v>1</v>
      </c>
      <c r="AD337" s="7" t="n">
        <f aca="false">IF(AC337=0,1,0)</f>
        <v>0</v>
      </c>
      <c r="AE337" s="7" t="n">
        <f aca="false">IF(AND(O337=1,I337&gt;=Inputs!$B$6,I337&lt;=Inputs!$B$7),1,0)</f>
        <v>1</v>
      </c>
      <c r="AF337" s="7" t="n">
        <f aca="false">IF(AND(E337="Closed Won",I337&gt;=Inputs!$B$6,I337&lt;=Inputs!$B$4),1,0)</f>
        <v>0</v>
      </c>
      <c r="AG337" s="7" t="n">
        <f aca="false">IF(AND(O337=0,I337&gt;Inputs!$B$4-Inputs!$B$8,I337&lt;=Inputs!$B$4),1,0)</f>
        <v>0</v>
      </c>
      <c r="AH337" s="7" t="n">
        <f aca="false">I337-H337</f>
        <v>63</v>
      </c>
    </row>
    <row r="338" customFormat="false" ht="15" hidden="false" customHeight="false" outlineLevel="0" collapsed="false">
      <c r="A338" s="16" t="s">
        <v>1360</v>
      </c>
      <c r="B338" s="16" t="s">
        <v>71</v>
      </c>
      <c r="C338" s="16" t="s">
        <v>1361</v>
      </c>
      <c r="D338" s="16" t="s">
        <v>167</v>
      </c>
      <c r="E338" s="16" t="s">
        <v>527</v>
      </c>
      <c r="F338" s="26" t="n">
        <v>13426000</v>
      </c>
      <c r="G338" s="25" t="n">
        <v>25</v>
      </c>
      <c r="H338" s="22" t="n">
        <v>46222</v>
      </c>
      <c r="I338" s="22" t="n">
        <v>46432</v>
      </c>
      <c r="J338" s="22" t="n">
        <v>46284</v>
      </c>
      <c r="K338" s="16" t="s">
        <v>622</v>
      </c>
      <c r="L338" s="16" t="s">
        <v>568</v>
      </c>
      <c r="M338" s="16" t="s">
        <v>575</v>
      </c>
      <c r="N338" s="16"/>
      <c r="O338" s="7" t="n">
        <f aca="false">IF(OR(E338="Closed Won",E338="Closed Lost"),0,1)</f>
        <v>1</v>
      </c>
      <c r="P338" s="17" t="str">
        <f aca="false">INDEX(Accounts!$K$5:$K$336,MATCH(B338,Accounts!$A$5:$A$336,0))</f>
        <v>Energy &amp; Resources</v>
      </c>
      <c r="Q338" s="17" t="str">
        <f aca="false">INDEX(Accounts!$D$5:$D$336,MATCH(B338,Accounts!$A$5:$A$336,0))</f>
        <v>Priority</v>
      </c>
      <c r="R338" s="7" t="n">
        <f aca="false">INDEX(Inputs!$B$11:$B$16,MATCH(E338,Inputs!$A$11:$A$16,0))</f>
        <v>25</v>
      </c>
      <c r="S338" s="27" t="n">
        <f aca="false">IF(F338="",0,F338)*R338/100</f>
        <v>3356500</v>
      </c>
      <c r="T338" s="7" t="n">
        <f aca="false">Inputs!$B$4-J338</f>
        <v>30</v>
      </c>
      <c r="U338" s="7" t="n">
        <f aca="false">IF(OR(F338="",F338=0),1,0)</f>
        <v>0</v>
      </c>
      <c r="V338" s="7" t="n">
        <f aca="false">IF(K338="",1,0)</f>
        <v>0</v>
      </c>
      <c r="W338" s="7" t="n">
        <f aca="false">IF(AND(O338=1,K338&lt;&gt;"",COUNTIFS(Owners!$A$5:$A$32,K338,Owners!$E$5:$E$32,"No")&gt;0),1,0)</f>
        <v>0</v>
      </c>
      <c r="X338" s="7" t="n">
        <f aca="false">IF(AND(O338=1,I338&lt;Inputs!$B$4),1,0)</f>
        <v>0</v>
      </c>
      <c r="Y338" s="7" t="n">
        <f aca="false">IF(AND(O338=1,T338&gt;Inputs!$B$5),1,0)</f>
        <v>0</v>
      </c>
      <c r="Z338" s="7" t="n">
        <f aca="false">IF(AND(O338=1,G338&lt;&gt;R338),1,0)</f>
        <v>0</v>
      </c>
      <c r="AA338" s="7" t="n">
        <f aca="false">IF(AND(O338=1,M338=""),1,0)</f>
        <v>0</v>
      </c>
      <c r="AB338" s="7" t="n">
        <f aca="false">IF(AND(E338="Closed Lost",N338=""),1,0)</f>
        <v>0</v>
      </c>
      <c r="AC338" s="7" t="n">
        <f aca="false">SUM(U338:AB338)</f>
        <v>0</v>
      </c>
      <c r="AD338" s="7" t="n">
        <f aca="false">IF(AC338=0,1,0)</f>
        <v>1</v>
      </c>
      <c r="AE338" s="7" t="n">
        <f aca="false">IF(AND(O338=1,I338&gt;=Inputs!$B$6,I338&lt;=Inputs!$B$7),1,0)</f>
        <v>1</v>
      </c>
      <c r="AF338" s="7" t="n">
        <f aca="false">IF(AND(E338="Closed Won",I338&gt;=Inputs!$B$6,I338&lt;=Inputs!$B$4),1,0)</f>
        <v>0</v>
      </c>
      <c r="AG338" s="7" t="n">
        <f aca="false">IF(AND(O338=0,I338&gt;Inputs!$B$4-Inputs!$B$8,I338&lt;=Inputs!$B$4),1,0)</f>
        <v>0</v>
      </c>
      <c r="AH338" s="7" t="n">
        <f aca="false">I338-H338</f>
        <v>210</v>
      </c>
    </row>
    <row r="339" customFormat="false" ht="15" hidden="false" customHeight="false" outlineLevel="0" collapsed="false">
      <c r="A339" s="16" t="s">
        <v>1362</v>
      </c>
      <c r="B339" s="16" t="s">
        <v>242</v>
      </c>
      <c r="C339" s="16" t="s">
        <v>1363</v>
      </c>
      <c r="D339" s="16" t="s">
        <v>165</v>
      </c>
      <c r="E339" s="16" t="s">
        <v>531</v>
      </c>
      <c r="F339" s="26" t="n">
        <v>98920000</v>
      </c>
      <c r="G339" s="25" t="n">
        <v>0</v>
      </c>
      <c r="H339" s="22" t="n">
        <v>45914</v>
      </c>
      <c r="I339" s="22" t="n">
        <v>46044</v>
      </c>
      <c r="J339" s="22" t="n">
        <v>46044</v>
      </c>
      <c r="K339" s="16" t="s">
        <v>637</v>
      </c>
      <c r="L339" s="16" t="s">
        <v>568</v>
      </c>
      <c r="M339" s="16"/>
      <c r="N339" s="16" t="s">
        <v>697</v>
      </c>
      <c r="O339" s="7" t="n">
        <f aca="false">IF(OR(E339="Closed Won",E339="Closed Lost"),0,1)</f>
        <v>0</v>
      </c>
      <c r="P339" s="17" t="str">
        <f aca="false">INDEX(Accounts!$K$5:$K$336,MATCH(B339,Accounts!$A$5:$A$336,0))</f>
        <v>Energy &amp; Resources</v>
      </c>
      <c r="Q339" s="17" t="str">
        <f aca="false">INDEX(Accounts!$D$5:$D$336,MATCH(B339,Accounts!$A$5:$A$336,0))</f>
        <v>Standard</v>
      </c>
      <c r="R339" s="7" t="n">
        <f aca="false">INDEX(Inputs!$B$11:$B$16,MATCH(E339,Inputs!$A$11:$A$16,0))</f>
        <v>0</v>
      </c>
      <c r="S339" s="27" t="n">
        <f aca="false">IF(F339="",0,F339)*R339/100</f>
        <v>0</v>
      </c>
      <c r="T339" s="7" t="n">
        <f aca="false">Inputs!$B$4-J339</f>
        <v>270</v>
      </c>
      <c r="U339" s="7" t="n">
        <f aca="false">IF(OR(F339="",F339=0),1,0)</f>
        <v>0</v>
      </c>
      <c r="V339" s="7" t="n">
        <f aca="false">IF(K339="",1,0)</f>
        <v>0</v>
      </c>
      <c r="W339" s="7" t="n">
        <f aca="false">IF(AND(O339=1,K339&lt;&gt;"",COUNTIFS(Owners!$A$5:$A$32,K339,Owners!$E$5:$E$32,"No")&gt;0),1,0)</f>
        <v>0</v>
      </c>
      <c r="X339" s="7" t="n">
        <f aca="false">IF(AND(O339=1,I339&lt;Inputs!$B$4),1,0)</f>
        <v>0</v>
      </c>
      <c r="Y339" s="7" t="n">
        <f aca="false">IF(AND(O339=1,T339&gt;Inputs!$B$5),1,0)</f>
        <v>0</v>
      </c>
      <c r="Z339" s="7" t="n">
        <f aca="false">IF(AND(O339=1,G339&lt;&gt;R339),1,0)</f>
        <v>0</v>
      </c>
      <c r="AA339" s="7" t="n">
        <f aca="false">IF(AND(O339=1,M339=""),1,0)</f>
        <v>0</v>
      </c>
      <c r="AB339" s="7" t="n">
        <f aca="false">IF(AND(E339="Closed Lost",N339=""),1,0)</f>
        <v>0</v>
      </c>
      <c r="AC339" s="7" t="n">
        <f aca="false">SUM(U339:AB339)</f>
        <v>0</v>
      </c>
      <c r="AD339" s="7" t="n">
        <f aca="false">IF(AC339=0,1,0)</f>
        <v>1</v>
      </c>
      <c r="AE339" s="7" t="n">
        <f aca="false">IF(AND(O339=1,I339&gt;=Inputs!$B$6,I339&lt;=Inputs!$B$7),1,0)</f>
        <v>0</v>
      </c>
      <c r="AF339" s="7" t="n">
        <f aca="false">IF(AND(E339="Closed Won",I339&gt;=Inputs!$B$6,I339&lt;=Inputs!$B$4),1,0)</f>
        <v>0</v>
      </c>
      <c r="AG339" s="7" t="n">
        <f aca="false">IF(AND(O339=0,I339&gt;Inputs!$B$4-Inputs!$B$8,I339&lt;=Inputs!$B$4),1,0)</f>
        <v>1</v>
      </c>
      <c r="AH339" s="7" t="n">
        <f aca="false">I339-H339</f>
        <v>130</v>
      </c>
    </row>
    <row r="340" customFormat="false" ht="15" hidden="false" customHeight="false" outlineLevel="0" collapsed="false">
      <c r="A340" s="16" t="s">
        <v>1364</v>
      </c>
      <c r="B340" s="16" t="s">
        <v>88</v>
      </c>
      <c r="C340" s="16" t="s">
        <v>1365</v>
      </c>
      <c r="D340" s="16" t="s">
        <v>162</v>
      </c>
      <c r="E340" s="16" t="s">
        <v>531</v>
      </c>
      <c r="F340" s="26" t="n">
        <v>11855000</v>
      </c>
      <c r="G340" s="25" t="n">
        <v>0</v>
      </c>
      <c r="H340" s="22" t="n">
        <v>46069</v>
      </c>
      <c r="I340" s="22" t="n">
        <v>46261</v>
      </c>
      <c r="J340" s="22" t="n">
        <v>46261</v>
      </c>
      <c r="K340" s="16" t="s">
        <v>860</v>
      </c>
      <c r="L340" s="16" t="s">
        <v>584</v>
      </c>
      <c r="M340" s="16"/>
      <c r="N340" s="16" t="s">
        <v>713</v>
      </c>
      <c r="O340" s="7" t="n">
        <f aca="false">IF(OR(E340="Closed Won",E340="Closed Lost"),0,1)</f>
        <v>0</v>
      </c>
      <c r="P340" s="17" t="str">
        <f aca="false">INDEX(Accounts!$K$5:$K$336,MATCH(B340,Accounts!$A$5:$A$336,0))</f>
        <v>Agribusiness</v>
      </c>
      <c r="Q340" s="17" t="str">
        <f aca="false">INDEX(Accounts!$D$5:$D$336,MATCH(B340,Accounts!$A$5:$A$336,0))</f>
        <v>Priority</v>
      </c>
      <c r="R340" s="7" t="n">
        <f aca="false">INDEX(Inputs!$B$11:$B$16,MATCH(E340,Inputs!$A$11:$A$16,0))</f>
        <v>0</v>
      </c>
      <c r="S340" s="27" t="n">
        <f aca="false">IF(F340="",0,F340)*R340/100</f>
        <v>0</v>
      </c>
      <c r="T340" s="7" t="n">
        <f aca="false">Inputs!$B$4-J340</f>
        <v>53</v>
      </c>
      <c r="U340" s="7" t="n">
        <f aca="false">IF(OR(F340="",F340=0),1,0)</f>
        <v>0</v>
      </c>
      <c r="V340" s="7" t="n">
        <f aca="false">IF(K340="",1,0)</f>
        <v>0</v>
      </c>
      <c r="W340" s="7" t="n">
        <f aca="false">IF(AND(O340=1,K340&lt;&gt;"",COUNTIFS(Owners!$A$5:$A$32,K340,Owners!$E$5:$E$32,"No")&gt;0),1,0)</f>
        <v>0</v>
      </c>
      <c r="X340" s="7" t="n">
        <f aca="false">IF(AND(O340=1,I340&lt;Inputs!$B$4),1,0)</f>
        <v>0</v>
      </c>
      <c r="Y340" s="7" t="n">
        <f aca="false">IF(AND(O340=1,T340&gt;Inputs!$B$5),1,0)</f>
        <v>0</v>
      </c>
      <c r="Z340" s="7" t="n">
        <f aca="false">IF(AND(O340=1,G340&lt;&gt;R340),1,0)</f>
        <v>0</v>
      </c>
      <c r="AA340" s="7" t="n">
        <f aca="false">IF(AND(O340=1,M340=""),1,0)</f>
        <v>0</v>
      </c>
      <c r="AB340" s="7" t="n">
        <f aca="false">IF(AND(E340="Closed Lost",N340=""),1,0)</f>
        <v>0</v>
      </c>
      <c r="AC340" s="7" t="n">
        <f aca="false">SUM(U340:AB340)</f>
        <v>0</v>
      </c>
      <c r="AD340" s="7" t="n">
        <f aca="false">IF(AC340=0,1,0)</f>
        <v>1</v>
      </c>
      <c r="AE340" s="7" t="n">
        <f aca="false">IF(AND(O340=1,I340&gt;=Inputs!$B$6,I340&lt;=Inputs!$B$7),1,0)</f>
        <v>0</v>
      </c>
      <c r="AF340" s="7" t="n">
        <f aca="false">IF(AND(E340="Closed Won",I340&gt;=Inputs!$B$6,I340&lt;=Inputs!$B$4),1,0)</f>
        <v>0</v>
      </c>
      <c r="AG340" s="7" t="n">
        <f aca="false">IF(AND(O340=0,I340&gt;Inputs!$B$4-Inputs!$B$8,I340&lt;=Inputs!$B$4),1,0)</f>
        <v>1</v>
      </c>
      <c r="AH340" s="7" t="n">
        <f aca="false">I340-H340</f>
        <v>192</v>
      </c>
    </row>
    <row r="341" customFormat="false" ht="15" hidden="false" customHeight="false" outlineLevel="0" collapsed="false">
      <c r="A341" s="16" t="s">
        <v>1366</v>
      </c>
      <c r="B341" s="16" t="s">
        <v>83</v>
      </c>
      <c r="C341" s="16" t="s">
        <v>1367</v>
      </c>
      <c r="D341" s="16" t="s">
        <v>158</v>
      </c>
      <c r="E341" s="16" t="s">
        <v>527</v>
      </c>
      <c r="F341" s="26"/>
      <c r="G341" s="25" t="n">
        <v>25</v>
      </c>
      <c r="H341" s="22" t="n">
        <v>46307</v>
      </c>
      <c r="I341" s="22" t="n">
        <v>46422</v>
      </c>
      <c r="J341" s="22" t="n">
        <v>46303</v>
      </c>
      <c r="K341" s="16" t="s">
        <v>600</v>
      </c>
      <c r="L341" s="16" t="s">
        <v>584</v>
      </c>
      <c r="M341" s="16" t="s">
        <v>613</v>
      </c>
      <c r="N341" s="16"/>
      <c r="O341" s="7" t="n">
        <f aca="false">IF(OR(E341="Closed Won",E341="Closed Lost"),0,1)</f>
        <v>1</v>
      </c>
      <c r="P341" s="17" t="str">
        <f aca="false">INDEX(Accounts!$K$5:$K$336,MATCH(B341,Accounts!$A$5:$A$336,0))</f>
        <v>Agribusiness</v>
      </c>
      <c r="Q341" s="17" t="str">
        <f aca="false">INDEX(Accounts!$D$5:$D$336,MATCH(B341,Accounts!$A$5:$A$336,0))</f>
        <v>Priority</v>
      </c>
      <c r="R341" s="7" t="n">
        <f aca="false">INDEX(Inputs!$B$11:$B$16,MATCH(E341,Inputs!$A$11:$A$16,0))</f>
        <v>25</v>
      </c>
      <c r="S341" s="27" t="n">
        <f aca="false">IF(F341="",0,F341)*R341/100</f>
        <v>0</v>
      </c>
      <c r="T341" s="7" t="n">
        <f aca="false">Inputs!$B$4-J341</f>
        <v>11</v>
      </c>
      <c r="U341" s="7" t="n">
        <f aca="false">IF(OR(F341="",F341=0),1,0)</f>
        <v>1</v>
      </c>
      <c r="V341" s="7" t="n">
        <f aca="false">IF(K341="",1,0)</f>
        <v>0</v>
      </c>
      <c r="W341" s="7" t="n">
        <f aca="false">IF(AND(O341=1,K341&lt;&gt;"",COUNTIFS(Owners!$A$5:$A$32,K341,Owners!$E$5:$E$32,"No")&gt;0),1,0)</f>
        <v>0</v>
      </c>
      <c r="X341" s="7" t="n">
        <f aca="false">IF(AND(O341=1,I341&lt;Inputs!$B$4),1,0)</f>
        <v>0</v>
      </c>
      <c r="Y341" s="7" t="n">
        <f aca="false">IF(AND(O341=1,T341&gt;Inputs!$B$5),1,0)</f>
        <v>0</v>
      </c>
      <c r="Z341" s="7" t="n">
        <f aca="false">IF(AND(O341=1,G341&lt;&gt;R341),1,0)</f>
        <v>0</v>
      </c>
      <c r="AA341" s="7" t="n">
        <f aca="false">IF(AND(O341=1,M341=""),1,0)</f>
        <v>0</v>
      </c>
      <c r="AB341" s="7" t="n">
        <f aca="false">IF(AND(E341="Closed Lost",N341=""),1,0)</f>
        <v>0</v>
      </c>
      <c r="AC341" s="7" t="n">
        <f aca="false">SUM(U341:AB341)</f>
        <v>1</v>
      </c>
      <c r="AD341" s="7" t="n">
        <f aca="false">IF(AC341=0,1,0)</f>
        <v>0</v>
      </c>
      <c r="AE341" s="7" t="n">
        <f aca="false">IF(AND(O341=1,I341&gt;=Inputs!$B$6,I341&lt;=Inputs!$B$7),1,0)</f>
        <v>1</v>
      </c>
      <c r="AF341" s="7" t="n">
        <f aca="false">IF(AND(E341="Closed Won",I341&gt;=Inputs!$B$6,I341&lt;=Inputs!$B$4),1,0)</f>
        <v>0</v>
      </c>
      <c r="AG341" s="7" t="n">
        <f aca="false">IF(AND(O341=0,I341&gt;Inputs!$B$4-Inputs!$B$8,I341&lt;=Inputs!$B$4),1,0)</f>
        <v>0</v>
      </c>
      <c r="AH341" s="7" t="n">
        <f aca="false">I341-H341</f>
        <v>115</v>
      </c>
    </row>
    <row r="342" customFormat="false" ht="15" hidden="false" customHeight="false" outlineLevel="0" collapsed="false">
      <c r="A342" s="16" t="s">
        <v>1368</v>
      </c>
      <c r="B342" s="16" t="s">
        <v>90</v>
      </c>
      <c r="C342" s="16" t="s">
        <v>1369</v>
      </c>
      <c r="D342" s="16" t="s">
        <v>162</v>
      </c>
      <c r="E342" s="16" t="s">
        <v>526</v>
      </c>
      <c r="F342" s="26" t="n">
        <v>11660000</v>
      </c>
      <c r="G342" s="25" t="n">
        <v>10</v>
      </c>
      <c r="H342" s="22" t="n">
        <v>46151</v>
      </c>
      <c r="I342" s="22" t="n">
        <v>46533</v>
      </c>
      <c r="J342" s="22" t="n">
        <v>46310</v>
      </c>
      <c r="K342" s="16" t="s">
        <v>666</v>
      </c>
      <c r="L342" s="16" t="s">
        <v>568</v>
      </c>
      <c r="M342" s="16"/>
      <c r="N342" s="16"/>
      <c r="O342" s="7" t="n">
        <f aca="false">IF(OR(E342="Closed Won",E342="Closed Lost"),0,1)</f>
        <v>1</v>
      </c>
      <c r="P342" s="17" t="str">
        <f aca="false">INDEX(Accounts!$K$5:$K$336,MATCH(B342,Accounts!$A$5:$A$336,0))</f>
        <v>Financial Services</v>
      </c>
      <c r="Q342" s="17" t="str">
        <f aca="false">INDEX(Accounts!$D$5:$D$336,MATCH(B342,Accounts!$A$5:$A$336,0))</f>
        <v>Priority</v>
      </c>
      <c r="R342" s="7" t="n">
        <f aca="false">INDEX(Inputs!$B$11:$B$16,MATCH(E342,Inputs!$A$11:$A$16,0))</f>
        <v>10</v>
      </c>
      <c r="S342" s="27" t="n">
        <f aca="false">IF(F342="",0,F342)*R342/100</f>
        <v>1166000</v>
      </c>
      <c r="T342" s="7" t="n">
        <f aca="false">Inputs!$B$4-J342</f>
        <v>4</v>
      </c>
      <c r="U342" s="7" t="n">
        <f aca="false">IF(OR(F342="",F342=0),1,0)</f>
        <v>0</v>
      </c>
      <c r="V342" s="7" t="n">
        <f aca="false">IF(K342="",1,0)</f>
        <v>0</v>
      </c>
      <c r="W342" s="7" t="n">
        <f aca="false">IF(AND(O342=1,K342&lt;&gt;"",COUNTIFS(Owners!$A$5:$A$32,K342,Owners!$E$5:$E$32,"No")&gt;0),1,0)</f>
        <v>0</v>
      </c>
      <c r="X342" s="7" t="n">
        <f aca="false">IF(AND(O342=1,I342&lt;Inputs!$B$4),1,0)</f>
        <v>0</v>
      </c>
      <c r="Y342" s="7" t="n">
        <f aca="false">IF(AND(O342=1,T342&gt;Inputs!$B$5),1,0)</f>
        <v>0</v>
      </c>
      <c r="Z342" s="7" t="n">
        <f aca="false">IF(AND(O342=1,G342&lt;&gt;R342),1,0)</f>
        <v>0</v>
      </c>
      <c r="AA342" s="7" t="n">
        <f aca="false">IF(AND(O342=1,M342=""),1,0)</f>
        <v>1</v>
      </c>
      <c r="AB342" s="7" t="n">
        <f aca="false">IF(AND(E342="Closed Lost",N342=""),1,0)</f>
        <v>0</v>
      </c>
      <c r="AC342" s="7" t="n">
        <f aca="false">SUM(U342:AB342)</f>
        <v>1</v>
      </c>
      <c r="AD342" s="7" t="n">
        <f aca="false">IF(AC342=0,1,0)</f>
        <v>0</v>
      </c>
      <c r="AE342" s="7" t="n">
        <f aca="false">IF(AND(O342=1,I342&gt;=Inputs!$B$6,I342&lt;=Inputs!$B$7),1,0)</f>
        <v>1</v>
      </c>
      <c r="AF342" s="7" t="n">
        <f aca="false">IF(AND(E342="Closed Won",I342&gt;=Inputs!$B$6,I342&lt;=Inputs!$B$4),1,0)</f>
        <v>0</v>
      </c>
      <c r="AG342" s="7" t="n">
        <f aca="false">IF(AND(O342=0,I342&gt;Inputs!$B$4-Inputs!$B$8,I342&lt;=Inputs!$B$4),1,0)</f>
        <v>0</v>
      </c>
      <c r="AH342" s="7" t="n">
        <f aca="false">I342-H342</f>
        <v>382</v>
      </c>
    </row>
    <row r="343" customFormat="false" ht="15" hidden="false" customHeight="false" outlineLevel="0" collapsed="false">
      <c r="A343" s="16" t="s">
        <v>1370</v>
      </c>
      <c r="B343" s="16" t="s">
        <v>886</v>
      </c>
      <c r="C343" s="16" t="s">
        <v>1371</v>
      </c>
      <c r="D343" s="16" t="s">
        <v>165</v>
      </c>
      <c r="E343" s="16" t="s">
        <v>526</v>
      </c>
      <c r="F343" s="26" t="n">
        <v>24321000</v>
      </c>
      <c r="G343" s="25" t="n">
        <v>10</v>
      </c>
      <c r="H343" s="22" t="n">
        <v>46210</v>
      </c>
      <c r="I343" s="22" t="n">
        <v>46297</v>
      </c>
      <c r="J343" s="22" t="n">
        <v>46289</v>
      </c>
      <c r="K343" s="16" t="s">
        <v>666</v>
      </c>
      <c r="L343" s="16" t="s">
        <v>584</v>
      </c>
      <c r="M343" s="16" t="s">
        <v>619</v>
      </c>
      <c r="N343" s="16"/>
      <c r="O343" s="7" t="n">
        <f aca="false">IF(OR(E343="Closed Won",E343="Closed Lost"),0,1)</f>
        <v>1</v>
      </c>
      <c r="P343" s="17" t="str">
        <f aca="false">INDEX(Accounts!$K$5:$K$336,MATCH(B343,Accounts!$A$5:$A$336,0))</f>
        <v>Agribusiness</v>
      </c>
      <c r="Q343" s="17" t="str">
        <f aca="false">INDEX(Accounts!$D$5:$D$336,MATCH(B343,Accounts!$A$5:$A$336,0))</f>
        <v>Standard</v>
      </c>
      <c r="R343" s="7" t="n">
        <f aca="false">INDEX(Inputs!$B$11:$B$16,MATCH(E343,Inputs!$A$11:$A$16,0))</f>
        <v>10</v>
      </c>
      <c r="S343" s="27" t="n">
        <f aca="false">IF(F343="",0,F343)*R343/100</f>
        <v>2432100</v>
      </c>
      <c r="T343" s="7" t="n">
        <f aca="false">Inputs!$B$4-J343</f>
        <v>25</v>
      </c>
      <c r="U343" s="7" t="n">
        <f aca="false">IF(OR(F343="",F343=0),1,0)</f>
        <v>0</v>
      </c>
      <c r="V343" s="7" t="n">
        <f aca="false">IF(K343="",1,0)</f>
        <v>0</v>
      </c>
      <c r="W343" s="7" t="n">
        <f aca="false">IF(AND(O343=1,K343&lt;&gt;"",COUNTIFS(Owners!$A$5:$A$32,K343,Owners!$E$5:$E$32,"No")&gt;0),1,0)</f>
        <v>0</v>
      </c>
      <c r="X343" s="7" t="n">
        <f aca="false">IF(AND(O343=1,I343&lt;Inputs!$B$4),1,0)</f>
        <v>1</v>
      </c>
      <c r="Y343" s="7" t="n">
        <f aca="false">IF(AND(O343=1,T343&gt;Inputs!$B$5),1,0)</f>
        <v>0</v>
      </c>
      <c r="Z343" s="7" t="n">
        <f aca="false">IF(AND(O343=1,G343&lt;&gt;R343),1,0)</f>
        <v>0</v>
      </c>
      <c r="AA343" s="7" t="n">
        <f aca="false">IF(AND(O343=1,M343=""),1,0)</f>
        <v>0</v>
      </c>
      <c r="AB343" s="7" t="n">
        <f aca="false">IF(AND(E343="Closed Lost",N343=""),1,0)</f>
        <v>0</v>
      </c>
      <c r="AC343" s="7" t="n">
        <f aca="false">SUM(U343:AB343)</f>
        <v>1</v>
      </c>
      <c r="AD343" s="7" t="n">
        <f aca="false">IF(AC343=0,1,0)</f>
        <v>0</v>
      </c>
      <c r="AE343" s="7" t="n">
        <f aca="false">IF(AND(O343=1,I343&gt;=Inputs!$B$6,I343&lt;=Inputs!$B$7),1,0)</f>
        <v>1</v>
      </c>
      <c r="AF343" s="7" t="n">
        <f aca="false">IF(AND(E343="Closed Won",I343&gt;=Inputs!$B$6,I343&lt;=Inputs!$B$4),1,0)</f>
        <v>0</v>
      </c>
      <c r="AG343" s="7" t="n">
        <f aca="false">IF(AND(O343=0,I343&gt;Inputs!$B$4-Inputs!$B$8,I343&lt;=Inputs!$B$4),1,0)</f>
        <v>0</v>
      </c>
      <c r="AH343" s="7" t="n">
        <f aca="false">I343-H343</f>
        <v>87</v>
      </c>
    </row>
    <row r="344" customFormat="false" ht="15" hidden="false" customHeight="false" outlineLevel="0" collapsed="false">
      <c r="A344" s="16" t="s">
        <v>1372</v>
      </c>
      <c r="B344" s="16" t="s">
        <v>90</v>
      </c>
      <c r="C344" s="16" t="s">
        <v>1373</v>
      </c>
      <c r="D344" s="16" t="s">
        <v>167</v>
      </c>
      <c r="E344" s="16" t="s">
        <v>526</v>
      </c>
      <c r="F344" s="26" t="n">
        <v>11878000</v>
      </c>
      <c r="G344" s="25" t="n">
        <v>10</v>
      </c>
      <c r="H344" s="22" t="n">
        <v>46164</v>
      </c>
      <c r="I344" s="22" t="n">
        <v>46312</v>
      </c>
      <c r="J344" s="22" t="n">
        <v>46226</v>
      </c>
      <c r="K344" s="16" t="s">
        <v>604</v>
      </c>
      <c r="L344" s="16" t="s">
        <v>609</v>
      </c>
      <c r="M344" s="16" t="s">
        <v>575</v>
      </c>
      <c r="N344" s="16"/>
      <c r="O344" s="7" t="n">
        <f aca="false">IF(OR(E344="Closed Won",E344="Closed Lost"),0,1)</f>
        <v>1</v>
      </c>
      <c r="P344" s="17" t="str">
        <f aca="false">INDEX(Accounts!$K$5:$K$336,MATCH(B344,Accounts!$A$5:$A$336,0))</f>
        <v>Financial Services</v>
      </c>
      <c r="Q344" s="17" t="str">
        <f aca="false">INDEX(Accounts!$D$5:$D$336,MATCH(B344,Accounts!$A$5:$A$336,0))</f>
        <v>Priority</v>
      </c>
      <c r="R344" s="7" t="n">
        <f aca="false">INDEX(Inputs!$B$11:$B$16,MATCH(E344,Inputs!$A$11:$A$16,0))</f>
        <v>10</v>
      </c>
      <c r="S344" s="27" t="n">
        <f aca="false">IF(F344="",0,F344)*R344/100</f>
        <v>1187800</v>
      </c>
      <c r="T344" s="7" t="n">
        <f aca="false">Inputs!$B$4-J344</f>
        <v>88</v>
      </c>
      <c r="U344" s="7" t="n">
        <f aca="false">IF(OR(F344="",F344=0),1,0)</f>
        <v>0</v>
      </c>
      <c r="V344" s="7" t="n">
        <f aca="false">IF(K344="",1,0)</f>
        <v>0</v>
      </c>
      <c r="W344" s="7" t="n">
        <f aca="false">IF(AND(O344=1,K344&lt;&gt;"",COUNTIFS(Owners!$A$5:$A$32,K344,Owners!$E$5:$E$32,"No")&gt;0),1,0)</f>
        <v>0</v>
      </c>
      <c r="X344" s="7" t="n">
        <f aca="false">IF(AND(O344=1,I344&lt;Inputs!$B$4),1,0)</f>
        <v>1</v>
      </c>
      <c r="Y344" s="7" t="n">
        <f aca="false">IF(AND(O344=1,T344&gt;Inputs!$B$5),1,0)</f>
        <v>1</v>
      </c>
      <c r="Z344" s="7" t="n">
        <f aca="false">IF(AND(O344=1,G344&lt;&gt;R344),1,0)</f>
        <v>0</v>
      </c>
      <c r="AA344" s="7" t="n">
        <f aca="false">IF(AND(O344=1,M344=""),1,0)</f>
        <v>0</v>
      </c>
      <c r="AB344" s="7" t="n">
        <f aca="false">IF(AND(E344="Closed Lost",N344=""),1,0)</f>
        <v>0</v>
      </c>
      <c r="AC344" s="7" t="n">
        <f aca="false">SUM(U344:AB344)</f>
        <v>2</v>
      </c>
      <c r="AD344" s="7" t="n">
        <f aca="false">IF(AC344=0,1,0)</f>
        <v>0</v>
      </c>
      <c r="AE344" s="7" t="n">
        <f aca="false">IF(AND(O344=1,I344&gt;=Inputs!$B$6,I344&lt;=Inputs!$B$7),1,0)</f>
        <v>1</v>
      </c>
      <c r="AF344" s="7" t="n">
        <f aca="false">IF(AND(E344="Closed Won",I344&gt;=Inputs!$B$6,I344&lt;=Inputs!$B$4),1,0)</f>
        <v>0</v>
      </c>
      <c r="AG344" s="7" t="n">
        <f aca="false">IF(AND(O344=0,I344&gt;Inputs!$B$4-Inputs!$B$8,I344&lt;=Inputs!$B$4),1,0)</f>
        <v>0</v>
      </c>
      <c r="AH344" s="7" t="n">
        <f aca="false">I344-H344</f>
        <v>148</v>
      </c>
    </row>
    <row r="345" customFormat="false" ht="15" hidden="false" customHeight="false" outlineLevel="0" collapsed="false">
      <c r="A345" s="16" t="s">
        <v>1374</v>
      </c>
      <c r="B345" s="16" t="s">
        <v>81</v>
      </c>
      <c r="C345" s="16" t="s">
        <v>1375</v>
      </c>
      <c r="D345" s="16" t="s">
        <v>165</v>
      </c>
      <c r="E345" s="16" t="s">
        <v>529</v>
      </c>
      <c r="F345" s="26" t="n">
        <v>35381000</v>
      </c>
      <c r="G345" s="25" t="n">
        <v>75</v>
      </c>
      <c r="H345" s="22" t="n">
        <v>46227</v>
      </c>
      <c r="I345" s="22" t="n">
        <v>46421</v>
      </c>
      <c r="J345" s="22" t="n">
        <v>46226</v>
      </c>
      <c r="K345" s="16" t="s">
        <v>596</v>
      </c>
      <c r="L345" s="16" t="s">
        <v>584</v>
      </c>
      <c r="M345" s="16" t="s">
        <v>569</v>
      </c>
      <c r="N345" s="16"/>
      <c r="O345" s="7" t="n">
        <f aca="false">IF(OR(E345="Closed Won",E345="Closed Lost"),0,1)</f>
        <v>1</v>
      </c>
      <c r="P345" s="17" t="str">
        <f aca="false">INDEX(Accounts!$K$5:$K$336,MATCH(B345,Accounts!$A$5:$A$336,0))</f>
        <v>Financial Services</v>
      </c>
      <c r="Q345" s="17" t="str">
        <f aca="false">INDEX(Accounts!$D$5:$D$336,MATCH(B345,Accounts!$A$5:$A$336,0))</f>
        <v>Priority</v>
      </c>
      <c r="R345" s="7" t="n">
        <f aca="false">INDEX(Inputs!$B$11:$B$16,MATCH(E345,Inputs!$A$11:$A$16,0))</f>
        <v>75</v>
      </c>
      <c r="S345" s="27" t="n">
        <f aca="false">IF(F345="",0,F345)*R345/100</f>
        <v>26535750</v>
      </c>
      <c r="T345" s="7" t="n">
        <f aca="false">Inputs!$B$4-J345</f>
        <v>88</v>
      </c>
      <c r="U345" s="7" t="n">
        <f aca="false">IF(OR(F345="",F345=0),1,0)</f>
        <v>0</v>
      </c>
      <c r="V345" s="7" t="n">
        <f aca="false">IF(K345="",1,0)</f>
        <v>0</v>
      </c>
      <c r="W345" s="7" t="n">
        <f aca="false">IF(AND(O345=1,K345&lt;&gt;"",COUNTIFS(Owners!$A$5:$A$32,K345,Owners!$E$5:$E$32,"No")&gt;0),1,0)</f>
        <v>0</v>
      </c>
      <c r="X345" s="7" t="n">
        <f aca="false">IF(AND(O345=1,I345&lt;Inputs!$B$4),1,0)</f>
        <v>0</v>
      </c>
      <c r="Y345" s="7" t="n">
        <f aca="false">IF(AND(O345=1,T345&gt;Inputs!$B$5),1,0)</f>
        <v>1</v>
      </c>
      <c r="Z345" s="7" t="n">
        <f aca="false">IF(AND(O345=1,G345&lt;&gt;R345),1,0)</f>
        <v>0</v>
      </c>
      <c r="AA345" s="7" t="n">
        <f aca="false">IF(AND(O345=1,M345=""),1,0)</f>
        <v>0</v>
      </c>
      <c r="AB345" s="7" t="n">
        <f aca="false">IF(AND(E345="Closed Lost",N345=""),1,0)</f>
        <v>0</v>
      </c>
      <c r="AC345" s="7" t="n">
        <f aca="false">SUM(U345:AB345)</f>
        <v>1</v>
      </c>
      <c r="AD345" s="7" t="n">
        <f aca="false">IF(AC345=0,1,0)</f>
        <v>0</v>
      </c>
      <c r="AE345" s="7" t="n">
        <f aca="false">IF(AND(O345=1,I345&gt;=Inputs!$B$6,I345&lt;=Inputs!$B$7),1,0)</f>
        <v>1</v>
      </c>
      <c r="AF345" s="7" t="n">
        <f aca="false">IF(AND(E345="Closed Won",I345&gt;=Inputs!$B$6,I345&lt;=Inputs!$B$4),1,0)</f>
        <v>0</v>
      </c>
      <c r="AG345" s="7" t="n">
        <f aca="false">IF(AND(O345=0,I345&gt;Inputs!$B$4-Inputs!$B$8,I345&lt;=Inputs!$B$4),1,0)</f>
        <v>0</v>
      </c>
      <c r="AH345" s="7" t="n">
        <f aca="false">I345-H345</f>
        <v>194</v>
      </c>
    </row>
    <row r="346" customFormat="false" ht="15" hidden="false" customHeight="false" outlineLevel="0" collapsed="false">
      <c r="A346" s="16" t="s">
        <v>1376</v>
      </c>
      <c r="B346" s="16" t="s">
        <v>363</v>
      </c>
      <c r="C346" s="16" t="s">
        <v>1377</v>
      </c>
      <c r="D346" s="16" t="s">
        <v>167</v>
      </c>
      <c r="E346" s="16" t="s">
        <v>526</v>
      </c>
      <c r="F346" s="26" t="n">
        <v>19946000</v>
      </c>
      <c r="G346" s="25" t="n">
        <v>10</v>
      </c>
      <c r="H346" s="22" t="n">
        <v>46153</v>
      </c>
      <c r="I346" s="22" t="n">
        <v>46373</v>
      </c>
      <c r="J346" s="22" t="n">
        <v>46279</v>
      </c>
      <c r="K346" s="16" t="s">
        <v>677</v>
      </c>
      <c r="L346" s="16" t="s">
        <v>592</v>
      </c>
      <c r="M346" s="16"/>
      <c r="N346" s="16"/>
      <c r="O346" s="7" t="n">
        <f aca="false">IF(OR(E346="Closed Won",E346="Closed Lost"),0,1)</f>
        <v>1</v>
      </c>
      <c r="P346" s="17" t="str">
        <f aca="false">INDEX(Accounts!$K$5:$K$336,MATCH(B346,Accounts!$A$5:$A$336,0))</f>
        <v>Technology, Media &amp; Telecom</v>
      </c>
      <c r="Q346" s="17" t="str">
        <f aca="false">INDEX(Accounts!$D$5:$D$336,MATCH(B346,Accounts!$A$5:$A$336,0))</f>
        <v>Key</v>
      </c>
      <c r="R346" s="7" t="n">
        <f aca="false">INDEX(Inputs!$B$11:$B$16,MATCH(E346,Inputs!$A$11:$A$16,0))</f>
        <v>10</v>
      </c>
      <c r="S346" s="27" t="n">
        <f aca="false">IF(F346="",0,F346)*R346/100</f>
        <v>1994600</v>
      </c>
      <c r="T346" s="7" t="n">
        <f aca="false">Inputs!$B$4-J346</f>
        <v>35</v>
      </c>
      <c r="U346" s="7" t="n">
        <f aca="false">IF(OR(F346="",F346=0),1,0)</f>
        <v>0</v>
      </c>
      <c r="V346" s="7" t="n">
        <f aca="false">IF(K346="",1,0)</f>
        <v>0</v>
      </c>
      <c r="W346" s="7" t="n">
        <f aca="false">IF(AND(O346=1,K346&lt;&gt;"",COUNTIFS(Owners!$A$5:$A$32,K346,Owners!$E$5:$E$32,"No")&gt;0),1,0)</f>
        <v>0</v>
      </c>
      <c r="X346" s="7" t="n">
        <f aca="false">IF(AND(O346=1,I346&lt;Inputs!$B$4),1,0)</f>
        <v>0</v>
      </c>
      <c r="Y346" s="7" t="n">
        <f aca="false">IF(AND(O346=1,T346&gt;Inputs!$B$5),1,0)</f>
        <v>0</v>
      </c>
      <c r="Z346" s="7" t="n">
        <f aca="false">IF(AND(O346=1,G346&lt;&gt;R346),1,0)</f>
        <v>0</v>
      </c>
      <c r="AA346" s="7" t="n">
        <f aca="false">IF(AND(O346=1,M346=""),1,0)</f>
        <v>1</v>
      </c>
      <c r="AB346" s="7" t="n">
        <f aca="false">IF(AND(E346="Closed Lost",N346=""),1,0)</f>
        <v>0</v>
      </c>
      <c r="AC346" s="7" t="n">
        <f aca="false">SUM(U346:AB346)</f>
        <v>1</v>
      </c>
      <c r="AD346" s="7" t="n">
        <f aca="false">IF(AC346=0,1,0)</f>
        <v>0</v>
      </c>
      <c r="AE346" s="7" t="n">
        <f aca="false">IF(AND(O346=1,I346&gt;=Inputs!$B$6,I346&lt;=Inputs!$B$7),1,0)</f>
        <v>1</v>
      </c>
      <c r="AF346" s="7" t="n">
        <f aca="false">IF(AND(E346="Closed Won",I346&gt;=Inputs!$B$6,I346&lt;=Inputs!$B$4),1,0)</f>
        <v>0</v>
      </c>
      <c r="AG346" s="7" t="n">
        <f aca="false">IF(AND(O346=0,I346&gt;Inputs!$B$4-Inputs!$B$8,I346&lt;=Inputs!$B$4),1,0)</f>
        <v>0</v>
      </c>
      <c r="AH346" s="7" t="n">
        <f aca="false">I346-H346</f>
        <v>220</v>
      </c>
    </row>
    <row r="347" customFormat="false" ht="15" hidden="false" customHeight="false" outlineLevel="0" collapsed="false">
      <c r="A347" s="16" t="s">
        <v>1378</v>
      </c>
      <c r="B347" s="16" t="s">
        <v>973</v>
      </c>
      <c r="C347" s="16" t="s">
        <v>1379</v>
      </c>
      <c r="D347" s="16" t="s">
        <v>162</v>
      </c>
      <c r="E347" s="16" t="s">
        <v>531</v>
      </c>
      <c r="F347" s="26" t="n">
        <v>27127000</v>
      </c>
      <c r="G347" s="25" t="n">
        <v>0</v>
      </c>
      <c r="H347" s="22" t="n">
        <v>46203</v>
      </c>
      <c r="I347" s="22" t="n">
        <v>46269</v>
      </c>
      <c r="J347" s="22" t="n">
        <v>46269</v>
      </c>
      <c r="K347" s="16" t="s">
        <v>704</v>
      </c>
      <c r="L347" s="16" t="s">
        <v>592</v>
      </c>
      <c r="M347" s="16"/>
      <c r="N347" s="16" t="s">
        <v>722</v>
      </c>
      <c r="O347" s="7" t="n">
        <f aca="false">IF(OR(E347="Closed Won",E347="Closed Lost"),0,1)</f>
        <v>0</v>
      </c>
      <c r="P347" s="17" t="str">
        <f aca="false">INDEX(Accounts!$K$5:$K$336,MATCH(B347,Accounts!$A$5:$A$336,0))</f>
        <v>Consumer &amp; Retail</v>
      </c>
      <c r="Q347" s="17" t="str">
        <f aca="false">INDEX(Accounts!$D$5:$D$336,MATCH(B347,Accounts!$A$5:$A$336,0))</f>
        <v>Standard</v>
      </c>
      <c r="R347" s="7" t="n">
        <f aca="false">INDEX(Inputs!$B$11:$B$16,MATCH(E347,Inputs!$A$11:$A$16,0))</f>
        <v>0</v>
      </c>
      <c r="S347" s="27" t="n">
        <f aca="false">IF(F347="",0,F347)*R347/100</f>
        <v>0</v>
      </c>
      <c r="T347" s="7" t="n">
        <f aca="false">Inputs!$B$4-J347</f>
        <v>45</v>
      </c>
      <c r="U347" s="7" t="n">
        <f aca="false">IF(OR(F347="",F347=0),1,0)</f>
        <v>0</v>
      </c>
      <c r="V347" s="7" t="n">
        <f aca="false">IF(K347="",1,0)</f>
        <v>0</v>
      </c>
      <c r="W347" s="7" t="n">
        <f aca="false">IF(AND(O347=1,K347&lt;&gt;"",COUNTIFS(Owners!$A$5:$A$32,K347,Owners!$E$5:$E$32,"No")&gt;0),1,0)</f>
        <v>0</v>
      </c>
      <c r="X347" s="7" t="n">
        <f aca="false">IF(AND(O347=1,I347&lt;Inputs!$B$4),1,0)</f>
        <v>0</v>
      </c>
      <c r="Y347" s="7" t="n">
        <f aca="false">IF(AND(O347=1,T347&gt;Inputs!$B$5),1,0)</f>
        <v>0</v>
      </c>
      <c r="Z347" s="7" t="n">
        <f aca="false">IF(AND(O347=1,G347&lt;&gt;R347),1,0)</f>
        <v>0</v>
      </c>
      <c r="AA347" s="7" t="n">
        <f aca="false">IF(AND(O347=1,M347=""),1,0)</f>
        <v>0</v>
      </c>
      <c r="AB347" s="7" t="n">
        <f aca="false">IF(AND(E347="Closed Lost",N347=""),1,0)</f>
        <v>0</v>
      </c>
      <c r="AC347" s="7" t="n">
        <f aca="false">SUM(U347:AB347)</f>
        <v>0</v>
      </c>
      <c r="AD347" s="7" t="n">
        <f aca="false">IF(AC347=0,1,0)</f>
        <v>1</v>
      </c>
      <c r="AE347" s="7" t="n">
        <f aca="false">IF(AND(O347=1,I347&gt;=Inputs!$B$6,I347&lt;=Inputs!$B$7),1,0)</f>
        <v>0</v>
      </c>
      <c r="AF347" s="7" t="n">
        <f aca="false">IF(AND(E347="Closed Won",I347&gt;=Inputs!$B$6,I347&lt;=Inputs!$B$4),1,0)</f>
        <v>0</v>
      </c>
      <c r="AG347" s="7" t="n">
        <f aca="false">IF(AND(O347=0,I347&gt;Inputs!$B$4-Inputs!$B$8,I347&lt;=Inputs!$B$4),1,0)</f>
        <v>1</v>
      </c>
      <c r="AH347" s="7" t="n">
        <f aca="false">I347-H347</f>
        <v>66</v>
      </c>
    </row>
    <row r="348" customFormat="false" ht="15" hidden="false" customHeight="false" outlineLevel="0" collapsed="false">
      <c r="A348" s="16" t="s">
        <v>1380</v>
      </c>
      <c r="B348" s="16" t="s">
        <v>87</v>
      </c>
      <c r="C348" s="16" t="s">
        <v>1381</v>
      </c>
      <c r="D348" s="16" t="s">
        <v>158</v>
      </c>
      <c r="E348" s="16" t="s">
        <v>530</v>
      </c>
      <c r="F348" s="26" t="n">
        <v>79816000</v>
      </c>
      <c r="G348" s="25" t="n">
        <v>100</v>
      </c>
      <c r="H348" s="22" t="n">
        <v>46183</v>
      </c>
      <c r="I348" s="22" t="n">
        <v>46270</v>
      </c>
      <c r="J348" s="22" t="n">
        <v>46270</v>
      </c>
      <c r="K348" s="16" t="s">
        <v>651</v>
      </c>
      <c r="L348" s="16" t="s">
        <v>568</v>
      </c>
      <c r="M348" s="16"/>
      <c r="N348" s="16"/>
      <c r="O348" s="7" t="n">
        <f aca="false">IF(OR(E348="Closed Won",E348="Closed Lost"),0,1)</f>
        <v>0</v>
      </c>
      <c r="P348" s="17" t="str">
        <f aca="false">INDEX(Accounts!$K$5:$K$336,MATCH(B348,Accounts!$A$5:$A$336,0))</f>
        <v>Unassigned</v>
      </c>
      <c r="Q348" s="17" t="str">
        <f aca="false">INDEX(Accounts!$D$5:$D$336,MATCH(B348,Accounts!$A$5:$A$336,0))</f>
        <v>Priority</v>
      </c>
      <c r="R348" s="7" t="n">
        <f aca="false">INDEX(Inputs!$B$11:$B$16,MATCH(E348,Inputs!$A$11:$A$16,0))</f>
        <v>100</v>
      </c>
      <c r="S348" s="27" t="n">
        <f aca="false">IF(F348="",0,F348)*R348/100</f>
        <v>79816000</v>
      </c>
      <c r="T348" s="7" t="n">
        <f aca="false">Inputs!$B$4-J348</f>
        <v>44</v>
      </c>
      <c r="U348" s="7" t="n">
        <f aca="false">IF(OR(F348="",F348=0),1,0)</f>
        <v>0</v>
      </c>
      <c r="V348" s="7" t="n">
        <f aca="false">IF(K348="",1,0)</f>
        <v>0</v>
      </c>
      <c r="W348" s="7" t="n">
        <f aca="false">IF(AND(O348=1,K348&lt;&gt;"",COUNTIFS(Owners!$A$5:$A$32,K348,Owners!$E$5:$E$32,"No")&gt;0),1,0)</f>
        <v>0</v>
      </c>
      <c r="X348" s="7" t="n">
        <f aca="false">IF(AND(O348=1,I348&lt;Inputs!$B$4),1,0)</f>
        <v>0</v>
      </c>
      <c r="Y348" s="7" t="n">
        <f aca="false">IF(AND(O348=1,T348&gt;Inputs!$B$5),1,0)</f>
        <v>0</v>
      </c>
      <c r="Z348" s="7" t="n">
        <f aca="false">IF(AND(O348=1,G348&lt;&gt;R348),1,0)</f>
        <v>0</v>
      </c>
      <c r="AA348" s="7" t="n">
        <f aca="false">IF(AND(O348=1,M348=""),1,0)</f>
        <v>0</v>
      </c>
      <c r="AB348" s="7" t="n">
        <f aca="false">IF(AND(E348="Closed Lost",N348=""),1,0)</f>
        <v>0</v>
      </c>
      <c r="AC348" s="7" t="n">
        <f aca="false">SUM(U348:AB348)</f>
        <v>0</v>
      </c>
      <c r="AD348" s="7" t="n">
        <f aca="false">IF(AC348=0,1,0)</f>
        <v>1</v>
      </c>
      <c r="AE348" s="7" t="n">
        <f aca="false">IF(AND(O348=1,I348&gt;=Inputs!$B$6,I348&lt;=Inputs!$B$7),1,0)</f>
        <v>0</v>
      </c>
      <c r="AF348" s="7" t="n">
        <f aca="false">IF(AND(E348="Closed Won",I348&gt;=Inputs!$B$6,I348&lt;=Inputs!$B$4),1,0)</f>
        <v>1</v>
      </c>
      <c r="AG348" s="7" t="n">
        <f aca="false">IF(AND(O348=0,I348&gt;Inputs!$B$4-Inputs!$B$8,I348&lt;=Inputs!$B$4),1,0)</f>
        <v>1</v>
      </c>
      <c r="AH348" s="7" t="n">
        <f aca="false">I348-H348</f>
        <v>87</v>
      </c>
    </row>
    <row r="349" customFormat="false" ht="15" hidden="false" customHeight="false" outlineLevel="0" collapsed="false">
      <c r="A349" s="16" t="s">
        <v>1382</v>
      </c>
      <c r="B349" s="16" t="s">
        <v>1075</v>
      </c>
      <c r="C349" s="16" t="s">
        <v>1383</v>
      </c>
      <c r="D349" s="16" t="s">
        <v>167</v>
      </c>
      <c r="E349" s="16" t="s">
        <v>529</v>
      </c>
      <c r="F349" s="26" t="n">
        <v>1137000</v>
      </c>
      <c r="G349" s="25" t="n">
        <v>75</v>
      </c>
      <c r="H349" s="22" t="n">
        <v>46217</v>
      </c>
      <c r="I349" s="22" t="n">
        <v>46336</v>
      </c>
      <c r="J349" s="22" t="n">
        <v>46300</v>
      </c>
      <c r="K349" s="16" t="s">
        <v>573</v>
      </c>
      <c r="L349" s="16" t="s">
        <v>584</v>
      </c>
      <c r="M349" s="16" t="s">
        <v>575</v>
      </c>
      <c r="N349" s="16"/>
      <c r="O349" s="7" t="n">
        <f aca="false">IF(OR(E349="Closed Won",E349="Closed Lost"),0,1)</f>
        <v>1</v>
      </c>
      <c r="P349" s="17" t="str">
        <f aca="false">INDEX(Accounts!$K$5:$K$336,MATCH(B349,Accounts!$A$5:$A$336,0))</f>
        <v>Agribusiness</v>
      </c>
      <c r="Q349" s="17" t="str">
        <f aca="false">INDEX(Accounts!$D$5:$D$336,MATCH(B349,Accounts!$A$5:$A$336,0))</f>
        <v>Standard</v>
      </c>
      <c r="R349" s="7" t="n">
        <f aca="false">INDEX(Inputs!$B$11:$B$16,MATCH(E349,Inputs!$A$11:$A$16,0))</f>
        <v>75</v>
      </c>
      <c r="S349" s="27" t="n">
        <f aca="false">IF(F349="",0,F349)*R349/100</f>
        <v>852750</v>
      </c>
      <c r="T349" s="7" t="n">
        <f aca="false">Inputs!$B$4-J349</f>
        <v>14</v>
      </c>
      <c r="U349" s="7" t="n">
        <f aca="false">IF(OR(F349="",F349=0),1,0)</f>
        <v>0</v>
      </c>
      <c r="V349" s="7" t="n">
        <f aca="false">IF(K349="",1,0)</f>
        <v>0</v>
      </c>
      <c r="W349" s="7" t="n">
        <f aca="false">IF(AND(O349=1,K349&lt;&gt;"",COUNTIFS(Owners!$A$5:$A$32,K349,Owners!$E$5:$E$32,"No")&gt;0),1,0)</f>
        <v>0</v>
      </c>
      <c r="X349" s="7" t="n">
        <f aca="false">IF(AND(O349=1,I349&lt;Inputs!$B$4),1,0)</f>
        <v>0</v>
      </c>
      <c r="Y349" s="7" t="n">
        <f aca="false">IF(AND(O349=1,T349&gt;Inputs!$B$5),1,0)</f>
        <v>0</v>
      </c>
      <c r="Z349" s="7" t="n">
        <f aca="false">IF(AND(O349=1,G349&lt;&gt;R349),1,0)</f>
        <v>0</v>
      </c>
      <c r="AA349" s="7" t="n">
        <f aca="false">IF(AND(O349=1,M349=""),1,0)</f>
        <v>0</v>
      </c>
      <c r="AB349" s="7" t="n">
        <f aca="false">IF(AND(E349="Closed Lost",N349=""),1,0)</f>
        <v>0</v>
      </c>
      <c r="AC349" s="7" t="n">
        <f aca="false">SUM(U349:AB349)</f>
        <v>0</v>
      </c>
      <c r="AD349" s="7" t="n">
        <f aca="false">IF(AC349=0,1,0)</f>
        <v>1</v>
      </c>
      <c r="AE349" s="7" t="n">
        <f aca="false">IF(AND(O349=1,I349&gt;=Inputs!$B$6,I349&lt;=Inputs!$B$7),1,0)</f>
        <v>1</v>
      </c>
      <c r="AF349" s="7" t="n">
        <f aca="false">IF(AND(E349="Closed Won",I349&gt;=Inputs!$B$6,I349&lt;=Inputs!$B$4),1,0)</f>
        <v>0</v>
      </c>
      <c r="AG349" s="7" t="n">
        <f aca="false">IF(AND(O349=0,I349&gt;Inputs!$B$4-Inputs!$B$8,I349&lt;=Inputs!$B$4),1,0)</f>
        <v>0</v>
      </c>
      <c r="AH349" s="7" t="n">
        <f aca="false">I349-H349</f>
        <v>119</v>
      </c>
    </row>
    <row r="350" customFormat="false" ht="15" hidden="false" customHeight="false" outlineLevel="0" collapsed="false">
      <c r="A350" s="16" t="s">
        <v>1384</v>
      </c>
      <c r="B350" s="16" t="s">
        <v>224</v>
      </c>
      <c r="C350" s="16" t="s">
        <v>1385</v>
      </c>
      <c r="D350" s="16" t="s">
        <v>177</v>
      </c>
      <c r="E350" s="16" t="s">
        <v>531</v>
      </c>
      <c r="F350" s="26" t="n">
        <v>4667000</v>
      </c>
      <c r="G350" s="25" t="n">
        <v>0</v>
      </c>
      <c r="H350" s="22" t="n">
        <v>46095</v>
      </c>
      <c r="I350" s="22" t="n">
        <v>46257</v>
      </c>
      <c r="J350" s="22" t="n">
        <v>46257</v>
      </c>
      <c r="K350" s="16" t="s">
        <v>583</v>
      </c>
      <c r="L350" s="16" t="s">
        <v>500</v>
      </c>
      <c r="M350" s="16"/>
      <c r="N350" s="16" t="s">
        <v>610</v>
      </c>
      <c r="O350" s="7" t="n">
        <f aca="false">IF(OR(E350="Closed Won",E350="Closed Lost"),0,1)</f>
        <v>0</v>
      </c>
      <c r="P350" s="17" t="str">
        <f aca="false">INDEX(Accounts!$K$5:$K$336,MATCH(B350,Accounts!$A$5:$A$336,0))</f>
        <v>Energy &amp; Resources</v>
      </c>
      <c r="Q350" s="17" t="str">
        <f aca="false">INDEX(Accounts!$D$5:$D$336,MATCH(B350,Accounts!$A$5:$A$336,0))</f>
        <v>Standard</v>
      </c>
      <c r="R350" s="7" t="n">
        <f aca="false">INDEX(Inputs!$B$11:$B$16,MATCH(E350,Inputs!$A$11:$A$16,0))</f>
        <v>0</v>
      </c>
      <c r="S350" s="27" t="n">
        <f aca="false">IF(F350="",0,F350)*R350/100</f>
        <v>0</v>
      </c>
      <c r="T350" s="7" t="n">
        <f aca="false">Inputs!$B$4-J350</f>
        <v>57</v>
      </c>
      <c r="U350" s="7" t="n">
        <f aca="false">IF(OR(F350="",F350=0),1,0)</f>
        <v>0</v>
      </c>
      <c r="V350" s="7" t="n">
        <f aca="false">IF(K350="",1,0)</f>
        <v>0</v>
      </c>
      <c r="W350" s="7" t="n">
        <f aca="false">IF(AND(O350=1,K350&lt;&gt;"",COUNTIFS(Owners!$A$5:$A$32,K350,Owners!$E$5:$E$32,"No")&gt;0),1,0)</f>
        <v>0</v>
      </c>
      <c r="X350" s="7" t="n">
        <f aca="false">IF(AND(O350=1,I350&lt;Inputs!$B$4),1,0)</f>
        <v>0</v>
      </c>
      <c r="Y350" s="7" t="n">
        <f aca="false">IF(AND(O350=1,T350&gt;Inputs!$B$5),1,0)</f>
        <v>0</v>
      </c>
      <c r="Z350" s="7" t="n">
        <f aca="false">IF(AND(O350=1,G350&lt;&gt;R350),1,0)</f>
        <v>0</v>
      </c>
      <c r="AA350" s="7" t="n">
        <f aca="false">IF(AND(O350=1,M350=""),1,0)</f>
        <v>0</v>
      </c>
      <c r="AB350" s="7" t="n">
        <f aca="false">IF(AND(E350="Closed Lost",N350=""),1,0)</f>
        <v>0</v>
      </c>
      <c r="AC350" s="7" t="n">
        <f aca="false">SUM(U350:AB350)</f>
        <v>0</v>
      </c>
      <c r="AD350" s="7" t="n">
        <f aca="false">IF(AC350=0,1,0)</f>
        <v>1</v>
      </c>
      <c r="AE350" s="7" t="n">
        <f aca="false">IF(AND(O350=1,I350&gt;=Inputs!$B$6,I350&lt;=Inputs!$B$7),1,0)</f>
        <v>0</v>
      </c>
      <c r="AF350" s="7" t="n">
        <f aca="false">IF(AND(E350="Closed Won",I350&gt;=Inputs!$B$6,I350&lt;=Inputs!$B$4),1,0)</f>
        <v>0</v>
      </c>
      <c r="AG350" s="7" t="n">
        <f aca="false">IF(AND(O350=0,I350&gt;Inputs!$B$4-Inputs!$B$8,I350&lt;=Inputs!$B$4),1,0)</f>
        <v>1</v>
      </c>
      <c r="AH350" s="7" t="n">
        <f aca="false">I350-H350</f>
        <v>162</v>
      </c>
    </row>
    <row r="351" customFormat="false" ht="15" hidden="false" customHeight="false" outlineLevel="0" collapsed="false">
      <c r="A351" s="16" t="s">
        <v>1386</v>
      </c>
      <c r="B351" s="16" t="s">
        <v>1387</v>
      </c>
      <c r="C351" s="16" t="s">
        <v>1388</v>
      </c>
      <c r="D351" s="16" t="s">
        <v>158</v>
      </c>
      <c r="E351" s="16" t="s">
        <v>530</v>
      </c>
      <c r="F351" s="26" t="n">
        <v>82752000</v>
      </c>
      <c r="G351" s="25" t="n">
        <v>100</v>
      </c>
      <c r="H351" s="22" t="n">
        <v>46040</v>
      </c>
      <c r="I351" s="22" t="n">
        <v>46219</v>
      </c>
      <c r="J351" s="22" t="n">
        <v>46219</v>
      </c>
      <c r="K351" s="16" t="s">
        <v>591</v>
      </c>
      <c r="L351" s="16" t="s">
        <v>592</v>
      </c>
      <c r="M351" s="16"/>
      <c r="N351" s="16"/>
      <c r="O351" s="7" t="n">
        <f aca="false">IF(OR(E351="Closed Won",E351="Closed Lost"),0,1)</f>
        <v>0</v>
      </c>
      <c r="P351" s="17" t="str">
        <f aca="false">INDEX(Accounts!$K$5:$K$336,MATCH(B351,Accounts!$A$5:$A$336,0))</f>
        <v>Agribusiness</v>
      </c>
      <c r="Q351" s="17" t="str">
        <f aca="false">INDEX(Accounts!$D$5:$D$336,MATCH(B351,Accounts!$A$5:$A$336,0))</f>
        <v>Standard</v>
      </c>
      <c r="R351" s="7" t="n">
        <f aca="false">INDEX(Inputs!$B$11:$B$16,MATCH(E351,Inputs!$A$11:$A$16,0))</f>
        <v>100</v>
      </c>
      <c r="S351" s="27" t="n">
        <f aca="false">IF(F351="",0,F351)*R351/100</f>
        <v>82752000</v>
      </c>
      <c r="T351" s="7" t="n">
        <f aca="false">Inputs!$B$4-J351</f>
        <v>95</v>
      </c>
      <c r="U351" s="7" t="n">
        <f aca="false">IF(OR(F351="",F351=0),1,0)</f>
        <v>0</v>
      </c>
      <c r="V351" s="7" t="n">
        <f aca="false">IF(K351="",1,0)</f>
        <v>0</v>
      </c>
      <c r="W351" s="7" t="n">
        <f aca="false">IF(AND(O351=1,K351&lt;&gt;"",COUNTIFS(Owners!$A$5:$A$32,K351,Owners!$E$5:$E$32,"No")&gt;0),1,0)</f>
        <v>0</v>
      </c>
      <c r="X351" s="7" t="n">
        <f aca="false">IF(AND(O351=1,I351&lt;Inputs!$B$4),1,0)</f>
        <v>0</v>
      </c>
      <c r="Y351" s="7" t="n">
        <f aca="false">IF(AND(O351=1,T351&gt;Inputs!$B$5),1,0)</f>
        <v>0</v>
      </c>
      <c r="Z351" s="7" t="n">
        <f aca="false">IF(AND(O351=1,G351&lt;&gt;R351),1,0)</f>
        <v>0</v>
      </c>
      <c r="AA351" s="7" t="n">
        <f aca="false">IF(AND(O351=1,M351=""),1,0)</f>
        <v>0</v>
      </c>
      <c r="AB351" s="7" t="n">
        <f aca="false">IF(AND(E351="Closed Lost",N351=""),1,0)</f>
        <v>0</v>
      </c>
      <c r="AC351" s="7" t="n">
        <f aca="false">SUM(U351:AB351)</f>
        <v>0</v>
      </c>
      <c r="AD351" s="7" t="n">
        <f aca="false">IF(AC351=0,1,0)</f>
        <v>1</v>
      </c>
      <c r="AE351" s="7" t="n">
        <f aca="false">IF(AND(O351=1,I351&gt;=Inputs!$B$6,I351&lt;=Inputs!$B$7),1,0)</f>
        <v>0</v>
      </c>
      <c r="AF351" s="7" t="n">
        <f aca="false">IF(AND(E351="Closed Won",I351&gt;=Inputs!$B$6,I351&lt;=Inputs!$B$4),1,0)</f>
        <v>1</v>
      </c>
      <c r="AG351" s="7" t="n">
        <f aca="false">IF(AND(O351=0,I351&gt;Inputs!$B$4-Inputs!$B$8,I351&lt;=Inputs!$B$4),1,0)</f>
        <v>1</v>
      </c>
      <c r="AH351" s="7" t="n">
        <f aca="false">I351-H351</f>
        <v>179</v>
      </c>
    </row>
    <row r="352" customFormat="false" ht="15" hidden="false" customHeight="false" outlineLevel="0" collapsed="false">
      <c r="A352" s="16" t="s">
        <v>1389</v>
      </c>
      <c r="B352" s="16" t="s">
        <v>68</v>
      </c>
      <c r="C352" s="16" t="s">
        <v>1390</v>
      </c>
      <c r="D352" s="16" t="s">
        <v>162</v>
      </c>
      <c r="E352" s="16" t="s">
        <v>528</v>
      </c>
      <c r="F352" s="26" t="n">
        <v>3046000</v>
      </c>
      <c r="G352" s="25" t="n">
        <v>50</v>
      </c>
      <c r="H352" s="22" t="n">
        <v>46300</v>
      </c>
      <c r="I352" s="22" t="n">
        <v>46475</v>
      </c>
      <c r="J352" s="22" t="n">
        <v>46270</v>
      </c>
      <c r="K352" s="16" t="s">
        <v>704</v>
      </c>
      <c r="L352" s="16" t="s">
        <v>584</v>
      </c>
      <c r="M352" s="16" t="s">
        <v>613</v>
      </c>
      <c r="N352" s="16"/>
      <c r="O352" s="7" t="n">
        <f aca="false">IF(OR(E352="Closed Won",E352="Closed Lost"),0,1)</f>
        <v>1</v>
      </c>
      <c r="P352" s="17" t="str">
        <f aca="false">INDEX(Accounts!$K$5:$K$336,MATCH(B352,Accounts!$A$5:$A$336,0))</f>
        <v>Financial Services</v>
      </c>
      <c r="Q352" s="17" t="str">
        <f aca="false">INDEX(Accounts!$D$5:$D$336,MATCH(B352,Accounts!$A$5:$A$336,0))</f>
        <v>Priority</v>
      </c>
      <c r="R352" s="7" t="n">
        <f aca="false">INDEX(Inputs!$B$11:$B$16,MATCH(E352,Inputs!$A$11:$A$16,0))</f>
        <v>50</v>
      </c>
      <c r="S352" s="27" t="n">
        <f aca="false">IF(F352="",0,F352)*R352/100</f>
        <v>1523000</v>
      </c>
      <c r="T352" s="7" t="n">
        <f aca="false">Inputs!$B$4-J352</f>
        <v>44</v>
      </c>
      <c r="U352" s="7" t="n">
        <f aca="false">IF(OR(F352="",F352=0),1,0)</f>
        <v>0</v>
      </c>
      <c r="V352" s="7" t="n">
        <f aca="false">IF(K352="",1,0)</f>
        <v>0</v>
      </c>
      <c r="W352" s="7" t="n">
        <f aca="false">IF(AND(O352=1,K352&lt;&gt;"",COUNTIFS(Owners!$A$5:$A$32,K352,Owners!$E$5:$E$32,"No")&gt;0),1,0)</f>
        <v>0</v>
      </c>
      <c r="X352" s="7" t="n">
        <f aca="false">IF(AND(O352=1,I352&lt;Inputs!$B$4),1,0)</f>
        <v>0</v>
      </c>
      <c r="Y352" s="7" t="n">
        <f aca="false">IF(AND(O352=1,T352&gt;Inputs!$B$5),1,0)</f>
        <v>0</v>
      </c>
      <c r="Z352" s="7" t="n">
        <f aca="false">IF(AND(O352=1,G352&lt;&gt;R352),1,0)</f>
        <v>0</v>
      </c>
      <c r="AA352" s="7" t="n">
        <f aca="false">IF(AND(O352=1,M352=""),1,0)</f>
        <v>0</v>
      </c>
      <c r="AB352" s="7" t="n">
        <f aca="false">IF(AND(E352="Closed Lost",N352=""),1,0)</f>
        <v>0</v>
      </c>
      <c r="AC352" s="7" t="n">
        <f aca="false">SUM(U352:AB352)</f>
        <v>0</v>
      </c>
      <c r="AD352" s="7" t="n">
        <f aca="false">IF(AC352=0,1,0)</f>
        <v>1</v>
      </c>
      <c r="AE352" s="7" t="n">
        <f aca="false">IF(AND(O352=1,I352&gt;=Inputs!$B$6,I352&lt;=Inputs!$B$7),1,0)</f>
        <v>1</v>
      </c>
      <c r="AF352" s="7" t="n">
        <f aca="false">IF(AND(E352="Closed Won",I352&gt;=Inputs!$B$6,I352&lt;=Inputs!$B$4),1,0)</f>
        <v>0</v>
      </c>
      <c r="AG352" s="7" t="n">
        <f aca="false">IF(AND(O352=0,I352&gt;Inputs!$B$4-Inputs!$B$8,I352&lt;=Inputs!$B$4),1,0)</f>
        <v>0</v>
      </c>
      <c r="AH352" s="7" t="n">
        <f aca="false">I352-H352</f>
        <v>175</v>
      </c>
    </row>
    <row r="353" customFormat="false" ht="15" hidden="false" customHeight="false" outlineLevel="0" collapsed="false">
      <c r="A353" s="16" t="s">
        <v>1391</v>
      </c>
      <c r="B353" s="16" t="s">
        <v>1196</v>
      </c>
      <c r="C353" s="16" t="s">
        <v>1392</v>
      </c>
      <c r="D353" s="16" t="s">
        <v>165</v>
      </c>
      <c r="E353" s="16" t="s">
        <v>531</v>
      </c>
      <c r="F353" s="26" t="n">
        <v>19749000</v>
      </c>
      <c r="G353" s="25" t="n">
        <v>0</v>
      </c>
      <c r="H353" s="22" t="n">
        <v>45895</v>
      </c>
      <c r="I353" s="22" t="n">
        <v>46063</v>
      </c>
      <c r="J353" s="22" t="n">
        <v>46063</v>
      </c>
      <c r="K353" s="16" t="s">
        <v>685</v>
      </c>
      <c r="L353" s="16" t="s">
        <v>584</v>
      </c>
      <c r="M353" s="16"/>
      <c r="N353" s="16" t="s">
        <v>697</v>
      </c>
      <c r="O353" s="7" t="n">
        <f aca="false">IF(OR(E353="Closed Won",E353="Closed Lost"),0,1)</f>
        <v>0</v>
      </c>
      <c r="P353" s="17" t="str">
        <f aca="false">INDEX(Accounts!$K$5:$K$336,MATCH(B353,Accounts!$A$5:$A$336,0))</f>
        <v>Consumer &amp; Retail</v>
      </c>
      <c r="Q353" s="17" t="str">
        <f aca="false">INDEX(Accounts!$D$5:$D$336,MATCH(B353,Accounts!$A$5:$A$336,0))</f>
        <v>Key</v>
      </c>
      <c r="R353" s="7" t="n">
        <f aca="false">INDEX(Inputs!$B$11:$B$16,MATCH(E353,Inputs!$A$11:$A$16,0))</f>
        <v>0</v>
      </c>
      <c r="S353" s="27" t="n">
        <f aca="false">IF(F353="",0,F353)*R353/100</f>
        <v>0</v>
      </c>
      <c r="T353" s="7" t="n">
        <f aca="false">Inputs!$B$4-J353</f>
        <v>251</v>
      </c>
      <c r="U353" s="7" t="n">
        <f aca="false">IF(OR(F353="",F353=0),1,0)</f>
        <v>0</v>
      </c>
      <c r="V353" s="7" t="n">
        <f aca="false">IF(K353="",1,0)</f>
        <v>0</v>
      </c>
      <c r="W353" s="7" t="n">
        <f aca="false">IF(AND(O353=1,K353&lt;&gt;"",COUNTIFS(Owners!$A$5:$A$32,K353,Owners!$E$5:$E$32,"No")&gt;0),1,0)</f>
        <v>0</v>
      </c>
      <c r="X353" s="7" t="n">
        <f aca="false">IF(AND(O353=1,I353&lt;Inputs!$B$4),1,0)</f>
        <v>0</v>
      </c>
      <c r="Y353" s="7" t="n">
        <f aca="false">IF(AND(O353=1,T353&gt;Inputs!$B$5),1,0)</f>
        <v>0</v>
      </c>
      <c r="Z353" s="7" t="n">
        <f aca="false">IF(AND(O353=1,G353&lt;&gt;R353),1,0)</f>
        <v>0</v>
      </c>
      <c r="AA353" s="7" t="n">
        <f aca="false">IF(AND(O353=1,M353=""),1,0)</f>
        <v>0</v>
      </c>
      <c r="AB353" s="7" t="n">
        <f aca="false">IF(AND(E353="Closed Lost",N353=""),1,0)</f>
        <v>0</v>
      </c>
      <c r="AC353" s="7" t="n">
        <f aca="false">SUM(U353:AB353)</f>
        <v>0</v>
      </c>
      <c r="AD353" s="7" t="n">
        <f aca="false">IF(AC353=0,1,0)</f>
        <v>1</v>
      </c>
      <c r="AE353" s="7" t="n">
        <f aca="false">IF(AND(O353=1,I353&gt;=Inputs!$B$6,I353&lt;=Inputs!$B$7),1,0)</f>
        <v>0</v>
      </c>
      <c r="AF353" s="7" t="n">
        <f aca="false">IF(AND(E353="Closed Won",I353&gt;=Inputs!$B$6,I353&lt;=Inputs!$B$4),1,0)</f>
        <v>0</v>
      </c>
      <c r="AG353" s="7" t="n">
        <f aca="false">IF(AND(O353=0,I353&gt;Inputs!$B$4-Inputs!$B$8,I353&lt;=Inputs!$B$4),1,0)</f>
        <v>1</v>
      </c>
      <c r="AH353" s="7" t="n">
        <f aca="false">I353-H353</f>
        <v>168</v>
      </c>
    </row>
    <row r="354" customFormat="false" ht="15" hidden="false" customHeight="false" outlineLevel="0" collapsed="false">
      <c r="A354" s="16" t="s">
        <v>1393</v>
      </c>
      <c r="B354" s="16" t="s">
        <v>81</v>
      </c>
      <c r="C354" s="16" t="s">
        <v>1394</v>
      </c>
      <c r="D354" s="16" t="s">
        <v>158</v>
      </c>
      <c r="E354" s="16" t="s">
        <v>528</v>
      </c>
      <c r="F354" s="26" t="n">
        <v>27865000</v>
      </c>
      <c r="G354" s="25" t="n">
        <v>50</v>
      </c>
      <c r="H354" s="22" t="n">
        <v>46108</v>
      </c>
      <c r="I354" s="22" t="n">
        <v>46277</v>
      </c>
      <c r="J354" s="22" t="n">
        <v>46297</v>
      </c>
      <c r="K354" s="16" t="s">
        <v>596</v>
      </c>
      <c r="L354" s="16" t="s">
        <v>500</v>
      </c>
      <c r="M354" s="16" t="s">
        <v>601</v>
      </c>
      <c r="N354" s="16"/>
      <c r="O354" s="7" t="n">
        <f aca="false">IF(OR(E354="Closed Won",E354="Closed Lost"),0,1)</f>
        <v>1</v>
      </c>
      <c r="P354" s="17" t="str">
        <f aca="false">INDEX(Accounts!$K$5:$K$336,MATCH(B354,Accounts!$A$5:$A$336,0))</f>
        <v>Financial Services</v>
      </c>
      <c r="Q354" s="17" t="str">
        <f aca="false">INDEX(Accounts!$D$5:$D$336,MATCH(B354,Accounts!$A$5:$A$336,0))</f>
        <v>Priority</v>
      </c>
      <c r="R354" s="7" t="n">
        <f aca="false">INDEX(Inputs!$B$11:$B$16,MATCH(E354,Inputs!$A$11:$A$16,0))</f>
        <v>50</v>
      </c>
      <c r="S354" s="27" t="n">
        <f aca="false">IF(F354="",0,F354)*R354/100</f>
        <v>13932500</v>
      </c>
      <c r="T354" s="7" t="n">
        <f aca="false">Inputs!$B$4-J354</f>
        <v>17</v>
      </c>
      <c r="U354" s="7" t="n">
        <f aca="false">IF(OR(F354="",F354=0),1,0)</f>
        <v>0</v>
      </c>
      <c r="V354" s="7" t="n">
        <f aca="false">IF(K354="",1,0)</f>
        <v>0</v>
      </c>
      <c r="W354" s="7" t="n">
        <f aca="false">IF(AND(O354=1,K354&lt;&gt;"",COUNTIFS(Owners!$A$5:$A$32,K354,Owners!$E$5:$E$32,"No")&gt;0),1,0)</f>
        <v>0</v>
      </c>
      <c r="X354" s="7" t="n">
        <f aca="false">IF(AND(O354=1,I354&lt;Inputs!$B$4),1,0)</f>
        <v>1</v>
      </c>
      <c r="Y354" s="7" t="n">
        <f aca="false">IF(AND(O354=1,T354&gt;Inputs!$B$5),1,0)</f>
        <v>0</v>
      </c>
      <c r="Z354" s="7" t="n">
        <f aca="false">IF(AND(O354=1,G354&lt;&gt;R354),1,0)</f>
        <v>0</v>
      </c>
      <c r="AA354" s="7" t="n">
        <f aca="false">IF(AND(O354=1,M354=""),1,0)</f>
        <v>0</v>
      </c>
      <c r="AB354" s="7" t="n">
        <f aca="false">IF(AND(E354="Closed Lost",N354=""),1,0)</f>
        <v>0</v>
      </c>
      <c r="AC354" s="7" t="n">
        <f aca="false">SUM(U354:AB354)</f>
        <v>1</v>
      </c>
      <c r="AD354" s="7" t="n">
        <f aca="false">IF(AC354=0,1,0)</f>
        <v>0</v>
      </c>
      <c r="AE354" s="7" t="n">
        <f aca="false">IF(AND(O354=1,I354&gt;=Inputs!$B$6,I354&lt;=Inputs!$B$7),1,0)</f>
        <v>1</v>
      </c>
      <c r="AF354" s="7" t="n">
        <f aca="false">IF(AND(E354="Closed Won",I354&gt;=Inputs!$B$6,I354&lt;=Inputs!$B$4),1,0)</f>
        <v>0</v>
      </c>
      <c r="AG354" s="7" t="n">
        <f aca="false">IF(AND(O354=0,I354&gt;Inputs!$B$4-Inputs!$B$8,I354&lt;=Inputs!$B$4),1,0)</f>
        <v>0</v>
      </c>
      <c r="AH354" s="7" t="n">
        <f aca="false">I354-H354</f>
        <v>169</v>
      </c>
    </row>
    <row r="355" customFormat="false" ht="15" hidden="false" customHeight="false" outlineLevel="0" collapsed="false">
      <c r="A355" s="16" t="s">
        <v>1395</v>
      </c>
      <c r="B355" s="16" t="s">
        <v>67</v>
      </c>
      <c r="C355" s="16" t="s">
        <v>1396</v>
      </c>
      <c r="D355" s="16" t="s">
        <v>167</v>
      </c>
      <c r="E355" s="16" t="s">
        <v>530</v>
      </c>
      <c r="F355" s="26" t="n">
        <v>6745000</v>
      </c>
      <c r="G355" s="25" t="n">
        <v>100</v>
      </c>
      <c r="H355" s="22" t="n">
        <v>45930</v>
      </c>
      <c r="I355" s="22" t="n">
        <v>46176</v>
      </c>
      <c r="J355" s="22" t="n">
        <v>46176</v>
      </c>
      <c r="K355" s="16" t="s">
        <v>596</v>
      </c>
      <c r="L355" s="16" t="s">
        <v>609</v>
      </c>
      <c r="M355" s="16"/>
      <c r="N355" s="16"/>
      <c r="O355" s="7" t="n">
        <f aca="false">IF(OR(E355="Closed Won",E355="Closed Lost"),0,1)</f>
        <v>0</v>
      </c>
      <c r="P355" s="17" t="str">
        <f aca="false">INDEX(Accounts!$K$5:$K$336,MATCH(B355,Accounts!$A$5:$A$336,0))</f>
        <v>Financial Services</v>
      </c>
      <c r="Q355" s="17" t="str">
        <f aca="false">INDEX(Accounts!$D$5:$D$336,MATCH(B355,Accounts!$A$5:$A$336,0))</f>
        <v>Priority</v>
      </c>
      <c r="R355" s="7" t="n">
        <f aca="false">INDEX(Inputs!$B$11:$B$16,MATCH(E355,Inputs!$A$11:$A$16,0))</f>
        <v>100</v>
      </c>
      <c r="S355" s="27" t="n">
        <f aca="false">IF(F355="",0,F355)*R355/100</f>
        <v>6745000</v>
      </c>
      <c r="T355" s="7" t="n">
        <f aca="false">Inputs!$B$4-J355</f>
        <v>138</v>
      </c>
      <c r="U355" s="7" t="n">
        <f aca="false">IF(OR(F355="",F355=0),1,0)</f>
        <v>0</v>
      </c>
      <c r="V355" s="7" t="n">
        <f aca="false">IF(K355="",1,0)</f>
        <v>0</v>
      </c>
      <c r="W355" s="7" t="n">
        <f aca="false">IF(AND(O355=1,K355&lt;&gt;"",COUNTIFS(Owners!$A$5:$A$32,K355,Owners!$E$5:$E$32,"No")&gt;0),1,0)</f>
        <v>0</v>
      </c>
      <c r="X355" s="7" t="n">
        <f aca="false">IF(AND(O355=1,I355&lt;Inputs!$B$4),1,0)</f>
        <v>0</v>
      </c>
      <c r="Y355" s="7" t="n">
        <f aca="false">IF(AND(O355=1,T355&gt;Inputs!$B$5),1,0)</f>
        <v>0</v>
      </c>
      <c r="Z355" s="7" t="n">
        <f aca="false">IF(AND(O355=1,G355&lt;&gt;R355),1,0)</f>
        <v>0</v>
      </c>
      <c r="AA355" s="7" t="n">
        <f aca="false">IF(AND(O355=1,M355=""),1,0)</f>
        <v>0</v>
      </c>
      <c r="AB355" s="7" t="n">
        <f aca="false">IF(AND(E355="Closed Lost",N355=""),1,0)</f>
        <v>0</v>
      </c>
      <c r="AC355" s="7" t="n">
        <f aca="false">SUM(U355:AB355)</f>
        <v>0</v>
      </c>
      <c r="AD355" s="7" t="n">
        <f aca="false">IF(AC355=0,1,0)</f>
        <v>1</v>
      </c>
      <c r="AE355" s="7" t="n">
        <f aca="false">IF(AND(O355=1,I355&gt;=Inputs!$B$6,I355&lt;=Inputs!$B$7),1,0)</f>
        <v>0</v>
      </c>
      <c r="AF355" s="7" t="n">
        <f aca="false">IF(AND(E355="Closed Won",I355&gt;=Inputs!$B$6,I355&lt;=Inputs!$B$4),1,0)</f>
        <v>0</v>
      </c>
      <c r="AG355" s="7" t="n">
        <f aca="false">IF(AND(O355=0,I355&gt;Inputs!$B$4-Inputs!$B$8,I355&lt;=Inputs!$B$4),1,0)</f>
        <v>1</v>
      </c>
      <c r="AH355" s="7" t="n">
        <f aca="false">I355-H355</f>
        <v>246</v>
      </c>
    </row>
    <row r="356" customFormat="false" ht="15" hidden="false" customHeight="false" outlineLevel="0" collapsed="false">
      <c r="A356" s="16" t="s">
        <v>1397</v>
      </c>
      <c r="B356" s="16" t="s">
        <v>86</v>
      </c>
      <c r="C356" s="16" t="s">
        <v>1398</v>
      </c>
      <c r="D356" s="16" t="s">
        <v>158</v>
      </c>
      <c r="E356" s="16" t="s">
        <v>530</v>
      </c>
      <c r="F356" s="26" t="n">
        <v>10789000</v>
      </c>
      <c r="G356" s="25" t="n">
        <v>100</v>
      </c>
      <c r="H356" s="22" t="n">
        <v>45947</v>
      </c>
      <c r="I356" s="22" t="n">
        <v>46142</v>
      </c>
      <c r="J356" s="22" t="n">
        <v>46142</v>
      </c>
      <c r="K356" s="16" t="s">
        <v>654</v>
      </c>
      <c r="L356" s="16" t="s">
        <v>574</v>
      </c>
      <c r="M356" s="16"/>
      <c r="N356" s="16"/>
      <c r="O356" s="7" t="n">
        <f aca="false">IF(OR(E356="Closed Won",E356="Closed Lost"),0,1)</f>
        <v>0</v>
      </c>
      <c r="P356" s="17" t="str">
        <f aca="false">INDEX(Accounts!$K$5:$K$336,MATCH(B356,Accounts!$A$5:$A$336,0))</f>
        <v>Technology, Media &amp; Telecom</v>
      </c>
      <c r="Q356" s="17" t="str">
        <f aca="false">INDEX(Accounts!$D$5:$D$336,MATCH(B356,Accounts!$A$5:$A$336,0))</f>
        <v>Priority</v>
      </c>
      <c r="R356" s="7" t="n">
        <f aca="false">INDEX(Inputs!$B$11:$B$16,MATCH(E356,Inputs!$A$11:$A$16,0))</f>
        <v>100</v>
      </c>
      <c r="S356" s="27" t="n">
        <f aca="false">IF(F356="",0,F356)*R356/100</f>
        <v>10789000</v>
      </c>
      <c r="T356" s="7" t="n">
        <f aca="false">Inputs!$B$4-J356</f>
        <v>172</v>
      </c>
      <c r="U356" s="7" t="n">
        <f aca="false">IF(OR(F356="",F356=0),1,0)</f>
        <v>0</v>
      </c>
      <c r="V356" s="7" t="n">
        <f aca="false">IF(K356="",1,0)</f>
        <v>0</v>
      </c>
      <c r="W356" s="7" t="n">
        <f aca="false">IF(AND(O356=1,K356&lt;&gt;"",COUNTIFS(Owners!$A$5:$A$32,K356,Owners!$E$5:$E$32,"No")&gt;0),1,0)</f>
        <v>0</v>
      </c>
      <c r="X356" s="7" t="n">
        <f aca="false">IF(AND(O356=1,I356&lt;Inputs!$B$4),1,0)</f>
        <v>0</v>
      </c>
      <c r="Y356" s="7" t="n">
        <f aca="false">IF(AND(O356=1,T356&gt;Inputs!$B$5),1,0)</f>
        <v>0</v>
      </c>
      <c r="Z356" s="7" t="n">
        <f aca="false">IF(AND(O356=1,G356&lt;&gt;R356),1,0)</f>
        <v>0</v>
      </c>
      <c r="AA356" s="7" t="n">
        <f aca="false">IF(AND(O356=1,M356=""),1,0)</f>
        <v>0</v>
      </c>
      <c r="AB356" s="7" t="n">
        <f aca="false">IF(AND(E356="Closed Lost",N356=""),1,0)</f>
        <v>0</v>
      </c>
      <c r="AC356" s="7" t="n">
        <f aca="false">SUM(U356:AB356)</f>
        <v>0</v>
      </c>
      <c r="AD356" s="7" t="n">
        <f aca="false">IF(AC356=0,1,0)</f>
        <v>1</v>
      </c>
      <c r="AE356" s="7" t="n">
        <f aca="false">IF(AND(O356=1,I356&gt;=Inputs!$B$6,I356&lt;=Inputs!$B$7),1,0)</f>
        <v>0</v>
      </c>
      <c r="AF356" s="7" t="n">
        <f aca="false">IF(AND(E356="Closed Won",I356&gt;=Inputs!$B$6,I356&lt;=Inputs!$B$4),1,0)</f>
        <v>0</v>
      </c>
      <c r="AG356" s="7" t="n">
        <f aca="false">IF(AND(O356=0,I356&gt;Inputs!$B$4-Inputs!$B$8,I356&lt;=Inputs!$B$4),1,0)</f>
        <v>1</v>
      </c>
      <c r="AH356" s="7" t="n">
        <f aca="false">I356-H356</f>
        <v>195</v>
      </c>
    </row>
    <row r="357" customFormat="false" ht="15" hidden="false" customHeight="false" outlineLevel="0" collapsed="false">
      <c r="A357" s="16" t="s">
        <v>1399</v>
      </c>
      <c r="B357" s="16" t="s">
        <v>1400</v>
      </c>
      <c r="C357" s="16" t="s">
        <v>1401</v>
      </c>
      <c r="D357" s="16" t="s">
        <v>167</v>
      </c>
      <c r="E357" s="16" t="s">
        <v>531</v>
      </c>
      <c r="F357" s="26" t="n">
        <v>6573000</v>
      </c>
      <c r="G357" s="25" t="n">
        <v>0</v>
      </c>
      <c r="H357" s="22" t="n">
        <v>46100</v>
      </c>
      <c r="I357" s="22" t="n">
        <v>46201</v>
      </c>
      <c r="J357" s="22" t="n">
        <v>46201</v>
      </c>
      <c r="K357" s="16" t="s">
        <v>622</v>
      </c>
      <c r="L357" s="16" t="s">
        <v>609</v>
      </c>
      <c r="M357" s="16"/>
      <c r="N357" s="16" t="s">
        <v>597</v>
      </c>
      <c r="O357" s="7" t="n">
        <f aca="false">IF(OR(E357="Closed Won",E357="Closed Lost"),0,1)</f>
        <v>0</v>
      </c>
      <c r="P357" s="17" t="str">
        <f aca="false">INDEX(Accounts!$K$5:$K$336,MATCH(B357,Accounts!$A$5:$A$336,0))</f>
        <v>Agribusiness</v>
      </c>
      <c r="Q357" s="17" t="str">
        <f aca="false">INDEX(Accounts!$D$5:$D$336,MATCH(B357,Accounts!$A$5:$A$336,0))</f>
        <v>Standard</v>
      </c>
      <c r="R357" s="7" t="n">
        <f aca="false">INDEX(Inputs!$B$11:$B$16,MATCH(E357,Inputs!$A$11:$A$16,0))</f>
        <v>0</v>
      </c>
      <c r="S357" s="27" t="n">
        <f aca="false">IF(F357="",0,F357)*R357/100</f>
        <v>0</v>
      </c>
      <c r="T357" s="7" t="n">
        <f aca="false">Inputs!$B$4-J357</f>
        <v>113</v>
      </c>
      <c r="U357" s="7" t="n">
        <f aca="false">IF(OR(F357="",F357=0),1,0)</f>
        <v>0</v>
      </c>
      <c r="V357" s="7" t="n">
        <f aca="false">IF(K357="",1,0)</f>
        <v>0</v>
      </c>
      <c r="W357" s="7" t="n">
        <f aca="false">IF(AND(O357=1,K357&lt;&gt;"",COUNTIFS(Owners!$A$5:$A$32,K357,Owners!$E$5:$E$32,"No")&gt;0),1,0)</f>
        <v>0</v>
      </c>
      <c r="X357" s="7" t="n">
        <f aca="false">IF(AND(O357=1,I357&lt;Inputs!$B$4),1,0)</f>
        <v>0</v>
      </c>
      <c r="Y357" s="7" t="n">
        <f aca="false">IF(AND(O357=1,T357&gt;Inputs!$B$5),1,0)</f>
        <v>0</v>
      </c>
      <c r="Z357" s="7" t="n">
        <f aca="false">IF(AND(O357=1,G357&lt;&gt;R357),1,0)</f>
        <v>0</v>
      </c>
      <c r="AA357" s="7" t="n">
        <f aca="false">IF(AND(O357=1,M357=""),1,0)</f>
        <v>0</v>
      </c>
      <c r="AB357" s="7" t="n">
        <f aca="false">IF(AND(E357="Closed Lost",N357=""),1,0)</f>
        <v>0</v>
      </c>
      <c r="AC357" s="7" t="n">
        <f aca="false">SUM(U357:AB357)</f>
        <v>0</v>
      </c>
      <c r="AD357" s="7" t="n">
        <f aca="false">IF(AC357=0,1,0)</f>
        <v>1</v>
      </c>
      <c r="AE357" s="7" t="n">
        <f aca="false">IF(AND(O357=1,I357&gt;=Inputs!$B$6,I357&lt;=Inputs!$B$7),1,0)</f>
        <v>0</v>
      </c>
      <c r="AF357" s="7" t="n">
        <f aca="false">IF(AND(E357="Closed Won",I357&gt;=Inputs!$B$6,I357&lt;=Inputs!$B$4),1,0)</f>
        <v>0</v>
      </c>
      <c r="AG357" s="7" t="n">
        <f aca="false">IF(AND(O357=0,I357&gt;Inputs!$B$4-Inputs!$B$8,I357&lt;=Inputs!$B$4),1,0)</f>
        <v>1</v>
      </c>
      <c r="AH357" s="7" t="n">
        <f aca="false">I357-H357</f>
        <v>101</v>
      </c>
    </row>
    <row r="358" customFormat="false" ht="15" hidden="false" customHeight="false" outlineLevel="0" collapsed="false">
      <c r="A358" s="16" t="s">
        <v>1402</v>
      </c>
      <c r="B358" s="16" t="s">
        <v>220</v>
      </c>
      <c r="C358" s="16" t="s">
        <v>1403</v>
      </c>
      <c r="D358" s="16" t="s">
        <v>167</v>
      </c>
      <c r="E358" s="16" t="s">
        <v>530</v>
      </c>
      <c r="F358" s="26" t="n">
        <v>5533000</v>
      </c>
      <c r="G358" s="25" t="n">
        <v>100</v>
      </c>
      <c r="H358" s="22" t="n">
        <v>46091</v>
      </c>
      <c r="I358" s="22" t="n">
        <v>46308</v>
      </c>
      <c r="J358" s="22" t="n">
        <v>46308</v>
      </c>
      <c r="K358" s="16" t="s">
        <v>880</v>
      </c>
      <c r="L358" s="16" t="s">
        <v>609</v>
      </c>
      <c r="M358" s="16"/>
      <c r="N358" s="16"/>
      <c r="O358" s="7" t="n">
        <f aca="false">IF(OR(E358="Closed Won",E358="Closed Lost"),0,1)</f>
        <v>0</v>
      </c>
      <c r="P358" s="17" t="str">
        <f aca="false">INDEX(Accounts!$K$5:$K$336,MATCH(B358,Accounts!$A$5:$A$336,0))</f>
        <v>Consumer &amp; Retail</v>
      </c>
      <c r="Q358" s="17" t="str">
        <f aca="false">INDEX(Accounts!$D$5:$D$336,MATCH(B358,Accounts!$A$5:$A$336,0))</f>
        <v>Key</v>
      </c>
      <c r="R358" s="7" t="n">
        <f aca="false">INDEX(Inputs!$B$11:$B$16,MATCH(E358,Inputs!$A$11:$A$16,0))</f>
        <v>100</v>
      </c>
      <c r="S358" s="27" t="n">
        <f aca="false">IF(F358="",0,F358)*R358/100</f>
        <v>5533000</v>
      </c>
      <c r="T358" s="7" t="n">
        <f aca="false">Inputs!$B$4-J358</f>
        <v>6</v>
      </c>
      <c r="U358" s="7" t="n">
        <f aca="false">IF(OR(F358="",F358=0),1,0)</f>
        <v>0</v>
      </c>
      <c r="V358" s="7" t="n">
        <f aca="false">IF(K358="",1,0)</f>
        <v>0</v>
      </c>
      <c r="W358" s="7" t="n">
        <f aca="false">IF(AND(O358=1,K358&lt;&gt;"",COUNTIFS(Owners!$A$5:$A$32,K358,Owners!$E$5:$E$32,"No")&gt;0),1,0)</f>
        <v>0</v>
      </c>
      <c r="X358" s="7" t="n">
        <f aca="false">IF(AND(O358=1,I358&lt;Inputs!$B$4),1,0)</f>
        <v>0</v>
      </c>
      <c r="Y358" s="7" t="n">
        <f aca="false">IF(AND(O358=1,T358&gt;Inputs!$B$5),1,0)</f>
        <v>0</v>
      </c>
      <c r="Z358" s="7" t="n">
        <f aca="false">IF(AND(O358=1,G358&lt;&gt;R358),1,0)</f>
        <v>0</v>
      </c>
      <c r="AA358" s="7" t="n">
        <f aca="false">IF(AND(O358=1,M358=""),1,0)</f>
        <v>0</v>
      </c>
      <c r="AB358" s="7" t="n">
        <f aca="false">IF(AND(E358="Closed Lost",N358=""),1,0)</f>
        <v>0</v>
      </c>
      <c r="AC358" s="7" t="n">
        <f aca="false">SUM(U358:AB358)</f>
        <v>0</v>
      </c>
      <c r="AD358" s="7" t="n">
        <f aca="false">IF(AC358=0,1,0)</f>
        <v>1</v>
      </c>
      <c r="AE358" s="7" t="n">
        <f aca="false">IF(AND(O358=1,I358&gt;=Inputs!$B$6,I358&lt;=Inputs!$B$7),1,0)</f>
        <v>0</v>
      </c>
      <c r="AF358" s="7" t="n">
        <f aca="false">IF(AND(E358="Closed Won",I358&gt;=Inputs!$B$6,I358&lt;=Inputs!$B$4),1,0)</f>
        <v>1</v>
      </c>
      <c r="AG358" s="7" t="n">
        <f aca="false">IF(AND(O358=0,I358&gt;Inputs!$B$4-Inputs!$B$8,I358&lt;=Inputs!$B$4),1,0)</f>
        <v>1</v>
      </c>
      <c r="AH358" s="7" t="n">
        <f aca="false">I358-H358</f>
        <v>217</v>
      </c>
    </row>
    <row r="359" customFormat="false" ht="15" hidden="false" customHeight="false" outlineLevel="0" collapsed="false">
      <c r="A359" s="16" t="s">
        <v>1404</v>
      </c>
      <c r="B359" s="16" t="s">
        <v>702</v>
      </c>
      <c r="C359" s="16" t="s">
        <v>1405</v>
      </c>
      <c r="D359" s="16" t="s">
        <v>162</v>
      </c>
      <c r="E359" s="16" t="s">
        <v>531</v>
      </c>
      <c r="F359" s="26" t="n">
        <v>6614000</v>
      </c>
      <c r="G359" s="25" t="n">
        <v>0</v>
      </c>
      <c r="H359" s="22" t="n">
        <v>45912</v>
      </c>
      <c r="I359" s="22" t="n">
        <v>46047</v>
      </c>
      <c r="J359" s="22" t="n">
        <v>46047</v>
      </c>
      <c r="K359" s="16" t="s">
        <v>704</v>
      </c>
      <c r="L359" s="16" t="s">
        <v>592</v>
      </c>
      <c r="M359" s="16"/>
      <c r="N359" s="16" t="s">
        <v>579</v>
      </c>
      <c r="O359" s="7" t="n">
        <f aca="false">IF(OR(E359="Closed Won",E359="Closed Lost"),0,1)</f>
        <v>0</v>
      </c>
      <c r="P359" s="17" t="str">
        <f aca="false">INDEX(Accounts!$K$5:$K$336,MATCH(B359,Accounts!$A$5:$A$336,0))</f>
        <v>Consumer &amp; Retail</v>
      </c>
      <c r="Q359" s="17" t="str">
        <f aca="false">INDEX(Accounts!$D$5:$D$336,MATCH(B359,Accounts!$A$5:$A$336,0))</f>
        <v>Key</v>
      </c>
      <c r="R359" s="7" t="n">
        <f aca="false">INDEX(Inputs!$B$11:$B$16,MATCH(E359,Inputs!$A$11:$A$16,0))</f>
        <v>0</v>
      </c>
      <c r="S359" s="27" t="n">
        <f aca="false">IF(F359="",0,F359)*R359/100</f>
        <v>0</v>
      </c>
      <c r="T359" s="7" t="n">
        <f aca="false">Inputs!$B$4-J359</f>
        <v>267</v>
      </c>
      <c r="U359" s="7" t="n">
        <f aca="false">IF(OR(F359="",F359=0),1,0)</f>
        <v>0</v>
      </c>
      <c r="V359" s="7" t="n">
        <f aca="false">IF(K359="",1,0)</f>
        <v>0</v>
      </c>
      <c r="W359" s="7" t="n">
        <f aca="false">IF(AND(O359=1,K359&lt;&gt;"",COUNTIFS(Owners!$A$5:$A$32,K359,Owners!$E$5:$E$32,"No")&gt;0),1,0)</f>
        <v>0</v>
      </c>
      <c r="X359" s="7" t="n">
        <f aca="false">IF(AND(O359=1,I359&lt;Inputs!$B$4),1,0)</f>
        <v>0</v>
      </c>
      <c r="Y359" s="7" t="n">
        <f aca="false">IF(AND(O359=1,T359&gt;Inputs!$B$5),1,0)</f>
        <v>0</v>
      </c>
      <c r="Z359" s="7" t="n">
        <f aca="false">IF(AND(O359=1,G359&lt;&gt;R359),1,0)</f>
        <v>0</v>
      </c>
      <c r="AA359" s="7" t="n">
        <f aca="false">IF(AND(O359=1,M359=""),1,0)</f>
        <v>0</v>
      </c>
      <c r="AB359" s="7" t="n">
        <f aca="false">IF(AND(E359="Closed Lost",N359=""),1,0)</f>
        <v>0</v>
      </c>
      <c r="AC359" s="7" t="n">
        <f aca="false">SUM(U359:AB359)</f>
        <v>0</v>
      </c>
      <c r="AD359" s="7" t="n">
        <f aca="false">IF(AC359=0,1,0)</f>
        <v>1</v>
      </c>
      <c r="AE359" s="7" t="n">
        <f aca="false">IF(AND(O359=1,I359&gt;=Inputs!$B$6,I359&lt;=Inputs!$B$7),1,0)</f>
        <v>0</v>
      </c>
      <c r="AF359" s="7" t="n">
        <f aca="false">IF(AND(E359="Closed Won",I359&gt;=Inputs!$B$6,I359&lt;=Inputs!$B$4),1,0)</f>
        <v>0</v>
      </c>
      <c r="AG359" s="7" t="n">
        <f aca="false">IF(AND(O359=0,I359&gt;Inputs!$B$4-Inputs!$B$8,I359&lt;=Inputs!$B$4),1,0)</f>
        <v>1</v>
      </c>
      <c r="AH359" s="7" t="n">
        <f aca="false">I359-H359</f>
        <v>135</v>
      </c>
    </row>
    <row r="360" customFormat="false" ht="15" hidden="false" customHeight="false" outlineLevel="0" collapsed="false">
      <c r="A360" s="16" t="s">
        <v>1406</v>
      </c>
      <c r="B360" s="16" t="s">
        <v>87</v>
      </c>
      <c r="C360" s="16" t="s">
        <v>1407</v>
      </c>
      <c r="D360" s="16" t="s">
        <v>167</v>
      </c>
      <c r="E360" s="16" t="s">
        <v>531</v>
      </c>
      <c r="F360" s="26" t="n">
        <v>24960000</v>
      </c>
      <c r="G360" s="25" t="n">
        <v>0</v>
      </c>
      <c r="H360" s="22" t="n">
        <v>45929</v>
      </c>
      <c r="I360" s="22" t="n">
        <v>46035</v>
      </c>
      <c r="J360" s="22" t="n">
        <v>46035</v>
      </c>
      <c r="K360" s="16" t="s">
        <v>640</v>
      </c>
      <c r="L360" s="16" t="s">
        <v>584</v>
      </c>
      <c r="M360" s="16"/>
      <c r="N360" s="16" t="s">
        <v>610</v>
      </c>
      <c r="O360" s="7" t="n">
        <f aca="false">IF(OR(E360="Closed Won",E360="Closed Lost"),0,1)</f>
        <v>0</v>
      </c>
      <c r="P360" s="17" t="str">
        <f aca="false">INDEX(Accounts!$K$5:$K$336,MATCH(B360,Accounts!$A$5:$A$336,0))</f>
        <v>Unassigned</v>
      </c>
      <c r="Q360" s="17" t="str">
        <f aca="false">INDEX(Accounts!$D$5:$D$336,MATCH(B360,Accounts!$A$5:$A$336,0))</f>
        <v>Priority</v>
      </c>
      <c r="R360" s="7" t="n">
        <f aca="false">INDEX(Inputs!$B$11:$B$16,MATCH(E360,Inputs!$A$11:$A$16,0))</f>
        <v>0</v>
      </c>
      <c r="S360" s="27" t="n">
        <f aca="false">IF(F360="",0,F360)*R360/100</f>
        <v>0</v>
      </c>
      <c r="T360" s="7" t="n">
        <f aca="false">Inputs!$B$4-J360</f>
        <v>279</v>
      </c>
      <c r="U360" s="7" t="n">
        <f aca="false">IF(OR(F360="",F360=0),1,0)</f>
        <v>0</v>
      </c>
      <c r="V360" s="7" t="n">
        <f aca="false">IF(K360="",1,0)</f>
        <v>0</v>
      </c>
      <c r="W360" s="7" t="n">
        <f aca="false">IF(AND(O360=1,K360&lt;&gt;"",COUNTIFS(Owners!$A$5:$A$32,K360,Owners!$E$5:$E$32,"No")&gt;0),1,0)</f>
        <v>0</v>
      </c>
      <c r="X360" s="7" t="n">
        <f aca="false">IF(AND(O360=1,I360&lt;Inputs!$B$4),1,0)</f>
        <v>0</v>
      </c>
      <c r="Y360" s="7" t="n">
        <f aca="false">IF(AND(O360=1,T360&gt;Inputs!$B$5),1,0)</f>
        <v>0</v>
      </c>
      <c r="Z360" s="7" t="n">
        <f aca="false">IF(AND(O360=1,G360&lt;&gt;R360),1,0)</f>
        <v>0</v>
      </c>
      <c r="AA360" s="7" t="n">
        <f aca="false">IF(AND(O360=1,M360=""),1,0)</f>
        <v>0</v>
      </c>
      <c r="AB360" s="7" t="n">
        <f aca="false">IF(AND(E360="Closed Lost",N360=""),1,0)</f>
        <v>0</v>
      </c>
      <c r="AC360" s="7" t="n">
        <f aca="false">SUM(U360:AB360)</f>
        <v>0</v>
      </c>
      <c r="AD360" s="7" t="n">
        <f aca="false">IF(AC360=0,1,0)</f>
        <v>1</v>
      </c>
      <c r="AE360" s="7" t="n">
        <f aca="false">IF(AND(O360=1,I360&gt;=Inputs!$B$6,I360&lt;=Inputs!$B$7),1,0)</f>
        <v>0</v>
      </c>
      <c r="AF360" s="7" t="n">
        <f aca="false">IF(AND(E360="Closed Won",I360&gt;=Inputs!$B$6,I360&lt;=Inputs!$B$4),1,0)</f>
        <v>0</v>
      </c>
      <c r="AG360" s="7" t="n">
        <f aca="false">IF(AND(O360=0,I360&gt;Inputs!$B$4-Inputs!$B$8,I360&lt;=Inputs!$B$4),1,0)</f>
        <v>1</v>
      </c>
      <c r="AH360" s="7" t="n">
        <f aca="false">I360-H360</f>
        <v>106</v>
      </c>
    </row>
    <row r="361" customFormat="false" ht="15" hidden="false" customHeight="false" outlineLevel="0" collapsed="false">
      <c r="A361" s="16" t="s">
        <v>1408</v>
      </c>
      <c r="B361" s="16" t="s">
        <v>379</v>
      </c>
      <c r="C361" s="16" t="s">
        <v>1409</v>
      </c>
      <c r="D361" s="16" t="s">
        <v>167</v>
      </c>
      <c r="E361" s="16" t="s">
        <v>531</v>
      </c>
      <c r="F361" s="26" t="n">
        <v>16433000</v>
      </c>
      <c r="G361" s="25" t="n">
        <v>0</v>
      </c>
      <c r="H361" s="22" t="n">
        <v>46058</v>
      </c>
      <c r="I361" s="22" t="n">
        <v>46126</v>
      </c>
      <c r="J361" s="22" t="n">
        <v>46126</v>
      </c>
      <c r="K361" s="16" t="s">
        <v>765</v>
      </c>
      <c r="L361" s="16" t="s">
        <v>609</v>
      </c>
      <c r="M361" s="16"/>
      <c r="N361" s="16"/>
      <c r="O361" s="7" t="n">
        <f aca="false">IF(OR(E361="Closed Won",E361="Closed Lost"),0,1)</f>
        <v>0</v>
      </c>
      <c r="P361" s="17" t="str">
        <f aca="false">INDEX(Accounts!$K$5:$K$336,MATCH(B361,Accounts!$A$5:$A$336,0))</f>
        <v>Unassigned</v>
      </c>
      <c r="Q361" s="17" t="str">
        <f aca="false">INDEX(Accounts!$D$5:$D$336,MATCH(B361,Accounts!$A$5:$A$336,0))</f>
        <v>Key</v>
      </c>
      <c r="R361" s="7" t="n">
        <f aca="false">INDEX(Inputs!$B$11:$B$16,MATCH(E361,Inputs!$A$11:$A$16,0))</f>
        <v>0</v>
      </c>
      <c r="S361" s="27" t="n">
        <f aca="false">IF(F361="",0,F361)*R361/100</f>
        <v>0</v>
      </c>
      <c r="T361" s="7" t="n">
        <f aca="false">Inputs!$B$4-J361</f>
        <v>188</v>
      </c>
      <c r="U361" s="7" t="n">
        <f aca="false">IF(OR(F361="",F361=0),1,0)</f>
        <v>0</v>
      </c>
      <c r="V361" s="7" t="n">
        <f aca="false">IF(K361="",1,0)</f>
        <v>0</v>
      </c>
      <c r="W361" s="7" t="n">
        <f aca="false">IF(AND(O361=1,K361&lt;&gt;"",COUNTIFS(Owners!$A$5:$A$32,K361,Owners!$E$5:$E$32,"No")&gt;0),1,0)</f>
        <v>0</v>
      </c>
      <c r="X361" s="7" t="n">
        <f aca="false">IF(AND(O361=1,I361&lt;Inputs!$B$4),1,0)</f>
        <v>0</v>
      </c>
      <c r="Y361" s="7" t="n">
        <f aca="false">IF(AND(O361=1,T361&gt;Inputs!$B$5),1,0)</f>
        <v>0</v>
      </c>
      <c r="Z361" s="7" t="n">
        <f aca="false">IF(AND(O361=1,G361&lt;&gt;R361),1,0)</f>
        <v>0</v>
      </c>
      <c r="AA361" s="7" t="n">
        <f aca="false">IF(AND(O361=1,M361=""),1,0)</f>
        <v>0</v>
      </c>
      <c r="AB361" s="7" t="n">
        <f aca="false">IF(AND(E361="Closed Lost",N361=""),1,0)</f>
        <v>1</v>
      </c>
      <c r="AC361" s="7" t="n">
        <f aca="false">SUM(U361:AB361)</f>
        <v>1</v>
      </c>
      <c r="AD361" s="7" t="n">
        <f aca="false">IF(AC361=0,1,0)</f>
        <v>0</v>
      </c>
      <c r="AE361" s="7" t="n">
        <f aca="false">IF(AND(O361=1,I361&gt;=Inputs!$B$6,I361&lt;=Inputs!$B$7),1,0)</f>
        <v>0</v>
      </c>
      <c r="AF361" s="7" t="n">
        <f aca="false">IF(AND(E361="Closed Won",I361&gt;=Inputs!$B$6,I361&lt;=Inputs!$B$4),1,0)</f>
        <v>0</v>
      </c>
      <c r="AG361" s="7" t="n">
        <f aca="false">IF(AND(O361=0,I361&gt;Inputs!$B$4-Inputs!$B$8,I361&lt;=Inputs!$B$4),1,0)</f>
        <v>1</v>
      </c>
      <c r="AH361" s="7" t="n">
        <f aca="false">I361-H361</f>
        <v>68</v>
      </c>
    </row>
    <row r="362" customFormat="false" ht="15" hidden="false" customHeight="false" outlineLevel="0" collapsed="false">
      <c r="A362" s="16" t="s">
        <v>1410</v>
      </c>
      <c r="B362" s="16" t="s">
        <v>185</v>
      </c>
      <c r="C362" s="16" t="s">
        <v>1411</v>
      </c>
      <c r="D362" s="16" t="s">
        <v>167</v>
      </c>
      <c r="E362" s="16" t="s">
        <v>526</v>
      </c>
      <c r="F362" s="26" t="n">
        <v>8340000</v>
      </c>
      <c r="G362" s="25" t="n">
        <v>10</v>
      </c>
      <c r="H362" s="22" t="n">
        <v>46291</v>
      </c>
      <c r="I362" s="22" t="n">
        <v>46523</v>
      </c>
      <c r="J362" s="22" t="n">
        <v>46274</v>
      </c>
      <c r="K362" s="16" t="s">
        <v>604</v>
      </c>
      <c r="L362" s="16" t="s">
        <v>574</v>
      </c>
      <c r="M362" s="16" t="s">
        <v>613</v>
      </c>
      <c r="N362" s="16"/>
      <c r="O362" s="7" t="n">
        <f aca="false">IF(OR(E362="Closed Won",E362="Closed Lost"),0,1)</f>
        <v>1</v>
      </c>
      <c r="P362" s="17" t="str">
        <f aca="false">INDEX(Accounts!$K$5:$K$336,MATCH(B362,Accounts!$A$5:$A$336,0))</f>
        <v>Consumer &amp; Retail</v>
      </c>
      <c r="Q362" s="17" t="str">
        <f aca="false">INDEX(Accounts!$D$5:$D$336,MATCH(B362,Accounts!$A$5:$A$336,0))</f>
        <v>Standard</v>
      </c>
      <c r="R362" s="7" t="n">
        <f aca="false">INDEX(Inputs!$B$11:$B$16,MATCH(E362,Inputs!$A$11:$A$16,0))</f>
        <v>10</v>
      </c>
      <c r="S362" s="27" t="n">
        <f aca="false">IF(F362="",0,F362)*R362/100</f>
        <v>834000</v>
      </c>
      <c r="T362" s="7" t="n">
        <f aca="false">Inputs!$B$4-J362</f>
        <v>40</v>
      </c>
      <c r="U362" s="7" t="n">
        <f aca="false">IF(OR(F362="",F362=0),1,0)</f>
        <v>0</v>
      </c>
      <c r="V362" s="7" t="n">
        <f aca="false">IF(K362="",1,0)</f>
        <v>0</v>
      </c>
      <c r="W362" s="7" t="n">
        <f aca="false">IF(AND(O362=1,K362&lt;&gt;"",COUNTIFS(Owners!$A$5:$A$32,K362,Owners!$E$5:$E$32,"No")&gt;0),1,0)</f>
        <v>0</v>
      </c>
      <c r="X362" s="7" t="n">
        <f aca="false">IF(AND(O362=1,I362&lt;Inputs!$B$4),1,0)</f>
        <v>0</v>
      </c>
      <c r="Y362" s="7" t="n">
        <f aca="false">IF(AND(O362=1,T362&gt;Inputs!$B$5),1,0)</f>
        <v>0</v>
      </c>
      <c r="Z362" s="7" t="n">
        <f aca="false">IF(AND(O362=1,G362&lt;&gt;R362),1,0)</f>
        <v>0</v>
      </c>
      <c r="AA362" s="7" t="n">
        <f aca="false">IF(AND(O362=1,M362=""),1,0)</f>
        <v>0</v>
      </c>
      <c r="AB362" s="7" t="n">
        <f aca="false">IF(AND(E362="Closed Lost",N362=""),1,0)</f>
        <v>0</v>
      </c>
      <c r="AC362" s="7" t="n">
        <f aca="false">SUM(U362:AB362)</f>
        <v>0</v>
      </c>
      <c r="AD362" s="7" t="n">
        <f aca="false">IF(AC362=0,1,0)</f>
        <v>1</v>
      </c>
      <c r="AE362" s="7" t="n">
        <f aca="false">IF(AND(O362=1,I362&gt;=Inputs!$B$6,I362&lt;=Inputs!$B$7),1,0)</f>
        <v>1</v>
      </c>
      <c r="AF362" s="7" t="n">
        <f aca="false">IF(AND(E362="Closed Won",I362&gt;=Inputs!$B$6,I362&lt;=Inputs!$B$4),1,0)</f>
        <v>0</v>
      </c>
      <c r="AG362" s="7" t="n">
        <f aca="false">IF(AND(O362=0,I362&gt;Inputs!$B$4-Inputs!$B$8,I362&lt;=Inputs!$B$4),1,0)</f>
        <v>0</v>
      </c>
      <c r="AH362" s="7" t="n">
        <f aca="false">I362-H362</f>
        <v>232</v>
      </c>
    </row>
    <row r="363" customFormat="false" ht="15" hidden="false" customHeight="false" outlineLevel="0" collapsed="false">
      <c r="A363" s="16" t="s">
        <v>1412</v>
      </c>
      <c r="B363" s="16" t="s">
        <v>73</v>
      </c>
      <c r="C363" s="16" t="s">
        <v>1413</v>
      </c>
      <c r="D363" s="16" t="s">
        <v>167</v>
      </c>
      <c r="E363" s="16" t="s">
        <v>531</v>
      </c>
      <c r="F363" s="26" t="n">
        <v>32969000</v>
      </c>
      <c r="G363" s="25" t="n">
        <v>0</v>
      </c>
      <c r="H363" s="22" t="n">
        <v>46054</v>
      </c>
      <c r="I363" s="22" t="n">
        <v>46307</v>
      </c>
      <c r="J363" s="22" t="n">
        <v>46307</v>
      </c>
      <c r="K363" s="16" t="s">
        <v>640</v>
      </c>
      <c r="L363" s="16" t="s">
        <v>500</v>
      </c>
      <c r="M363" s="16"/>
      <c r="N363" s="16" t="s">
        <v>579</v>
      </c>
      <c r="O363" s="7" t="n">
        <f aca="false">IF(OR(E363="Closed Won",E363="Closed Lost"),0,1)</f>
        <v>0</v>
      </c>
      <c r="P363" s="17" t="str">
        <f aca="false">INDEX(Accounts!$K$5:$K$336,MATCH(B363,Accounts!$A$5:$A$336,0))</f>
        <v>Energy &amp; Resources</v>
      </c>
      <c r="Q363" s="17" t="str">
        <f aca="false">INDEX(Accounts!$D$5:$D$336,MATCH(B363,Accounts!$A$5:$A$336,0))</f>
        <v>Priority</v>
      </c>
      <c r="R363" s="7" t="n">
        <f aca="false">INDEX(Inputs!$B$11:$B$16,MATCH(E363,Inputs!$A$11:$A$16,0))</f>
        <v>0</v>
      </c>
      <c r="S363" s="27" t="n">
        <f aca="false">IF(F363="",0,F363)*R363/100</f>
        <v>0</v>
      </c>
      <c r="T363" s="7" t="n">
        <f aca="false">Inputs!$B$4-J363</f>
        <v>7</v>
      </c>
      <c r="U363" s="7" t="n">
        <f aca="false">IF(OR(F363="",F363=0),1,0)</f>
        <v>0</v>
      </c>
      <c r="V363" s="7" t="n">
        <f aca="false">IF(K363="",1,0)</f>
        <v>0</v>
      </c>
      <c r="W363" s="7" t="n">
        <f aca="false">IF(AND(O363=1,K363&lt;&gt;"",COUNTIFS(Owners!$A$5:$A$32,K363,Owners!$E$5:$E$32,"No")&gt;0),1,0)</f>
        <v>0</v>
      </c>
      <c r="X363" s="7" t="n">
        <f aca="false">IF(AND(O363=1,I363&lt;Inputs!$B$4),1,0)</f>
        <v>0</v>
      </c>
      <c r="Y363" s="7" t="n">
        <f aca="false">IF(AND(O363=1,T363&gt;Inputs!$B$5),1,0)</f>
        <v>0</v>
      </c>
      <c r="Z363" s="7" t="n">
        <f aca="false">IF(AND(O363=1,G363&lt;&gt;R363),1,0)</f>
        <v>0</v>
      </c>
      <c r="AA363" s="7" t="n">
        <f aca="false">IF(AND(O363=1,M363=""),1,0)</f>
        <v>0</v>
      </c>
      <c r="AB363" s="7" t="n">
        <f aca="false">IF(AND(E363="Closed Lost",N363=""),1,0)</f>
        <v>0</v>
      </c>
      <c r="AC363" s="7" t="n">
        <f aca="false">SUM(U363:AB363)</f>
        <v>0</v>
      </c>
      <c r="AD363" s="7" t="n">
        <f aca="false">IF(AC363=0,1,0)</f>
        <v>1</v>
      </c>
      <c r="AE363" s="7" t="n">
        <f aca="false">IF(AND(O363=1,I363&gt;=Inputs!$B$6,I363&lt;=Inputs!$B$7),1,0)</f>
        <v>0</v>
      </c>
      <c r="AF363" s="7" t="n">
        <f aca="false">IF(AND(E363="Closed Won",I363&gt;=Inputs!$B$6,I363&lt;=Inputs!$B$4),1,0)</f>
        <v>0</v>
      </c>
      <c r="AG363" s="7" t="n">
        <f aca="false">IF(AND(O363=0,I363&gt;Inputs!$B$4-Inputs!$B$8,I363&lt;=Inputs!$B$4),1,0)</f>
        <v>1</v>
      </c>
      <c r="AH363" s="7" t="n">
        <f aca="false">I363-H363</f>
        <v>253</v>
      </c>
    </row>
    <row r="364" customFormat="false" ht="15" hidden="false" customHeight="false" outlineLevel="0" collapsed="false">
      <c r="A364" s="16" t="s">
        <v>1414</v>
      </c>
      <c r="B364" s="16" t="s">
        <v>82</v>
      </c>
      <c r="C364" s="16" t="s">
        <v>1415</v>
      </c>
      <c r="D364" s="16" t="s">
        <v>162</v>
      </c>
      <c r="E364" s="16" t="s">
        <v>529</v>
      </c>
      <c r="F364" s="26" t="n">
        <v>11187000</v>
      </c>
      <c r="G364" s="25" t="n">
        <v>75</v>
      </c>
      <c r="H364" s="22" t="n">
        <v>46297</v>
      </c>
      <c r="I364" s="22" t="n">
        <v>46502</v>
      </c>
      <c r="J364" s="22" t="n">
        <v>46299</v>
      </c>
      <c r="K364" s="16" t="s">
        <v>663</v>
      </c>
      <c r="L364" s="16" t="s">
        <v>584</v>
      </c>
      <c r="M364" s="16" t="s">
        <v>601</v>
      </c>
      <c r="N364" s="16"/>
      <c r="O364" s="7" t="n">
        <f aca="false">IF(OR(E364="Closed Won",E364="Closed Lost"),0,1)</f>
        <v>1</v>
      </c>
      <c r="P364" s="17" t="str">
        <f aca="false">INDEX(Accounts!$K$5:$K$336,MATCH(B364,Accounts!$A$5:$A$336,0))</f>
        <v>Public Sector &amp; Development</v>
      </c>
      <c r="Q364" s="17" t="str">
        <f aca="false">INDEX(Accounts!$D$5:$D$336,MATCH(B364,Accounts!$A$5:$A$336,0))</f>
        <v>Priority</v>
      </c>
      <c r="R364" s="7" t="n">
        <f aca="false">INDEX(Inputs!$B$11:$B$16,MATCH(E364,Inputs!$A$11:$A$16,0))</f>
        <v>75</v>
      </c>
      <c r="S364" s="27" t="n">
        <f aca="false">IF(F364="",0,F364)*R364/100</f>
        <v>8390250</v>
      </c>
      <c r="T364" s="7" t="n">
        <f aca="false">Inputs!$B$4-J364</f>
        <v>15</v>
      </c>
      <c r="U364" s="7" t="n">
        <f aca="false">IF(OR(F364="",F364=0),1,0)</f>
        <v>0</v>
      </c>
      <c r="V364" s="7" t="n">
        <f aca="false">IF(K364="",1,0)</f>
        <v>0</v>
      </c>
      <c r="W364" s="7" t="n">
        <f aca="false">IF(AND(O364=1,K364&lt;&gt;"",COUNTIFS(Owners!$A$5:$A$32,K364,Owners!$E$5:$E$32,"No")&gt;0),1,0)</f>
        <v>0</v>
      </c>
      <c r="X364" s="7" t="n">
        <f aca="false">IF(AND(O364=1,I364&lt;Inputs!$B$4),1,0)</f>
        <v>0</v>
      </c>
      <c r="Y364" s="7" t="n">
        <f aca="false">IF(AND(O364=1,T364&gt;Inputs!$B$5),1,0)</f>
        <v>0</v>
      </c>
      <c r="Z364" s="7" t="n">
        <f aca="false">IF(AND(O364=1,G364&lt;&gt;R364),1,0)</f>
        <v>0</v>
      </c>
      <c r="AA364" s="7" t="n">
        <f aca="false">IF(AND(O364=1,M364=""),1,0)</f>
        <v>0</v>
      </c>
      <c r="AB364" s="7" t="n">
        <f aca="false">IF(AND(E364="Closed Lost",N364=""),1,0)</f>
        <v>0</v>
      </c>
      <c r="AC364" s="7" t="n">
        <f aca="false">SUM(U364:AB364)</f>
        <v>0</v>
      </c>
      <c r="AD364" s="7" t="n">
        <f aca="false">IF(AC364=0,1,0)</f>
        <v>1</v>
      </c>
      <c r="AE364" s="7" t="n">
        <f aca="false">IF(AND(O364=1,I364&gt;=Inputs!$B$6,I364&lt;=Inputs!$B$7),1,0)</f>
        <v>1</v>
      </c>
      <c r="AF364" s="7" t="n">
        <f aca="false">IF(AND(E364="Closed Won",I364&gt;=Inputs!$B$6,I364&lt;=Inputs!$B$4),1,0)</f>
        <v>0</v>
      </c>
      <c r="AG364" s="7" t="n">
        <f aca="false">IF(AND(O364=0,I364&gt;Inputs!$B$4-Inputs!$B$8,I364&lt;=Inputs!$B$4),1,0)</f>
        <v>0</v>
      </c>
      <c r="AH364" s="7" t="n">
        <f aca="false">I364-H364</f>
        <v>205</v>
      </c>
    </row>
    <row r="365" customFormat="false" ht="15" hidden="false" customHeight="false" outlineLevel="0" collapsed="false">
      <c r="A365" s="16" t="s">
        <v>1416</v>
      </c>
      <c r="B365" s="16" t="s">
        <v>847</v>
      </c>
      <c r="C365" s="16" t="s">
        <v>1417</v>
      </c>
      <c r="D365" s="16" t="s">
        <v>167</v>
      </c>
      <c r="E365" s="16" t="s">
        <v>527</v>
      </c>
      <c r="F365" s="26" t="n">
        <v>10867000</v>
      </c>
      <c r="G365" s="25" t="n">
        <v>25</v>
      </c>
      <c r="H365" s="22" t="n">
        <v>46204</v>
      </c>
      <c r="I365" s="22" t="n">
        <v>46284</v>
      </c>
      <c r="J365" s="22" t="n">
        <v>46182</v>
      </c>
      <c r="K365" s="16" t="s">
        <v>633</v>
      </c>
      <c r="L365" s="16" t="s">
        <v>500</v>
      </c>
      <c r="M365" s="16"/>
      <c r="N365" s="16"/>
      <c r="O365" s="7" t="n">
        <f aca="false">IF(OR(E365="Closed Won",E365="Closed Lost"),0,1)</f>
        <v>1</v>
      </c>
      <c r="P365" s="17" t="str">
        <f aca="false">INDEX(Accounts!$K$5:$K$336,MATCH(B365,Accounts!$A$5:$A$336,0))</f>
        <v>Public Sector &amp; Development</v>
      </c>
      <c r="Q365" s="17" t="str">
        <f aca="false">INDEX(Accounts!$D$5:$D$336,MATCH(B365,Accounts!$A$5:$A$336,0))</f>
        <v>Standard</v>
      </c>
      <c r="R365" s="7" t="n">
        <f aca="false">INDEX(Inputs!$B$11:$B$16,MATCH(E365,Inputs!$A$11:$A$16,0))</f>
        <v>25</v>
      </c>
      <c r="S365" s="27" t="n">
        <f aca="false">IF(F365="",0,F365)*R365/100</f>
        <v>2716750</v>
      </c>
      <c r="T365" s="7" t="n">
        <f aca="false">Inputs!$B$4-J365</f>
        <v>132</v>
      </c>
      <c r="U365" s="7" t="n">
        <f aca="false">IF(OR(F365="",F365=0),1,0)</f>
        <v>0</v>
      </c>
      <c r="V365" s="7" t="n">
        <f aca="false">IF(K365="",1,0)</f>
        <v>0</v>
      </c>
      <c r="W365" s="7" t="n">
        <f aca="false">IF(AND(O365=1,K365&lt;&gt;"",COUNTIFS(Owners!$A$5:$A$32,K365,Owners!$E$5:$E$32,"No")&gt;0),1,0)</f>
        <v>0</v>
      </c>
      <c r="X365" s="7" t="n">
        <f aca="false">IF(AND(O365=1,I365&lt;Inputs!$B$4),1,0)</f>
        <v>1</v>
      </c>
      <c r="Y365" s="7" t="n">
        <f aca="false">IF(AND(O365=1,T365&gt;Inputs!$B$5),1,0)</f>
        <v>1</v>
      </c>
      <c r="Z365" s="7" t="n">
        <f aca="false">IF(AND(O365=1,G365&lt;&gt;R365),1,0)</f>
        <v>0</v>
      </c>
      <c r="AA365" s="7" t="n">
        <f aca="false">IF(AND(O365=1,M365=""),1,0)</f>
        <v>1</v>
      </c>
      <c r="AB365" s="7" t="n">
        <f aca="false">IF(AND(E365="Closed Lost",N365=""),1,0)</f>
        <v>0</v>
      </c>
      <c r="AC365" s="7" t="n">
        <f aca="false">SUM(U365:AB365)</f>
        <v>3</v>
      </c>
      <c r="AD365" s="7" t="n">
        <f aca="false">IF(AC365=0,1,0)</f>
        <v>0</v>
      </c>
      <c r="AE365" s="7" t="n">
        <f aca="false">IF(AND(O365=1,I365&gt;=Inputs!$B$6,I365&lt;=Inputs!$B$7),1,0)</f>
        <v>1</v>
      </c>
      <c r="AF365" s="7" t="n">
        <f aca="false">IF(AND(E365="Closed Won",I365&gt;=Inputs!$B$6,I365&lt;=Inputs!$B$4),1,0)</f>
        <v>0</v>
      </c>
      <c r="AG365" s="7" t="n">
        <f aca="false">IF(AND(O365=0,I365&gt;Inputs!$B$4-Inputs!$B$8,I365&lt;=Inputs!$B$4),1,0)</f>
        <v>0</v>
      </c>
      <c r="AH365" s="7" t="n">
        <f aca="false">I365-H365</f>
        <v>80</v>
      </c>
    </row>
    <row r="366" customFormat="false" ht="15" hidden="false" customHeight="false" outlineLevel="0" collapsed="false">
      <c r="A366" s="16" t="s">
        <v>1418</v>
      </c>
      <c r="B366" s="16" t="s">
        <v>1419</v>
      </c>
      <c r="C366" s="16" t="s">
        <v>1420</v>
      </c>
      <c r="D366" s="16" t="s">
        <v>177</v>
      </c>
      <c r="E366" s="16" t="s">
        <v>526</v>
      </c>
      <c r="F366" s="26" t="n">
        <v>7204000</v>
      </c>
      <c r="G366" s="25" t="n">
        <v>10</v>
      </c>
      <c r="H366" s="22" t="n">
        <v>46250</v>
      </c>
      <c r="I366" s="22" t="n">
        <v>46373</v>
      </c>
      <c r="J366" s="22" t="n">
        <v>46309</v>
      </c>
      <c r="K366" s="16" t="s">
        <v>583</v>
      </c>
      <c r="L366" s="16" t="s">
        <v>592</v>
      </c>
      <c r="M366" s="16" t="s">
        <v>619</v>
      </c>
      <c r="N366" s="16"/>
      <c r="O366" s="7" t="n">
        <f aca="false">IF(OR(E366="Closed Won",E366="Closed Lost"),0,1)</f>
        <v>1</v>
      </c>
      <c r="P366" s="17" t="str">
        <f aca="false">INDEX(Accounts!$K$5:$K$336,MATCH(B366,Accounts!$A$5:$A$336,0))</f>
        <v>Technology, Media &amp; Telecom</v>
      </c>
      <c r="Q366" s="17" t="str">
        <f aca="false">INDEX(Accounts!$D$5:$D$336,MATCH(B366,Accounts!$A$5:$A$336,0))</f>
        <v>Standard</v>
      </c>
      <c r="R366" s="7" t="n">
        <f aca="false">INDEX(Inputs!$B$11:$B$16,MATCH(E366,Inputs!$A$11:$A$16,0))</f>
        <v>10</v>
      </c>
      <c r="S366" s="27" t="n">
        <f aca="false">IF(F366="",0,F366)*R366/100</f>
        <v>720400</v>
      </c>
      <c r="T366" s="7" t="n">
        <f aca="false">Inputs!$B$4-J366</f>
        <v>5</v>
      </c>
      <c r="U366" s="7" t="n">
        <f aca="false">IF(OR(F366="",F366=0),1,0)</f>
        <v>0</v>
      </c>
      <c r="V366" s="7" t="n">
        <f aca="false">IF(K366="",1,0)</f>
        <v>0</v>
      </c>
      <c r="W366" s="7" t="n">
        <f aca="false">IF(AND(O366=1,K366&lt;&gt;"",COUNTIFS(Owners!$A$5:$A$32,K366,Owners!$E$5:$E$32,"No")&gt;0),1,0)</f>
        <v>1</v>
      </c>
      <c r="X366" s="7" t="n">
        <f aca="false">IF(AND(O366=1,I366&lt;Inputs!$B$4),1,0)</f>
        <v>0</v>
      </c>
      <c r="Y366" s="7" t="n">
        <f aca="false">IF(AND(O366=1,T366&gt;Inputs!$B$5),1,0)</f>
        <v>0</v>
      </c>
      <c r="Z366" s="7" t="n">
        <f aca="false">IF(AND(O366=1,G366&lt;&gt;R366),1,0)</f>
        <v>0</v>
      </c>
      <c r="AA366" s="7" t="n">
        <f aca="false">IF(AND(O366=1,M366=""),1,0)</f>
        <v>0</v>
      </c>
      <c r="AB366" s="7" t="n">
        <f aca="false">IF(AND(E366="Closed Lost",N366=""),1,0)</f>
        <v>0</v>
      </c>
      <c r="AC366" s="7" t="n">
        <f aca="false">SUM(U366:AB366)</f>
        <v>1</v>
      </c>
      <c r="AD366" s="7" t="n">
        <f aca="false">IF(AC366=0,1,0)</f>
        <v>0</v>
      </c>
      <c r="AE366" s="7" t="n">
        <f aca="false">IF(AND(O366=1,I366&gt;=Inputs!$B$6,I366&lt;=Inputs!$B$7),1,0)</f>
        <v>1</v>
      </c>
      <c r="AF366" s="7" t="n">
        <f aca="false">IF(AND(E366="Closed Won",I366&gt;=Inputs!$B$6,I366&lt;=Inputs!$B$4),1,0)</f>
        <v>0</v>
      </c>
      <c r="AG366" s="7" t="n">
        <f aca="false">IF(AND(O366=0,I366&gt;Inputs!$B$4-Inputs!$B$8,I366&lt;=Inputs!$B$4),1,0)</f>
        <v>0</v>
      </c>
      <c r="AH366" s="7" t="n">
        <f aca="false">I366-H366</f>
        <v>123</v>
      </c>
    </row>
    <row r="367" customFormat="false" ht="15" hidden="false" customHeight="false" outlineLevel="0" collapsed="false">
      <c r="A367" s="16" t="s">
        <v>1421</v>
      </c>
      <c r="B367" s="16" t="s">
        <v>69</v>
      </c>
      <c r="C367" s="16" t="s">
        <v>1422</v>
      </c>
      <c r="D367" s="16" t="s">
        <v>162</v>
      </c>
      <c r="E367" s="16" t="s">
        <v>528</v>
      </c>
      <c r="F367" s="26" t="n">
        <v>5672000</v>
      </c>
      <c r="G367" s="25" t="n">
        <v>50</v>
      </c>
      <c r="H367" s="22" t="n">
        <v>46284</v>
      </c>
      <c r="I367" s="22" t="n">
        <v>46457</v>
      </c>
      <c r="J367" s="22" t="n">
        <v>46215</v>
      </c>
      <c r="K367" s="16" t="s">
        <v>604</v>
      </c>
      <c r="L367" s="16" t="s">
        <v>592</v>
      </c>
      <c r="M367" s="16" t="s">
        <v>569</v>
      </c>
      <c r="N367" s="16"/>
      <c r="O367" s="7" t="n">
        <f aca="false">IF(OR(E367="Closed Won",E367="Closed Lost"),0,1)</f>
        <v>1</v>
      </c>
      <c r="P367" s="17" t="str">
        <f aca="false">INDEX(Accounts!$K$5:$K$336,MATCH(B367,Accounts!$A$5:$A$336,0))</f>
        <v>Financial Services</v>
      </c>
      <c r="Q367" s="17" t="str">
        <f aca="false">INDEX(Accounts!$D$5:$D$336,MATCH(B367,Accounts!$A$5:$A$336,0))</f>
        <v>Priority</v>
      </c>
      <c r="R367" s="7" t="n">
        <f aca="false">INDEX(Inputs!$B$11:$B$16,MATCH(E367,Inputs!$A$11:$A$16,0))</f>
        <v>50</v>
      </c>
      <c r="S367" s="27" t="n">
        <f aca="false">IF(F367="",0,F367)*R367/100</f>
        <v>2836000</v>
      </c>
      <c r="T367" s="7" t="n">
        <f aca="false">Inputs!$B$4-J367</f>
        <v>99</v>
      </c>
      <c r="U367" s="7" t="n">
        <f aca="false">IF(OR(F367="",F367=0),1,0)</f>
        <v>0</v>
      </c>
      <c r="V367" s="7" t="n">
        <f aca="false">IF(K367="",1,0)</f>
        <v>0</v>
      </c>
      <c r="W367" s="7" t="n">
        <f aca="false">IF(AND(O367=1,K367&lt;&gt;"",COUNTIFS(Owners!$A$5:$A$32,K367,Owners!$E$5:$E$32,"No")&gt;0),1,0)</f>
        <v>0</v>
      </c>
      <c r="X367" s="7" t="n">
        <f aca="false">IF(AND(O367=1,I367&lt;Inputs!$B$4),1,0)</f>
        <v>0</v>
      </c>
      <c r="Y367" s="7" t="n">
        <f aca="false">IF(AND(O367=1,T367&gt;Inputs!$B$5),1,0)</f>
        <v>1</v>
      </c>
      <c r="Z367" s="7" t="n">
        <f aca="false">IF(AND(O367=1,G367&lt;&gt;R367),1,0)</f>
        <v>0</v>
      </c>
      <c r="AA367" s="7" t="n">
        <f aca="false">IF(AND(O367=1,M367=""),1,0)</f>
        <v>0</v>
      </c>
      <c r="AB367" s="7" t="n">
        <f aca="false">IF(AND(E367="Closed Lost",N367=""),1,0)</f>
        <v>0</v>
      </c>
      <c r="AC367" s="7" t="n">
        <f aca="false">SUM(U367:AB367)</f>
        <v>1</v>
      </c>
      <c r="AD367" s="7" t="n">
        <f aca="false">IF(AC367=0,1,0)</f>
        <v>0</v>
      </c>
      <c r="AE367" s="7" t="n">
        <f aca="false">IF(AND(O367=1,I367&gt;=Inputs!$B$6,I367&lt;=Inputs!$B$7),1,0)</f>
        <v>1</v>
      </c>
      <c r="AF367" s="7" t="n">
        <f aca="false">IF(AND(E367="Closed Won",I367&gt;=Inputs!$B$6,I367&lt;=Inputs!$B$4),1,0)</f>
        <v>0</v>
      </c>
      <c r="AG367" s="7" t="n">
        <f aca="false">IF(AND(O367=0,I367&gt;Inputs!$B$4-Inputs!$B$8,I367&lt;=Inputs!$B$4),1,0)</f>
        <v>0</v>
      </c>
      <c r="AH367" s="7" t="n">
        <f aca="false">I367-H367</f>
        <v>173</v>
      </c>
    </row>
    <row r="368" customFormat="false" ht="15" hidden="false" customHeight="false" outlineLevel="0" collapsed="false">
      <c r="A368" s="16" t="s">
        <v>1423</v>
      </c>
      <c r="B368" s="16" t="s">
        <v>92</v>
      </c>
      <c r="C368" s="16" t="s">
        <v>1424</v>
      </c>
      <c r="D368" s="16" t="s">
        <v>165</v>
      </c>
      <c r="E368" s="16" t="s">
        <v>529</v>
      </c>
      <c r="F368" s="26" t="n">
        <v>50091000</v>
      </c>
      <c r="G368" s="25" t="n">
        <v>75</v>
      </c>
      <c r="H368" s="22" t="n">
        <v>46104</v>
      </c>
      <c r="I368" s="22" t="n">
        <v>46327</v>
      </c>
      <c r="J368" s="22" t="n">
        <v>46286</v>
      </c>
      <c r="K368" s="16" t="s">
        <v>583</v>
      </c>
      <c r="L368" s="16" t="s">
        <v>500</v>
      </c>
      <c r="M368" s="16" t="s">
        <v>601</v>
      </c>
      <c r="N368" s="16"/>
      <c r="O368" s="7" t="n">
        <f aca="false">IF(OR(E368="Closed Won",E368="Closed Lost"),0,1)</f>
        <v>1</v>
      </c>
      <c r="P368" s="17" t="str">
        <f aca="false">INDEX(Accounts!$K$5:$K$336,MATCH(B368,Accounts!$A$5:$A$336,0))</f>
        <v>Public Sector &amp; Development</v>
      </c>
      <c r="Q368" s="17" t="str">
        <f aca="false">INDEX(Accounts!$D$5:$D$336,MATCH(B368,Accounts!$A$5:$A$336,0))</f>
        <v>Priority</v>
      </c>
      <c r="R368" s="7" t="n">
        <f aca="false">INDEX(Inputs!$B$11:$B$16,MATCH(E368,Inputs!$A$11:$A$16,0))</f>
        <v>75</v>
      </c>
      <c r="S368" s="27" t="n">
        <f aca="false">IF(F368="",0,F368)*R368/100</f>
        <v>37568250</v>
      </c>
      <c r="T368" s="7" t="n">
        <f aca="false">Inputs!$B$4-J368</f>
        <v>28</v>
      </c>
      <c r="U368" s="7" t="n">
        <f aca="false">IF(OR(F368="",F368=0),1,0)</f>
        <v>0</v>
      </c>
      <c r="V368" s="7" t="n">
        <f aca="false">IF(K368="",1,0)</f>
        <v>0</v>
      </c>
      <c r="W368" s="7" t="n">
        <f aca="false">IF(AND(O368=1,K368&lt;&gt;"",COUNTIFS(Owners!$A$5:$A$32,K368,Owners!$E$5:$E$32,"No")&gt;0),1,0)</f>
        <v>1</v>
      </c>
      <c r="X368" s="7" t="n">
        <f aca="false">IF(AND(O368=1,I368&lt;Inputs!$B$4),1,0)</f>
        <v>0</v>
      </c>
      <c r="Y368" s="7" t="n">
        <f aca="false">IF(AND(O368=1,T368&gt;Inputs!$B$5),1,0)</f>
        <v>0</v>
      </c>
      <c r="Z368" s="7" t="n">
        <f aca="false">IF(AND(O368=1,G368&lt;&gt;R368),1,0)</f>
        <v>0</v>
      </c>
      <c r="AA368" s="7" t="n">
        <f aca="false">IF(AND(O368=1,M368=""),1,0)</f>
        <v>0</v>
      </c>
      <c r="AB368" s="7" t="n">
        <f aca="false">IF(AND(E368="Closed Lost",N368=""),1,0)</f>
        <v>0</v>
      </c>
      <c r="AC368" s="7" t="n">
        <f aca="false">SUM(U368:AB368)</f>
        <v>1</v>
      </c>
      <c r="AD368" s="7" t="n">
        <f aca="false">IF(AC368=0,1,0)</f>
        <v>0</v>
      </c>
      <c r="AE368" s="7" t="n">
        <f aca="false">IF(AND(O368=1,I368&gt;=Inputs!$B$6,I368&lt;=Inputs!$B$7),1,0)</f>
        <v>1</v>
      </c>
      <c r="AF368" s="7" t="n">
        <f aca="false">IF(AND(E368="Closed Won",I368&gt;=Inputs!$B$6,I368&lt;=Inputs!$B$4),1,0)</f>
        <v>0</v>
      </c>
      <c r="AG368" s="7" t="n">
        <f aca="false">IF(AND(O368=0,I368&gt;Inputs!$B$4-Inputs!$B$8,I368&lt;=Inputs!$B$4),1,0)</f>
        <v>0</v>
      </c>
      <c r="AH368" s="7" t="n">
        <f aca="false">I368-H368</f>
        <v>223</v>
      </c>
    </row>
    <row r="369" customFormat="false" ht="15" hidden="false" customHeight="false" outlineLevel="0" collapsed="false">
      <c r="A369" s="16" t="s">
        <v>1425</v>
      </c>
      <c r="B369" s="16" t="s">
        <v>1426</v>
      </c>
      <c r="C369" s="16" t="s">
        <v>1427</v>
      </c>
      <c r="D369" s="16" t="s">
        <v>165</v>
      </c>
      <c r="E369" s="16" t="s">
        <v>528</v>
      </c>
      <c r="F369" s="26" t="n">
        <v>9792000</v>
      </c>
      <c r="G369" s="25" t="n">
        <v>50</v>
      </c>
      <c r="H369" s="22" t="n">
        <v>46244</v>
      </c>
      <c r="I369" s="22" t="n">
        <v>46434</v>
      </c>
      <c r="J369" s="22" t="n">
        <v>46287</v>
      </c>
      <c r="K369" s="16" t="s">
        <v>654</v>
      </c>
      <c r="L369" s="16" t="s">
        <v>568</v>
      </c>
      <c r="M369" s="16" t="s">
        <v>593</v>
      </c>
      <c r="N369" s="16"/>
      <c r="O369" s="7" t="n">
        <f aca="false">IF(OR(E369="Closed Won",E369="Closed Lost"),0,1)</f>
        <v>1</v>
      </c>
      <c r="P369" s="17" t="str">
        <f aca="false">INDEX(Accounts!$K$5:$K$336,MATCH(B369,Accounts!$A$5:$A$336,0))</f>
        <v>Consumer &amp; Retail</v>
      </c>
      <c r="Q369" s="17" t="str">
        <f aca="false">INDEX(Accounts!$D$5:$D$336,MATCH(B369,Accounts!$A$5:$A$336,0))</f>
        <v>Standard</v>
      </c>
      <c r="R369" s="7" t="n">
        <f aca="false">INDEX(Inputs!$B$11:$B$16,MATCH(E369,Inputs!$A$11:$A$16,0))</f>
        <v>50</v>
      </c>
      <c r="S369" s="27" t="n">
        <f aca="false">IF(F369="",0,F369)*R369/100</f>
        <v>4896000</v>
      </c>
      <c r="T369" s="7" t="n">
        <f aca="false">Inputs!$B$4-J369</f>
        <v>27</v>
      </c>
      <c r="U369" s="7" t="n">
        <f aca="false">IF(OR(F369="",F369=0),1,0)</f>
        <v>0</v>
      </c>
      <c r="V369" s="7" t="n">
        <f aca="false">IF(K369="",1,0)</f>
        <v>0</v>
      </c>
      <c r="W369" s="7" t="n">
        <f aca="false">IF(AND(O369=1,K369&lt;&gt;"",COUNTIFS(Owners!$A$5:$A$32,K369,Owners!$E$5:$E$32,"No")&gt;0),1,0)</f>
        <v>0</v>
      </c>
      <c r="X369" s="7" t="n">
        <f aca="false">IF(AND(O369=1,I369&lt;Inputs!$B$4),1,0)</f>
        <v>0</v>
      </c>
      <c r="Y369" s="7" t="n">
        <f aca="false">IF(AND(O369=1,T369&gt;Inputs!$B$5),1,0)</f>
        <v>0</v>
      </c>
      <c r="Z369" s="7" t="n">
        <f aca="false">IF(AND(O369=1,G369&lt;&gt;R369),1,0)</f>
        <v>0</v>
      </c>
      <c r="AA369" s="7" t="n">
        <f aca="false">IF(AND(O369=1,M369=""),1,0)</f>
        <v>0</v>
      </c>
      <c r="AB369" s="7" t="n">
        <f aca="false">IF(AND(E369="Closed Lost",N369=""),1,0)</f>
        <v>0</v>
      </c>
      <c r="AC369" s="7" t="n">
        <f aca="false">SUM(U369:AB369)</f>
        <v>0</v>
      </c>
      <c r="AD369" s="7" t="n">
        <f aca="false">IF(AC369=0,1,0)</f>
        <v>1</v>
      </c>
      <c r="AE369" s="7" t="n">
        <f aca="false">IF(AND(O369=1,I369&gt;=Inputs!$B$6,I369&lt;=Inputs!$B$7),1,0)</f>
        <v>1</v>
      </c>
      <c r="AF369" s="7" t="n">
        <f aca="false">IF(AND(E369="Closed Won",I369&gt;=Inputs!$B$6,I369&lt;=Inputs!$B$4),1,0)</f>
        <v>0</v>
      </c>
      <c r="AG369" s="7" t="n">
        <f aca="false">IF(AND(O369=0,I369&gt;Inputs!$B$4-Inputs!$B$8,I369&lt;=Inputs!$B$4),1,0)</f>
        <v>0</v>
      </c>
      <c r="AH369" s="7" t="n">
        <f aca="false">I369-H369</f>
        <v>190</v>
      </c>
    </row>
    <row r="370" customFormat="false" ht="15" hidden="false" customHeight="false" outlineLevel="0" collapsed="false">
      <c r="A370" s="16" t="s">
        <v>1428</v>
      </c>
      <c r="B370" s="16" t="s">
        <v>93</v>
      </c>
      <c r="C370" s="16" t="s">
        <v>1429</v>
      </c>
      <c r="D370" s="16" t="s">
        <v>177</v>
      </c>
      <c r="E370" s="16" t="s">
        <v>531</v>
      </c>
      <c r="F370" s="26" t="n">
        <v>6398000</v>
      </c>
      <c r="G370" s="25" t="n">
        <v>0</v>
      </c>
      <c r="H370" s="22" t="n">
        <v>46017</v>
      </c>
      <c r="I370" s="22" t="n">
        <v>46303</v>
      </c>
      <c r="J370" s="22" t="n">
        <v>46303</v>
      </c>
      <c r="K370" s="16"/>
      <c r="L370" s="16" t="s">
        <v>568</v>
      </c>
      <c r="M370" s="16"/>
      <c r="N370" s="16"/>
      <c r="O370" s="7" t="n">
        <f aca="false">IF(OR(E370="Closed Won",E370="Closed Lost"),0,1)</f>
        <v>0</v>
      </c>
      <c r="P370" s="17" t="str">
        <f aca="false">INDEX(Accounts!$K$5:$K$336,MATCH(B370,Accounts!$A$5:$A$336,0))</f>
        <v>Unassigned</v>
      </c>
      <c r="Q370" s="17" t="str">
        <f aca="false">INDEX(Accounts!$D$5:$D$336,MATCH(B370,Accounts!$A$5:$A$336,0))</f>
        <v>Priority</v>
      </c>
      <c r="R370" s="7" t="n">
        <f aca="false">INDEX(Inputs!$B$11:$B$16,MATCH(E370,Inputs!$A$11:$A$16,0))</f>
        <v>0</v>
      </c>
      <c r="S370" s="27" t="n">
        <f aca="false">IF(F370="",0,F370)*R370/100</f>
        <v>0</v>
      </c>
      <c r="T370" s="7" t="n">
        <f aca="false">Inputs!$B$4-J370</f>
        <v>11</v>
      </c>
      <c r="U370" s="7" t="n">
        <f aca="false">IF(OR(F370="",F370=0),1,0)</f>
        <v>0</v>
      </c>
      <c r="V370" s="7" t="n">
        <f aca="false">IF(K370="",1,0)</f>
        <v>1</v>
      </c>
      <c r="W370" s="7" t="n">
        <f aca="false">IF(AND(O370=1,K370&lt;&gt;"",COUNTIFS(Owners!$A$5:$A$32,K370,Owners!$E$5:$E$32,"No")&gt;0),1,0)</f>
        <v>0</v>
      </c>
      <c r="X370" s="7" t="n">
        <f aca="false">IF(AND(O370=1,I370&lt;Inputs!$B$4),1,0)</f>
        <v>0</v>
      </c>
      <c r="Y370" s="7" t="n">
        <f aca="false">IF(AND(O370=1,T370&gt;Inputs!$B$5),1,0)</f>
        <v>0</v>
      </c>
      <c r="Z370" s="7" t="n">
        <f aca="false">IF(AND(O370=1,G370&lt;&gt;R370),1,0)</f>
        <v>0</v>
      </c>
      <c r="AA370" s="7" t="n">
        <f aca="false">IF(AND(O370=1,M370=""),1,0)</f>
        <v>0</v>
      </c>
      <c r="AB370" s="7" t="n">
        <f aca="false">IF(AND(E370="Closed Lost",N370=""),1,0)</f>
        <v>1</v>
      </c>
      <c r="AC370" s="7" t="n">
        <f aca="false">SUM(U370:AB370)</f>
        <v>2</v>
      </c>
      <c r="AD370" s="7" t="n">
        <f aca="false">IF(AC370=0,1,0)</f>
        <v>0</v>
      </c>
      <c r="AE370" s="7" t="n">
        <f aca="false">IF(AND(O370=1,I370&gt;=Inputs!$B$6,I370&lt;=Inputs!$B$7),1,0)</f>
        <v>0</v>
      </c>
      <c r="AF370" s="7" t="n">
        <f aca="false">IF(AND(E370="Closed Won",I370&gt;=Inputs!$B$6,I370&lt;=Inputs!$B$4),1,0)</f>
        <v>0</v>
      </c>
      <c r="AG370" s="7" t="n">
        <f aca="false">IF(AND(O370=0,I370&gt;Inputs!$B$4-Inputs!$B$8,I370&lt;=Inputs!$B$4),1,0)</f>
        <v>1</v>
      </c>
      <c r="AH370" s="7" t="n">
        <f aca="false">I370-H370</f>
        <v>286</v>
      </c>
    </row>
    <row r="371" customFormat="false" ht="15" hidden="false" customHeight="false" outlineLevel="0" collapsed="false">
      <c r="A371" s="16" t="s">
        <v>1430</v>
      </c>
      <c r="B371" s="16" t="s">
        <v>615</v>
      </c>
      <c r="C371" s="16" t="s">
        <v>1431</v>
      </c>
      <c r="D371" s="16" t="s">
        <v>162</v>
      </c>
      <c r="E371" s="16" t="s">
        <v>527</v>
      </c>
      <c r="F371" s="26" t="n">
        <v>869000</v>
      </c>
      <c r="G371" s="25" t="n">
        <v>25</v>
      </c>
      <c r="H371" s="22" t="n">
        <v>46214</v>
      </c>
      <c r="I371" s="22" t="n">
        <v>46353</v>
      </c>
      <c r="J371" s="22" t="n">
        <v>46285</v>
      </c>
      <c r="K371" s="16" t="s">
        <v>880</v>
      </c>
      <c r="L371" s="16" t="s">
        <v>584</v>
      </c>
      <c r="M371" s="16" t="s">
        <v>593</v>
      </c>
      <c r="N371" s="16"/>
      <c r="O371" s="7" t="n">
        <f aca="false">IF(OR(E371="Closed Won",E371="Closed Lost"),0,1)</f>
        <v>1</v>
      </c>
      <c r="P371" s="17" t="str">
        <f aca="false">INDEX(Accounts!$K$5:$K$336,MATCH(B371,Accounts!$A$5:$A$336,0))</f>
        <v>Energy &amp; Resources</v>
      </c>
      <c r="Q371" s="17" t="str">
        <f aca="false">INDEX(Accounts!$D$5:$D$336,MATCH(B371,Accounts!$A$5:$A$336,0))</f>
        <v>Standard</v>
      </c>
      <c r="R371" s="7" t="n">
        <f aca="false">INDEX(Inputs!$B$11:$B$16,MATCH(E371,Inputs!$A$11:$A$16,0))</f>
        <v>25</v>
      </c>
      <c r="S371" s="27" t="n">
        <f aca="false">IF(F371="",0,F371)*R371/100</f>
        <v>217250</v>
      </c>
      <c r="T371" s="7" t="n">
        <f aca="false">Inputs!$B$4-J371</f>
        <v>29</v>
      </c>
      <c r="U371" s="7" t="n">
        <f aca="false">IF(OR(F371="",F371=0),1,0)</f>
        <v>0</v>
      </c>
      <c r="V371" s="7" t="n">
        <f aca="false">IF(K371="",1,0)</f>
        <v>0</v>
      </c>
      <c r="W371" s="7" t="n">
        <f aca="false">IF(AND(O371=1,K371&lt;&gt;"",COUNTIFS(Owners!$A$5:$A$32,K371,Owners!$E$5:$E$32,"No")&gt;0),1,0)</f>
        <v>1</v>
      </c>
      <c r="X371" s="7" t="n">
        <f aca="false">IF(AND(O371=1,I371&lt;Inputs!$B$4),1,0)</f>
        <v>0</v>
      </c>
      <c r="Y371" s="7" t="n">
        <f aca="false">IF(AND(O371=1,T371&gt;Inputs!$B$5),1,0)</f>
        <v>0</v>
      </c>
      <c r="Z371" s="7" t="n">
        <f aca="false">IF(AND(O371=1,G371&lt;&gt;R371),1,0)</f>
        <v>0</v>
      </c>
      <c r="AA371" s="7" t="n">
        <f aca="false">IF(AND(O371=1,M371=""),1,0)</f>
        <v>0</v>
      </c>
      <c r="AB371" s="7" t="n">
        <f aca="false">IF(AND(E371="Closed Lost",N371=""),1,0)</f>
        <v>0</v>
      </c>
      <c r="AC371" s="7" t="n">
        <f aca="false">SUM(U371:AB371)</f>
        <v>1</v>
      </c>
      <c r="AD371" s="7" t="n">
        <f aca="false">IF(AC371=0,1,0)</f>
        <v>0</v>
      </c>
      <c r="AE371" s="7" t="n">
        <f aca="false">IF(AND(O371=1,I371&gt;=Inputs!$B$6,I371&lt;=Inputs!$B$7),1,0)</f>
        <v>1</v>
      </c>
      <c r="AF371" s="7" t="n">
        <f aca="false">IF(AND(E371="Closed Won",I371&gt;=Inputs!$B$6,I371&lt;=Inputs!$B$4),1,0)</f>
        <v>0</v>
      </c>
      <c r="AG371" s="7" t="n">
        <f aca="false">IF(AND(O371=0,I371&gt;Inputs!$B$4-Inputs!$B$8,I371&lt;=Inputs!$B$4),1,0)</f>
        <v>0</v>
      </c>
      <c r="AH371" s="7" t="n">
        <f aca="false">I371-H371</f>
        <v>139</v>
      </c>
    </row>
    <row r="372" customFormat="false" ht="15" hidden="false" customHeight="false" outlineLevel="0" collapsed="false">
      <c r="A372" s="16" t="s">
        <v>1432</v>
      </c>
      <c r="B372" s="16" t="s">
        <v>365</v>
      </c>
      <c r="C372" s="16" t="s">
        <v>1433</v>
      </c>
      <c r="D372" s="16" t="s">
        <v>162</v>
      </c>
      <c r="E372" s="16" t="s">
        <v>528</v>
      </c>
      <c r="F372" s="26" t="n">
        <v>26228000</v>
      </c>
      <c r="G372" s="25" t="n">
        <v>50</v>
      </c>
      <c r="H372" s="22" t="n">
        <v>46203</v>
      </c>
      <c r="I372" s="22" t="n">
        <v>46512</v>
      </c>
      <c r="J372" s="22" t="n">
        <v>46287</v>
      </c>
      <c r="K372" s="16" t="s">
        <v>666</v>
      </c>
      <c r="L372" s="16" t="s">
        <v>609</v>
      </c>
      <c r="M372" s="16" t="s">
        <v>575</v>
      </c>
      <c r="N372" s="16"/>
      <c r="O372" s="7" t="n">
        <f aca="false">IF(OR(E372="Closed Won",E372="Closed Lost"),0,1)</f>
        <v>1</v>
      </c>
      <c r="P372" s="17" t="str">
        <f aca="false">INDEX(Accounts!$K$5:$K$336,MATCH(B372,Accounts!$A$5:$A$336,0))</f>
        <v>Energy &amp; Resources</v>
      </c>
      <c r="Q372" s="17" t="str">
        <f aca="false">INDEX(Accounts!$D$5:$D$336,MATCH(B372,Accounts!$A$5:$A$336,0))</f>
        <v>Key</v>
      </c>
      <c r="R372" s="7" t="n">
        <f aca="false">INDEX(Inputs!$B$11:$B$16,MATCH(E372,Inputs!$A$11:$A$16,0))</f>
        <v>50</v>
      </c>
      <c r="S372" s="27" t="n">
        <f aca="false">IF(F372="",0,F372)*R372/100</f>
        <v>13114000</v>
      </c>
      <c r="T372" s="7" t="n">
        <f aca="false">Inputs!$B$4-J372</f>
        <v>27</v>
      </c>
      <c r="U372" s="7" t="n">
        <f aca="false">IF(OR(F372="",F372=0),1,0)</f>
        <v>0</v>
      </c>
      <c r="V372" s="7" t="n">
        <f aca="false">IF(K372="",1,0)</f>
        <v>0</v>
      </c>
      <c r="W372" s="7" t="n">
        <f aca="false">IF(AND(O372=1,K372&lt;&gt;"",COUNTIFS(Owners!$A$5:$A$32,K372,Owners!$E$5:$E$32,"No")&gt;0),1,0)</f>
        <v>0</v>
      </c>
      <c r="X372" s="7" t="n">
        <f aca="false">IF(AND(O372=1,I372&lt;Inputs!$B$4),1,0)</f>
        <v>0</v>
      </c>
      <c r="Y372" s="7" t="n">
        <f aca="false">IF(AND(O372=1,T372&gt;Inputs!$B$5),1,0)</f>
        <v>0</v>
      </c>
      <c r="Z372" s="7" t="n">
        <f aca="false">IF(AND(O372=1,G372&lt;&gt;R372),1,0)</f>
        <v>0</v>
      </c>
      <c r="AA372" s="7" t="n">
        <f aca="false">IF(AND(O372=1,M372=""),1,0)</f>
        <v>0</v>
      </c>
      <c r="AB372" s="7" t="n">
        <f aca="false">IF(AND(E372="Closed Lost",N372=""),1,0)</f>
        <v>0</v>
      </c>
      <c r="AC372" s="7" t="n">
        <f aca="false">SUM(U372:AB372)</f>
        <v>0</v>
      </c>
      <c r="AD372" s="7" t="n">
        <f aca="false">IF(AC372=0,1,0)</f>
        <v>1</v>
      </c>
      <c r="AE372" s="7" t="n">
        <f aca="false">IF(AND(O372=1,I372&gt;=Inputs!$B$6,I372&lt;=Inputs!$B$7),1,0)</f>
        <v>1</v>
      </c>
      <c r="AF372" s="7" t="n">
        <f aca="false">IF(AND(E372="Closed Won",I372&gt;=Inputs!$B$6,I372&lt;=Inputs!$B$4),1,0)</f>
        <v>0</v>
      </c>
      <c r="AG372" s="7" t="n">
        <f aca="false">IF(AND(O372=0,I372&gt;Inputs!$B$4-Inputs!$B$8,I372&lt;=Inputs!$B$4),1,0)</f>
        <v>0</v>
      </c>
      <c r="AH372" s="7" t="n">
        <f aca="false">I372-H372</f>
        <v>309</v>
      </c>
    </row>
    <row r="373" customFormat="false" ht="15" hidden="false" customHeight="false" outlineLevel="0" collapsed="false">
      <c r="A373" s="16" t="s">
        <v>1434</v>
      </c>
      <c r="B373" s="16" t="s">
        <v>68</v>
      </c>
      <c r="C373" s="16" t="s">
        <v>1435</v>
      </c>
      <c r="D373" s="16" t="s">
        <v>167</v>
      </c>
      <c r="E373" s="16" t="s">
        <v>528</v>
      </c>
      <c r="F373" s="26" t="n">
        <v>9666000</v>
      </c>
      <c r="G373" s="25" t="n">
        <v>50</v>
      </c>
      <c r="H373" s="22" t="n">
        <v>46293</v>
      </c>
      <c r="I373" s="22" t="n">
        <v>46344</v>
      </c>
      <c r="J373" s="22" t="n">
        <v>46280</v>
      </c>
      <c r="K373" s="16" t="s">
        <v>704</v>
      </c>
      <c r="L373" s="16" t="s">
        <v>574</v>
      </c>
      <c r="M373" s="16" t="s">
        <v>575</v>
      </c>
      <c r="N373" s="16"/>
      <c r="O373" s="7" t="n">
        <f aca="false">IF(OR(E373="Closed Won",E373="Closed Lost"),0,1)</f>
        <v>1</v>
      </c>
      <c r="P373" s="17" t="str">
        <f aca="false">INDEX(Accounts!$K$5:$K$336,MATCH(B373,Accounts!$A$5:$A$336,0))</f>
        <v>Financial Services</v>
      </c>
      <c r="Q373" s="17" t="str">
        <f aca="false">INDEX(Accounts!$D$5:$D$336,MATCH(B373,Accounts!$A$5:$A$336,0))</f>
        <v>Priority</v>
      </c>
      <c r="R373" s="7" t="n">
        <f aca="false">INDEX(Inputs!$B$11:$B$16,MATCH(E373,Inputs!$A$11:$A$16,0))</f>
        <v>50</v>
      </c>
      <c r="S373" s="27" t="n">
        <f aca="false">IF(F373="",0,F373)*R373/100</f>
        <v>4833000</v>
      </c>
      <c r="T373" s="7" t="n">
        <f aca="false">Inputs!$B$4-J373</f>
        <v>34</v>
      </c>
      <c r="U373" s="7" t="n">
        <f aca="false">IF(OR(F373="",F373=0),1,0)</f>
        <v>0</v>
      </c>
      <c r="V373" s="7" t="n">
        <f aca="false">IF(K373="",1,0)</f>
        <v>0</v>
      </c>
      <c r="W373" s="7" t="n">
        <f aca="false">IF(AND(O373=1,K373&lt;&gt;"",COUNTIFS(Owners!$A$5:$A$32,K373,Owners!$E$5:$E$32,"No")&gt;0),1,0)</f>
        <v>0</v>
      </c>
      <c r="X373" s="7" t="n">
        <f aca="false">IF(AND(O373=1,I373&lt;Inputs!$B$4),1,0)</f>
        <v>0</v>
      </c>
      <c r="Y373" s="7" t="n">
        <f aca="false">IF(AND(O373=1,T373&gt;Inputs!$B$5),1,0)</f>
        <v>0</v>
      </c>
      <c r="Z373" s="7" t="n">
        <f aca="false">IF(AND(O373=1,G373&lt;&gt;R373),1,0)</f>
        <v>0</v>
      </c>
      <c r="AA373" s="7" t="n">
        <f aca="false">IF(AND(O373=1,M373=""),1,0)</f>
        <v>0</v>
      </c>
      <c r="AB373" s="7" t="n">
        <f aca="false">IF(AND(E373="Closed Lost",N373=""),1,0)</f>
        <v>0</v>
      </c>
      <c r="AC373" s="7" t="n">
        <f aca="false">SUM(U373:AB373)</f>
        <v>0</v>
      </c>
      <c r="AD373" s="7" t="n">
        <f aca="false">IF(AC373=0,1,0)</f>
        <v>1</v>
      </c>
      <c r="AE373" s="7" t="n">
        <f aca="false">IF(AND(O373=1,I373&gt;=Inputs!$B$6,I373&lt;=Inputs!$B$7),1,0)</f>
        <v>1</v>
      </c>
      <c r="AF373" s="7" t="n">
        <f aca="false">IF(AND(E373="Closed Won",I373&gt;=Inputs!$B$6,I373&lt;=Inputs!$B$4),1,0)</f>
        <v>0</v>
      </c>
      <c r="AG373" s="7" t="n">
        <f aca="false">IF(AND(O373=0,I373&gt;Inputs!$B$4-Inputs!$B$8,I373&lt;=Inputs!$B$4),1,0)</f>
        <v>0</v>
      </c>
      <c r="AH373" s="7" t="n">
        <f aca="false">I373-H373</f>
        <v>51</v>
      </c>
    </row>
    <row r="374" customFormat="false" ht="15" hidden="false" customHeight="false" outlineLevel="0" collapsed="false">
      <c r="A374" s="16" t="s">
        <v>1436</v>
      </c>
      <c r="B374" s="16" t="s">
        <v>77</v>
      </c>
      <c r="C374" s="16" t="s">
        <v>1437</v>
      </c>
      <c r="D374" s="16" t="s">
        <v>165</v>
      </c>
      <c r="E374" s="16" t="s">
        <v>530</v>
      </c>
      <c r="F374" s="26" t="n">
        <v>8530000</v>
      </c>
      <c r="G374" s="25" t="n">
        <v>100</v>
      </c>
      <c r="H374" s="22" t="n">
        <v>46121</v>
      </c>
      <c r="I374" s="22" t="n">
        <v>46272</v>
      </c>
      <c r="J374" s="22" t="n">
        <v>46272</v>
      </c>
      <c r="K374" s="16" t="s">
        <v>633</v>
      </c>
      <c r="L374" s="16" t="s">
        <v>584</v>
      </c>
      <c r="M374" s="16"/>
      <c r="N374" s="16"/>
      <c r="O374" s="7" t="n">
        <f aca="false">IF(OR(E374="Closed Won",E374="Closed Lost"),0,1)</f>
        <v>0</v>
      </c>
      <c r="P374" s="17" t="str">
        <f aca="false">INDEX(Accounts!$K$5:$K$336,MATCH(B374,Accounts!$A$5:$A$336,0))</f>
        <v>Financial Services</v>
      </c>
      <c r="Q374" s="17" t="str">
        <f aca="false">INDEX(Accounts!$D$5:$D$336,MATCH(B374,Accounts!$A$5:$A$336,0))</f>
        <v>Priority</v>
      </c>
      <c r="R374" s="7" t="n">
        <f aca="false">INDEX(Inputs!$B$11:$B$16,MATCH(E374,Inputs!$A$11:$A$16,0))</f>
        <v>100</v>
      </c>
      <c r="S374" s="27" t="n">
        <f aca="false">IF(F374="",0,F374)*R374/100</f>
        <v>8530000</v>
      </c>
      <c r="T374" s="7" t="n">
        <f aca="false">Inputs!$B$4-J374</f>
        <v>42</v>
      </c>
      <c r="U374" s="7" t="n">
        <f aca="false">IF(OR(F374="",F374=0),1,0)</f>
        <v>0</v>
      </c>
      <c r="V374" s="7" t="n">
        <f aca="false">IF(K374="",1,0)</f>
        <v>0</v>
      </c>
      <c r="W374" s="7" t="n">
        <f aca="false">IF(AND(O374=1,K374&lt;&gt;"",COUNTIFS(Owners!$A$5:$A$32,K374,Owners!$E$5:$E$32,"No")&gt;0),1,0)</f>
        <v>0</v>
      </c>
      <c r="X374" s="7" t="n">
        <f aca="false">IF(AND(O374=1,I374&lt;Inputs!$B$4),1,0)</f>
        <v>0</v>
      </c>
      <c r="Y374" s="7" t="n">
        <f aca="false">IF(AND(O374=1,T374&gt;Inputs!$B$5),1,0)</f>
        <v>0</v>
      </c>
      <c r="Z374" s="7" t="n">
        <f aca="false">IF(AND(O374=1,G374&lt;&gt;R374),1,0)</f>
        <v>0</v>
      </c>
      <c r="AA374" s="7" t="n">
        <f aca="false">IF(AND(O374=1,M374=""),1,0)</f>
        <v>0</v>
      </c>
      <c r="AB374" s="7" t="n">
        <f aca="false">IF(AND(E374="Closed Lost",N374=""),1,0)</f>
        <v>0</v>
      </c>
      <c r="AC374" s="7" t="n">
        <f aca="false">SUM(U374:AB374)</f>
        <v>0</v>
      </c>
      <c r="AD374" s="7" t="n">
        <f aca="false">IF(AC374=0,1,0)</f>
        <v>1</v>
      </c>
      <c r="AE374" s="7" t="n">
        <f aca="false">IF(AND(O374=1,I374&gt;=Inputs!$B$6,I374&lt;=Inputs!$B$7),1,0)</f>
        <v>0</v>
      </c>
      <c r="AF374" s="7" t="n">
        <f aca="false">IF(AND(E374="Closed Won",I374&gt;=Inputs!$B$6,I374&lt;=Inputs!$B$4),1,0)</f>
        <v>1</v>
      </c>
      <c r="AG374" s="7" t="n">
        <f aca="false">IF(AND(O374=0,I374&gt;Inputs!$B$4-Inputs!$B$8,I374&lt;=Inputs!$B$4),1,0)</f>
        <v>1</v>
      </c>
      <c r="AH374" s="7" t="n">
        <f aca="false">I374-H374</f>
        <v>151</v>
      </c>
    </row>
    <row r="375" customFormat="false" ht="15" hidden="false" customHeight="false" outlineLevel="0" collapsed="false">
      <c r="A375" s="16" t="s">
        <v>1438</v>
      </c>
      <c r="B375" s="16" t="s">
        <v>88</v>
      </c>
      <c r="C375" s="16" t="s">
        <v>751</v>
      </c>
      <c r="D375" s="16" t="s">
        <v>165</v>
      </c>
      <c r="E375" s="16" t="s">
        <v>526</v>
      </c>
      <c r="F375" s="26" t="n">
        <v>23983000</v>
      </c>
      <c r="G375" s="25" t="n">
        <v>10</v>
      </c>
      <c r="H375" s="22" t="n">
        <v>46176</v>
      </c>
      <c r="I375" s="22" t="n">
        <v>46332</v>
      </c>
      <c r="J375" s="22" t="n">
        <v>46290</v>
      </c>
      <c r="K375" s="16" t="s">
        <v>831</v>
      </c>
      <c r="L375" s="16" t="s">
        <v>592</v>
      </c>
      <c r="M375" s="16" t="s">
        <v>575</v>
      </c>
      <c r="N375" s="16"/>
      <c r="O375" s="7" t="n">
        <f aca="false">IF(OR(E375="Closed Won",E375="Closed Lost"),0,1)</f>
        <v>1</v>
      </c>
      <c r="P375" s="17" t="str">
        <f aca="false">INDEX(Accounts!$K$5:$K$336,MATCH(B375,Accounts!$A$5:$A$336,0))</f>
        <v>Agribusiness</v>
      </c>
      <c r="Q375" s="17" t="str">
        <f aca="false">INDEX(Accounts!$D$5:$D$336,MATCH(B375,Accounts!$A$5:$A$336,0))</f>
        <v>Priority</v>
      </c>
      <c r="R375" s="7" t="n">
        <f aca="false">INDEX(Inputs!$B$11:$B$16,MATCH(E375,Inputs!$A$11:$A$16,0))</f>
        <v>10</v>
      </c>
      <c r="S375" s="27" t="n">
        <f aca="false">IF(F375="",0,F375)*R375/100</f>
        <v>2398300</v>
      </c>
      <c r="T375" s="7" t="n">
        <f aca="false">Inputs!$B$4-J375</f>
        <v>24</v>
      </c>
      <c r="U375" s="7" t="n">
        <f aca="false">IF(OR(F375="",F375=0),1,0)</f>
        <v>0</v>
      </c>
      <c r="V375" s="7" t="n">
        <f aca="false">IF(K375="",1,0)</f>
        <v>0</v>
      </c>
      <c r="W375" s="7" t="n">
        <f aca="false">IF(AND(O375=1,K375&lt;&gt;"",COUNTIFS(Owners!$A$5:$A$32,K375,Owners!$E$5:$E$32,"No")&gt;0),1,0)</f>
        <v>0</v>
      </c>
      <c r="X375" s="7" t="n">
        <f aca="false">IF(AND(O375=1,I375&lt;Inputs!$B$4),1,0)</f>
        <v>0</v>
      </c>
      <c r="Y375" s="7" t="n">
        <f aca="false">IF(AND(O375=1,T375&gt;Inputs!$B$5),1,0)</f>
        <v>0</v>
      </c>
      <c r="Z375" s="7" t="n">
        <f aca="false">IF(AND(O375=1,G375&lt;&gt;R375),1,0)</f>
        <v>0</v>
      </c>
      <c r="AA375" s="7" t="n">
        <f aca="false">IF(AND(O375=1,M375=""),1,0)</f>
        <v>0</v>
      </c>
      <c r="AB375" s="7" t="n">
        <f aca="false">IF(AND(E375="Closed Lost",N375=""),1,0)</f>
        <v>0</v>
      </c>
      <c r="AC375" s="7" t="n">
        <f aca="false">SUM(U375:AB375)</f>
        <v>0</v>
      </c>
      <c r="AD375" s="7" t="n">
        <f aca="false">IF(AC375=0,1,0)</f>
        <v>1</v>
      </c>
      <c r="AE375" s="7" t="n">
        <f aca="false">IF(AND(O375=1,I375&gt;=Inputs!$B$6,I375&lt;=Inputs!$B$7),1,0)</f>
        <v>1</v>
      </c>
      <c r="AF375" s="7" t="n">
        <f aca="false">IF(AND(E375="Closed Won",I375&gt;=Inputs!$B$6,I375&lt;=Inputs!$B$4),1,0)</f>
        <v>0</v>
      </c>
      <c r="AG375" s="7" t="n">
        <f aca="false">IF(AND(O375=0,I375&gt;Inputs!$B$4-Inputs!$B$8,I375&lt;=Inputs!$B$4),1,0)</f>
        <v>0</v>
      </c>
      <c r="AH375" s="7" t="n">
        <f aca="false">I375-H375</f>
        <v>156</v>
      </c>
    </row>
    <row r="376" customFormat="false" ht="15" hidden="false" customHeight="false" outlineLevel="0" collapsed="false">
      <c r="A376" s="16" t="s">
        <v>1439</v>
      </c>
      <c r="B376" s="16" t="s">
        <v>79</v>
      </c>
      <c r="C376" s="16" t="s">
        <v>1440</v>
      </c>
      <c r="D376" s="16" t="s">
        <v>158</v>
      </c>
      <c r="E376" s="16" t="s">
        <v>529</v>
      </c>
      <c r="F376" s="26" t="n">
        <v>31069000</v>
      </c>
      <c r="G376" s="25" t="n">
        <v>75</v>
      </c>
      <c r="H376" s="22" t="n">
        <v>46069</v>
      </c>
      <c r="I376" s="22" t="n">
        <v>46486</v>
      </c>
      <c r="J376" s="22" t="n">
        <v>46300</v>
      </c>
      <c r="K376" s="16" t="s">
        <v>654</v>
      </c>
      <c r="L376" s="16" t="s">
        <v>568</v>
      </c>
      <c r="M376" s="16" t="s">
        <v>575</v>
      </c>
      <c r="N376" s="16"/>
      <c r="O376" s="7" t="n">
        <f aca="false">IF(OR(E376="Closed Won",E376="Closed Lost"),0,1)</f>
        <v>1</v>
      </c>
      <c r="P376" s="17" t="str">
        <f aca="false">INDEX(Accounts!$K$5:$K$336,MATCH(B376,Accounts!$A$5:$A$336,0))</f>
        <v>Energy &amp; Resources</v>
      </c>
      <c r="Q376" s="17" t="str">
        <f aca="false">INDEX(Accounts!$D$5:$D$336,MATCH(B376,Accounts!$A$5:$A$336,0))</f>
        <v>Priority</v>
      </c>
      <c r="R376" s="7" t="n">
        <f aca="false">INDEX(Inputs!$B$11:$B$16,MATCH(E376,Inputs!$A$11:$A$16,0))</f>
        <v>75</v>
      </c>
      <c r="S376" s="27" t="n">
        <f aca="false">IF(F376="",0,F376)*R376/100</f>
        <v>23301750</v>
      </c>
      <c r="T376" s="7" t="n">
        <f aca="false">Inputs!$B$4-J376</f>
        <v>14</v>
      </c>
      <c r="U376" s="7" t="n">
        <f aca="false">IF(OR(F376="",F376=0),1,0)</f>
        <v>0</v>
      </c>
      <c r="V376" s="7" t="n">
        <f aca="false">IF(K376="",1,0)</f>
        <v>0</v>
      </c>
      <c r="W376" s="7" t="n">
        <f aca="false">IF(AND(O376=1,K376&lt;&gt;"",COUNTIFS(Owners!$A$5:$A$32,K376,Owners!$E$5:$E$32,"No")&gt;0),1,0)</f>
        <v>0</v>
      </c>
      <c r="X376" s="7" t="n">
        <f aca="false">IF(AND(O376=1,I376&lt;Inputs!$B$4),1,0)</f>
        <v>0</v>
      </c>
      <c r="Y376" s="7" t="n">
        <f aca="false">IF(AND(O376=1,T376&gt;Inputs!$B$5),1,0)</f>
        <v>0</v>
      </c>
      <c r="Z376" s="7" t="n">
        <f aca="false">IF(AND(O376=1,G376&lt;&gt;R376),1,0)</f>
        <v>0</v>
      </c>
      <c r="AA376" s="7" t="n">
        <f aca="false">IF(AND(O376=1,M376=""),1,0)</f>
        <v>0</v>
      </c>
      <c r="AB376" s="7" t="n">
        <f aca="false">IF(AND(E376="Closed Lost",N376=""),1,0)</f>
        <v>0</v>
      </c>
      <c r="AC376" s="7" t="n">
        <f aca="false">SUM(U376:AB376)</f>
        <v>0</v>
      </c>
      <c r="AD376" s="7" t="n">
        <f aca="false">IF(AC376=0,1,0)</f>
        <v>1</v>
      </c>
      <c r="AE376" s="7" t="n">
        <f aca="false">IF(AND(O376=1,I376&gt;=Inputs!$B$6,I376&lt;=Inputs!$B$7),1,0)</f>
        <v>1</v>
      </c>
      <c r="AF376" s="7" t="n">
        <f aca="false">IF(AND(E376="Closed Won",I376&gt;=Inputs!$B$6,I376&lt;=Inputs!$B$4),1,0)</f>
        <v>0</v>
      </c>
      <c r="AG376" s="7" t="n">
        <f aca="false">IF(AND(O376=0,I376&gt;Inputs!$B$4-Inputs!$B$8,I376&lt;=Inputs!$B$4),1,0)</f>
        <v>0</v>
      </c>
      <c r="AH376" s="7" t="n">
        <f aca="false">I376-H376</f>
        <v>417</v>
      </c>
    </row>
    <row r="377" customFormat="false" ht="15" hidden="false" customHeight="false" outlineLevel="0" collapsed="false">
      <c r="A377" s="16" t="s">
        <v>1441</v>
      </c>
      <c r="B377" s="16" t="s">
        <v>260</v>
      </c>
      <c r="C377" s="16" t="s">
        <v>1442</v>
      </c>
      <c r="D377" s="16" t="s">
        <v>165</v>
      </c>
      <c r="E377" s="16" t="s">
        <v>530</v>
      </c>
      <c r="F377" s="26" t="n">
        <v>9637000</v>
      </c>
      <c r="G377" s="25" t="n">
        <v>100</v>
      </c>
      <c r="H377" s="22" t="n">
        <v>45934</v>
      </c>
      <c r="I377" s="22" t="n">
        <v>46174</v>
      </c>
      <c r="J377" s="22" t="n">
        <v>46174</v>
      </c>
      <c r="K377" s="16" t="s">
        <v>691</v>
      </c>
      <c r="L377" s="16" t="s">
        <v>568</v>
      </c>
      <c r="M377" s="16"/>
      <c r="N377" s="16"/>
      <c r="O377" s="7" t="n">
        <f aca="false">IF(OR(E377="Closed Won",E377="Closed Lost"),0,1)</f>
        <v>0</v>
      </c>
      <c r="P377" s="17" t="str">
        <f aca="false">INDEX(Accounts!$K$5:$K$336,MATCH(B377,Accounts!$A$5:$A$336,0))</f>
        <v>Health</v>
      </c>
      <c r="Q377" s="17" t="str">
        <f aca="false">INDEX(Accounts!$D$5:$D$336,MATCH(B377,Accounts!$A$5:$A$336,0))</f>
        <v>Standard</v>
      </c>
      <c r="R377" s="7" t="n">
        <f aca="false">INDEX(Inputs!$B$11:$B$16,MATCH(E377,Inputs!$A$11:$A$16,0))</f>
        <v>100</v>
      </c>
      <c r="S377" s="27" t="n">
        <f aca="false">IF(F377="",0,F377)*R377/100</f>
        <v>9637000</v>
      </c>
      <c r="T377" s="7" t="n">
        <f aca="false">Inputs!$B$4-J377</f>
        <v>140</v>
      </c>
      <c r="U377" s="7" t="n">
        <f aca="false">IF(OR(F377="",F377=0),1,0)</f>
        <v>0</v>
      </c>
      <c r="V377" s="7" t="n">
        <f aca="false">IF(K377="",1,0)</f>
        <v>0</v>
      </c>
      <c r="W377" s="7" t="n">
        <f aca="false">IF(AND(O377=1,K377&lt;&gt;"",COUNTIFS(Owners!$A$5:$A$32,K377,Owners!$E$5:$E$32,"No")&gt;0),1,0)</f>
        <v>0</v>
      </c>
      <c r="X377" s="7" t="n">
        <f aca="false">IF(AND(O377=1,I377&lt;Inputs!$B$4),1,0)</f>
        <v>0</v>
      </c>
      <c r="Y377" s="7" t="n">
        <f aca="false">IF(AND(O377=1,T377&gt;Inputs!$B$5),1,0)</f>
        <v>0</v>
      </c>
      <c r="Z377" s="7" t="n">
        <f aca="false">IF(AND(O377=1,G377&lt;&gt;R377),1,0)</f>
        <v>0</v>
      </c>
      <c r="AA377" s="7" t="n">
        <f aca="false">IF(AND(O377=1,M377=""),1,0)</f>
        <v>0</v>
      </c>
      <c r="AB377" s="7" t="n">
        <f aca="false">IF(AND(E377="Closed Lost",N377=""),1,0)</f>
        <v>0</v>
      </c>
      <c r="AC377" s="7" t="n">
        <f aca="false">SUM(U377:AB377)</f>
        <v>0</v>
      </c>
      <c r="AD377" s="7" t="n">
        <f aca="false">IF(AC377=0,1,0)</f>
        <v>1</v>
      </c>
      <c r="AE377" s="7" t="n">
        <f aca="false">IF(AND(O377=1,I377&gt;=Inputs!$B$6,I377&lt;=Inputs!$B$7),1,0)</f>
        <v>0</v>
      </c>
      <c r="AF377" s="7" t="n">
        <f aca="false">IF(AND(E377="Closed Won",I377&gt;=Inputs!$B$6,I377&lt;=Inputs!$B$4),1,0)</f>
        <v>0</v>
      </c>
      <c r="AG377" s="7" t="n">
        <f aca="false">IF(AND(O377=0,I377&gt;Inputs!$B$4-Inputs!$B$8,I377&lt;=Inputs!$B$4),1,0)</f>
        <v>1</v>
      </c>
      <c r="AH377" s="7" t="n">
        <f aca="false">I377-H377</f>
        <v>240</v>
      </c>
    </row>
    <row r="378" customFormat="false" ht="15" hidden="false" customHeight="false" outlineLevel="0" collapsed="false">
      <c r="A378" s="16" t="s">
        <v>1443</v>
      </c>
      <c r="B378" s="16" t="s">
        <v>91</v>
      </c>
      <c r="C378" s="16" t="s">
        <v>1444</v>
      </c>
      <c r="D378" s="16" t="s">
        <v>167</v>
      </c>
      <c r="E378" s="16" t="s">
        <v>530</v>
      </c>
      <c r="F378" s="26" t="n">
        <v>8692000</v>
      </c>
      <c r="G378" s="25" t="n">
        <v>100</v>
      </c>
      <c r="H378" s="22" t="n">
        <v>46055</v>
      </c>
      <c r="I378" s="22" t="n">
        <v>46175</v>
      </c>
      <c r="J378" s="22" t="n">
        <v>46175</v>
      </c>
      <c r="K378" s="16" t="s">
        <v>633</v>
      </c>
      <c r="L378" s="16" t="s">
        <v>584</v>
      </c>
      <c r="M378" s="16"/>
      <c r="N378" s="16"/>
      <c r="O378" s="7" t="n">
        <f aca="false">IF(OR(E378="Closed Won",E378="Closed Lost"),0,1)</f>
        <v>0</v>
      </c>
      <c r="P378" s="17" t="str">
        <f aca="false">INDEX(Accounts!$K$5:$K$336,MATCH(B378,Accounts!$A$5:$A$336,0))</f>
        <v>Technology, Media &amp; Telecom</v>
      </c>
      <c r="Q378" s="17" t="str">
        <f aca="false">INDEX(Accounts!$D$5:$D$336,MATCH(B378,Accounts!$A$5:$A$336,0))</f>
        <v>Priority</v>
      </c>
      <c r="R378" s="7" t="n">
        <f aca="false">INDEX(Inputs!$B$11:$B$16,MATCH(E378,Inputs!$A$11:$A$16,0))</f>
        <v>100</v>
      </c>
      <c r="S378" s="27" t="n">
        <f aca="false">IF(F378="",0,F378)*R378/100</f>
        <v>8692000</v>
      </c>
      <c r="T378" s="7" t="n">
        <f aca="false">Inputs!$B$4-J378</f>
        <v>139</v>
      </c>
      <c r="U378" s="7" t="n">
        <f aca="false">IF(OR(F378="",F378=0),1,0)</f>
        <v>0</v>
      </c>
      <c r="V378" s="7" t="n">
        <f aca="false">IF(K378="",1,0)</f>
        <v>0</v>
      </c>
      <c r="W378" s="7" t="n">
        <f aca="false">IF(AND(O378=1,K378&lt;&gt;"",COUNTIFS(Owners!$A$5:$A$32,K378,Owners!$E$5:$E$32,"No")&gt;0),1,0)</f>
        <v>0</v>
      </c>
      <c r="X378" s="7" t="n">
        <f aca="false">IF(AND(O378=1,I378&lt;Inputs!$B$4),1,0)</f>
        <v>0</v>
      </c>
      <c r="Y378" s="7" t="n">
        <f aca="false">IF(AND(O378=1,T378&gt;Inputs!$B$5),1,0)</f>
        <v>0</v>
      </c>
      <c r="Z378" s="7" t="n">
        <f aca="false">IF(AND(O378=1,G378&lt;&gt;R378),1,0)</f>
        <v>0</v>
      </c>
      <c r="AA378" s="7" t="n">
        <f aca="false">IF(AND(O378=1,M378=""),1,0)</f>
        <v>0</v>
      </c>
      <c r="AB378" s="7" t="n">
        <f aca="false">IF(AND(E378="Closed Lost",N378=""),1,0)</f>
        <v>0</v>
      </c>
      <c r="AC378" s="7" t="n">
        <f aca="false">SUM(U378:AB378)</f>
        <v>0</v>
      </c>
      <c r="AD378" s="7" t="n">
        <f aca="false">IF(AC378=0,1,0)</f>
        <v>1</v>
      </c>
      <c r="AE378" s="7" t="n">
        <f aca="false">IF(AND(O378=1,I378&gt;=Inputs!$B$6,I378&lt;=Inputs!$B$7),1,0)</f>
        <v>0</v>
      </c>
      <c r="AF378" s="7" t="n">
        <f aca="false">IF(AND(E378="Closed Won",I378&gt;=Inputs!$B$6,I378&lt;=Inputs!$B$4),1,0)</f>
        <v>0</v>
      </c>
      <c r="AG378" s="7" t="n">
        <f aca="false">IF(AND(O378=0,I378&gt;Inputs!$B$4-Inputs!$B$8,I378&lt;=Inputs!$B$4),1,0)</f>
        <v>1</v>
      </c>
      <c r="AH378" s="7" t="n">
        <f aca="false">I378-H378</f>
        <v>120</v>
      </c>
    </row>
    <row r="379" customFormat="false" ht="15" hidden="false" customHeight="false" outlineLevel="0" collapsed="false">
      <c r="A379" s="16" t="s">
        <v>1445</v>
      </c>
      <c r="B379" s="16" t="s">
        <v>338</v>
      </c>
      <c r="C379" s="16" t="s">
        <v>1446</v>
      </c>
      <c r="D379" s="16" t="s">
        <v>165</v>
      </c>
      <c r="E379" s="16" t="s">
        <v>526</v>
      </c>
      <c r="F379" s="26" t="n">
        <v>20678000</v>
      </c>
      <c r="G379" s="25" t="n">
        <v>10</v>
      </c>
      <c r="H379" s="22" t="n">
        <v>46207</v>
      </c>
      <c r="I379" s="22" t="n">
        <v>46377</v>
      </c>
      <c r="J379" s="22" t="n">
        <v>46137</v>
      </c>
      <c r="K379" s="16" t="s">
        <v>765</v>
      </c>
      <c r="L379" s="16" t="s">
        <v>574</v>
      </c>
      <c r="M379" s="16" t="s">
        <v>575</v>
      </c>
      <c r="N379" s="16"/>
      <c r="O379" s="7" t="n">
        <f aca="false">IF(OR(E379="Closed Won",E379="Closed Lost"),0,1)</f>
        <v>1</v>
      </c>
      <c r="P379" s="17" t="str">
        <f aca="false">INDEX(Accounts!$K$5:$K$336,MATCH(B379,Accounts!$A$5:$A$336,0))</f>
        <v>Health</v>
      </c>
      <c r="Q379" s="17" t="str">
        <f aca="false">INDEX(Accounts!$D$5:$D$336,MATCH(B379,Accounts!$A$5:$A$336,0))</f>
        <v>Key</v>
      </c>
      <c r="R379" s="7" t="n">
        <f aca="false">INDEX(Inputs!$B$11:$B$16,MATCH(E379,Inputs!$A$11:$A$16,0))</f>
        <v>10</v>
      </c>
      <c r="S379" s="27" t="n">
        <f aca="false">IF(F379="",0,F379)*R379/100</f>
        <v>2067800</v>
      </c>
      <c r="T379" s="7" t="n">
        <f aca="false">Inputs!$B$4-J379</f>
        <v>177</v>
      </c>
      <c r="U379" s="7" t="n">
        <f aca="false">IF(OR(F379="",F379=0),1,0)</f>
        <v>0</v>
      </c>
      <c r="V379" s="7" t="n">
        <f aca="false">IF(K379="",1,0)</f>
        <v>0</v>
      </c>
      <c r="W379" s="7" t="n">
        <f aca="false">IF(AND(O379=1,K379&lt;&gt;"",COUNTIFS(Owners!$A$5:$A$32,K379,Owners!$E$5:$E$32,"No")&gt;0),1,0)</f>
        <v>0</v>
      </c>
      <c r="X379" s="7" t="n">
        <f aca="false">IF(AND(O379=1,I379&lt;Inputs!$B$4),1,0)</f>
        <v>0</v>
      </c>
      <c r="Y379" s="7" t="n">
        <f aca="false">IF(AND(O379=1,T379&gt;Inputs!$B$5),1,0)</f>
        <v>1</v>
      </c>
      <c r="Z379" s="7" t="n">
        <f aca="false">IF(AND(O379=1,G379&lt;&gt;R379),1,0)</f>
        <v>0</v>
      </c>
      <c r="AA379" s="7" t="n">
        <f aca="false">IF(AND(O379=1,M379=""),1,0)</f>
        <v>0</v>
      </c>
      <c r="AB379" s="7" t="n">
        <f aca="false">IF(AND(E379="Closed Lost",N379=""),1,0)</f>
        <v>0</v>
      </c>
      <c r="AC379" s="7" t="n">
        <f aca="false">SUM(U379:AB379)</f>
        <v>1</v>
      </c>
      <c r="AD379" s="7" t="n">
        <f aca="false">IF(AC379=0,1,0)</f>
        <v>0</v>
      </c>
      <c r="AE379" s="7" t="n">
        <f aca="false">IF(AND(O379=1,I379&gt;=Inputs!$B$6,I379&lt;=Inputs!$B$7),1,0)</f>
        <v>1</v>
      </c>
      <c r="AF379" s="7" t="n">
        <f aca="false">IF(AND(E379="Closed Won",I379&gt;=Inputs!$B$6,I379&lt;=Inputs!$B$4),1,0)</f>
        <v>0</v>
      </c>
      <c r="AG379" s="7" t="n">
        <f aca="false">IF(AND(O379=0,I379&gt;Inputs!$B$4-Inputs!$B$8,I379&lt;=Inputs!$B$4),1,0)</f>
        <v>0</v>
      </c>
      <c r="AH379" s="7" t="n">
        <f aca="false">I379-H379</f>
        <v>170</v>
      </c>
    </row>
    <row r="380" customFormat="false" ht="15" hidden="false" customHeight="false" outlineLevel="0" collapsed="false">
      <c r="A380" s="16" t="s">
        <v>1447</v>
      </c>
      <c r="B380" s="16" t="s">
        <v>1448</v>
      </c>
      <c r="C380" s="16" t="s">
        <v>1449</v>
      </c>
      <c r="D380" s="16" t="s">
        <v>167</v>
      </c>
      <c r="E380" s="16" t="s">
        <v>530</v>
      </c>
      <c r="F380" s="26" t="n">
        <v>3182000</v>
      </c>
      <c r="G380" s="25" t="n">
        <v>100</v>
      </c>
      <c r="H380" s="22" t="n">
        <v>46059</v>
      </c>
      <c r="I380" s="22" t="n">
        <v>46175</v>
      </c>
      <c r="J380" s="22" t="n">
        <v>46175</v>
      </c>
      <c r="K380" s="16" t="s">
        <v>860</v>
      </c>
      <c r="L380" s="16" t="s">
        <v>568</v>
      </c>
      <c r="M380" s="16"/>
      <c r="N380" s="16"/>
      <c r="O380" s="7" t="n">
        <f aca="false">IF(OR(E380="Closed Won",E380="Closed Lost"),0,1)</f>
        <v>0</v>
      </c>
      <c r="P380" s="17" t="str">
        <f aca="false">INDEX(Accounts!$K$5:$K$336,MATCH(B380,Accounts!$A$5:$A$336,0))</f>
        <v>Consumer &amp; Retail</v>
      </c>
      <c r="Q380" s="17" t="str">
        <f aca="false">INDEX(Accounts!$D$5:$D$336,MATCH(B380,Accounts!$A$5:$A$336,0))</f>
        <v>Standard</v>
      </c>
      <c r="R380" s="7" t="n">
        <f aca="false">INDEX(Inputs!$B$11:$B$16,MATCH(E380,Inputs!$A$11:$A$16,0))</f>
        <v>100</v>
      </c>
      <c r="S380" s="27" t="n">
        <f aca="false">IF(F380="",0,F380)*R380/100</f>
        <v>3182000</v>
      </c>
      <c r="T380" s="7" t="n">
        <f aca="false">Inputs!$B$4-J380</f>
        <v>139</v>
      </c>
      <c r="U380" s="7" t="n">
        <f aca="false">IF(OR(F380="",F380=0),1,0)</f>
        <v>0</v>
      </c>
      <c r="V380" s="7" t="n">
        <f aca="false">IF(K380="",1,0)</f>
        <v>0</v>
      </c>
      <c r="W380" s="7" t="n">
        <f aca="false">IF(AND(O380=1,K380&lt;&gt;"",COUNTIFS(Owners!$A$5:$A$32,K380,Owners!$E$5:$E$32,"No")&gt;0),1,0)</f>
        <v>0</v>
      </c>
      <c r="X380" s="7" t="n">
        <f aca="false">IF(AND(O380=1,I380&lt;Inputs!$B$4),1,0)</f>
        <v>0</v>
      </c>
      <c r="Y380" s="7" t="n">
        <f aca="false">IF(AND(O380=1,T380&gt;Inputs!$B$5),1,0)</f>
        <v>0</v>
      </c>
      <c r="Z380" s="7" t="n">
        <f aca="false">IF(AND(O380=1,G380&lt;&gt;R380),1,0)</f>
        <v>0</v>
      </c>
      <c r="AA380" s="7" t="n">
        <f aca="false">IF(AND(O380=1,M380=""),1,0)</f>
        <v>0</v>
      </c>
      <c r="AB380" s="7" t="n">
        <f aca="false">IF(AND(E380="Closed Lost",N380=""),1,0)</f>
        <v>0</v>
      </c>
      <c r="AC380" s="7" t="n">
        <f aca="false">SUM(U380:AB380)</f>
        <v>0</v>
      </c>
      <c r="AD380" s="7" t="n">
        <f aca="false">IF(AC380=0,1,0)</f>
        <v>1</v>
      </c>
      <c r="AE380" s="7" t="n">
        <f aca="false">IF(AND(O380=1,I380&gt;=Inputs!$B$6,I380&lt;=Inputs!$B$7),1,0)</f>
        <v>0</v>
      </c>
      <c r="AF380" s="7" t="n">
        <f aca="false">IF(AND(E380="Closed Won",I380&gt;=Inputs!$B$6,I380&lt;=Inputs!$B$4),1,0)</f>
        <v>0</v>
      </c>
      <c r="AG380" s="7" t="n">
        <f aca="false">IF(AND(O380=0,I380&gt;Inputs!$B$4-Inputs!$B$8,I380&lt;=Inputs!$B$4),1,0)</f>
        <v>1</v>
      </c>
      <c r="AH380" s="7" t="n">
        <f aca="false">I380-H380</f>
        <v>116</v>
      </c>
    </row>
    <row r="381" customFormat="false" ht="15" hidden="false" customHeight="false" outlineLevel="0" collapsed="false">
      <c r="A381" s="16" t="s">
        <v>1450</v>
      </c>
      <c r="B381" s="16" t="s">
        <v>58</v>
      </c>
      <c r="C381" s="16" t="s">
        <v>1451</v>
      </c>
      <c r="D381" s="16" t="s">
        <v>165</v>
      </c>
      <c r="E381" s="16" t="s">
        <v>531</v>
      </c>
      <c r="F381" s="26" t="n">
        <v>4449000</v>
      </c>
      <c r="G381" s="25" t="n">
        <v>0</v>
      </c>
      <c r="H381" s="22" t="n">
        <v>45972</v>
      </c>
      <c r="I381" s="22" t="n">
        <v>46260</v>
      </c>
      <c r="J381" s="22" t="n">
        <v>46260</v>
      </c>
      <c r="K381" s="16" t="s">
        <v>654</v>
      </c>
      <c r="L381" s="16" t="s">
        <v>568</v>
      </c>
      <c r="M381" s="16"/>
      <c r="N381" s="16" t="s">
        <v>697</v>
      </c>
      <c r="O381" s="7" t="n">
        <f aca="false">IF(OR(E381="Closed Won",E381="Closed Lost"),0,1)</f>
        <v>0</v>
      </c>
      <c r="P381" s="17" t="str">
        <f aca="false">INDEX(Accounts!$K$5:$K$336,MATCH(B381,Accounts!$A$5:$A$336,0))</f>
        <v>Financial Services</v>
      </c>
      <c r="Q381" s="17" t="str">
        <f aca="false">INDEX(Accounts!$D$5:$D$336,MATCH(B381,Accounts!$A$5:$A$336,0))</f>
        <v>Priority</v>
      </c>
      <c r="R381" s="7" t="n">
        <f aca="false">INDEX(Inputs!$B$11:$B$16,MATCH(E381,Inputs!$A$11:$A$16,0))</f>
        <v>0</v>
      </c>
      <c r="S381" s="27" t="n">
        <f aca="false">IF(F381="",0,F381)*R381/100</f>
        <v>0</v>
      </c>
      <c r="T381" s="7" t="n">
        <f aca="false">Inputs!$B$4-J381</f>
        <v>54</v>
      </c>
      <c r="U381" s="7" t="n">
        <f aca="false">IF(OR(F381="",F381=0),1,0)</f>
        <v>0</v>
      </c>
      <c r="V381" s="7" t="n">
        <f aca="false">IF(K381="",1,0)</f>
        <v>0</v>
      </c>
      <c r="W381" s="7" t="n">
        <f aca="false">IF(AND(O381=1,K381&lt;&gt;"",COUNTIFS(Owners!$A$5:$A$32,K381,Owners!$E$5:$E$32,"No")&gt;0),1,0)</f>
        <v>0</v>
      </c>
      <c r="X381" s="7" t="n">
        <f aca="false">IF(AND(O381=1,I381&lt;Inputs!$B$4),1,0)</f>
        <v>0</v>
      </c>
      <c r="Y381" s="7" t="n">
        <f aca="false">IF(AND(O381=1,T381&gt;Inputs!$B$5),1,0)</f>
        <v>0</v>
      </c>
      <c r="Z381" s="7" t="n">
        <f aca="false">IF(AND(O381=1,G381&lt;&gt;R381),1,0)</f>
        <v>0</v>
      </c>
      <c r="AA381" s="7" t="n">
        <f aca="false">IF(AND(O381=1,M381=""),1,0)</f>
        <v>0</v>
      </c>
      <c r="AB381" s="7" t="n">
        <f aca="false">IF(AND(E381="Closed Lost",N381=""),1,0)</f>
        <v>0</v>
      </c>
      <c r="AC381" s="7" t="n">
        <f aca="false">SUM(U381:AB381)</f>
        <v>0</v>
      </c>
      <c r="AD381" s="7" t="n">
        <f aca="false">IF(AC381=0,1,0)</f>
        <v>1</v>
      </c>
      <c r="AE381" s="7" t="n">
        <f aca="false">IF(AND(O381=1,I381&gt;=Inputs!$B$6,I381&lt;=Inputs!$B$7),1,0)</f>
        <v>0</v>
      </c>
      <c r="AF381" s="7" t="n">
        <f aca="false">IF(AND(E381="Closed Won",I381&gt;=Inputs!$B$6,I381&lt;=Inputs!$B$4),1,0)</f>
        <v>0</v>
      </c>
      <c r="AG381" s="7" t="n">
        <f aca="false">IF(AND(O381=0,I381&gt;Inputs!$B$4-Inputs!$B$8,I381&lt;=Inputs!$B$4),1,0)</f>
        <v>1</v>
      </c>
      <c r="AH381" s="7" t="n">
        <f aca="false">I381-H381</f>
        <v>288</v>
      </c>
    </row>
    <row r="382" customFormat="false" ht="15" hidden="false" customHeight="false" outlineLevel="0" collapsed="false">
      <c r="A382" s="16" t="s">
        <v>1452</v>
      </c>
      <c r="B382" s="16" t="s">
        <v>76</v>
      </c>
      <c r="C382" s="16" t="s">
        <v>1453</v>
      </c>
      <c r="D382" s="16" t="s">
        <v>158</v>
      </c>
      <c r="E382" s="16" t="s">
        <v>531</v>
      </c>
      <c r="F382" s="26"/>
      <c r="G382" s="25" t="n">
        <v>0</v>
      </c>
      <c r="H382" s="22" t="n">
        <v>45921</v>
      </c>
      <c r="I382" s="22" t="n">
        <v>46220</v>
      </c>
      <c r="J382" s="22" t="n">
        <v>46220</v>
      </c>
      <c r="K382" s="16" t="s">
        <v>604</v>
      </c>
      <c r="L382" s="16" t="s">
        <v>584</v>
      </c>
      <c r="M382" s="16"/>
      <c r="N382" s="16" t="s">
        <v>597</v>
      </c>
      <c r="O382" s="7" t="n">
        <f aca="false">IF(OR(E382="Closed Won",E382="Closed Lost"),0,1)</f>
        <v>0</v>
      </c>
      <c r="P382" s="17" t="str">
        <f aca="false">INDEX(Accounts!$K$5:$K$336,MATCH(B382,Accounts!$A$5:$A$336,0))</f>
        <v>Real Estate &amp; Infrastructure</v>
      </c>
      <c r="Q382" s="17" t="str">
        <f aca="false">INDEX(Accounts!$D$5:$D$336,MATCH(B382,Accounts!$A$5:$A$336,0))</f>
        <v>Priority</v>
      </c>
      <c r="R382" s="7" t="n">
        <f aca="false">INDEX(Inputs!$B$11:$B$16,MATCH(E382,Inputs!$A$11:$A$16,0))</f>
        <v>0</v>
      </c>
      <c r="S382" s="27" t="n">
        <f aca="false">IF(F382="",0,F382)*R382/100</f>
        <v>0</v>
      </c>
      <c r="T382" s="7" t="n">
        <f aca="false">Inputs!$B$4-J382</f>
        <v>94</v>
      </c>
      <c r="U382" s="7" t="n">
        <f aca="false">IF(OR(F382="",F382=0),1,0)</f>
        <v>1</v>
      </c>
      <c r="V382" s="7" t="n">
        <f aca="false">IF(K382="",1,0)</f>
        <v>0</v>
      </c>
      <c r="W382" s="7" t="n">
        <f aca="false">IF(AND(O382=1,K382&lt;&gt;"",COUNTIFS(Owners!$A$5:$A$32,K382,Owners!$E$5:$E$32,"No")&gt;0),1,0)</f>
        <v>0</v>
      </c>
      <c r="X382" s="7" t="n">
        <f aca="false">IF(AND(O382=1,I382&lt;Inputs!$B$4),1,0)</f>
        <v>0</v>
      </c>
      <c r="Y382" s="7" t="n">
        <f aca="false">IF(AND(O382=1,T382&gt;Inputs!$B$5),1,0)</f>
        <v>0</v>
      </c>
      <c r="Z382" s="7" t="n">
        <f aca="false">IF(AND(O382=1,G382&lt;&gt;R382),1,0)</f>
        <v>0</v>
      </c>
      <c r="AA382" s="7" t="n">
        <f aca="false">IF(AND(O382=1,M382=""),1,0)</f>
        <v>0</v>
      </c>
      <c r="AB382" s="7" t="n">
        <f aca="false">IF(AND(E382="Closed Lost",N382=""),1,0)</f>
        <v>0</v>
      </c>
      <c r="AC382" s="7" t="n">
        <f aca="false">SUM(U382:AB382)</f>
        <v>1</v>
      </c>
      <c r="AD382" s="7" t="n">
        <f aca="false">IF(AC382=0,1,0)</f>
        <v>0</v>
      </c>
      <c r="AE382" s="7" t="n">
        <f aca="false">IF(AND(O382=1,I382&gt;=Inputs!$B$6,I382&lt;=Inputs!$B$7),1,0)</f>
        <v>0</v>
      </c>
      <c r="AF382" s="7" t="n">
        <f aca="false">IF(AND(E382="Closed Won",I382&gt;=Inputs!$B$6,I382&lt;=Inputs!$B$4),1,0)</f>
        <v>0</v>
      </c>
      <c r="AG382" s="7" t="n">
        <f aca="false">IF(AND(O382=0,I382&gt;Inputs!$B$4-Inputs!$B$8,I382&lt;=Inputs!$B$4),1,0)</f>
        <v>1</v>
      </c>
      <c r="AH382" s="7" t="n">
        <f aca="false">I382-H382</f>
        <v>299</v>
      </c>
    </row>
    <row r="383" customFormat="false" ht="15" hidden="false" customHeight="false" outlineLevel="0" collapsed="false">
      <c r="A383" s="16" t="s">
        <v>1454</v>
      </c>
      <c r="B383" s="16" t="s">
        <v>484</v>
      </c>
      <c r="C383" s="16" t="s">
        <v>1455</v>
      </c>
      <c r="D383" s="16" t="s">
        <v>165</v>
      </c>
      <c r="E383" s="16" t="s">
        <v>531</v>
      </c>
      <c r="F383" s="26" t="n">
        <v>51276000</v>
      </c>
      <c r="G383" s="25" t="n">
        <v>0</v>
      </c>
      <c r="H383" s="22" t="n">
        <v>46054</v>
      </c>
      <c r="I383" s="22" t="n">
        <v>46227</v>
      </c>
      <c r="J383" s="22" t="n">
        <v>46227</v>
      </c>
      <c r="K383" s="16" t="s">
        <v>717</v>
      </c>
      <c r="L383" s="16" t="s">
        <v>500</v>
      </c>
      <c r="M383" s="16"/>
      <c r="N383" s="16"/>
      <c r="O383" s="7" t="n">
        <f aca="false">IF(OR(E383="Closed Won",E383="Closed Lost"),0,1)</f>
        <v>0</v>
      </c>
      <c r="P383" s="17" t="str">
        <f aca="false">INDEX(Accounts!$K$5:$K$336,MATCH(B383,Accounts!$A$5:$A$336,0))</f>
        <v>Energy &amp; Resources</v>
      </c>
      <c r="Q383" s="17" t="str">
        <f aca="false">INDEX(Accounts!$D$5:$D$336,MATCH(B383,Accounts!$A$5:$A$336,0))</f>
        <v>Standard</v>
      </c>
      <c r="R383" s="7" t="n">
        <f aca="false">INDEX(Inputs!$B$11:$B$16,MATCH(E383,Inputs!$A$11:$A$16,0))</f>
        <v>0</v>
      </c>
      <c r="S383" s="27" t="n">
        <f aca="false">IF(F383="",0,F383)*R383/100</f>
        <v>0</v>
      </c>
      <c r="T383" s="7" t="n">
        <f aca="false">Inputs!$B$4-J383</f>
        <v>87</v>
      </c>
      <c r="U383" s="7" t="n">
        <f aca="false">IF(OR(F383="",F383=0),1,0)</f>
        <v>0</v>
      </c>
      <c r="V383" s="7" t="n">
        <f aca="false">IF(K383="",1,0)</f>
        <v>0</v>
      </c>
      <c r="W383" s="7" t="n">
        <f aca="false">IF(AND(O383=1,K383&lt;&gt;"",COUNTIFS(Owners!$A$5:$A$32,K383,Owners!$E$5:$E$32,"No")&gt;0),1,0)</f>
        <v>0</v>
      </c>
      <c r="X383" s="7" t="n">
        <f aca="false">IF(AND(O383=1,I383&lt;Inputs!$B$4),1,0)</f>
        <v>0</v>
      </c>
      <c r="Y383" s="7" t="n">
        <f aca="false">IF(AND(O383=1,T383&gt;Inputs!$B$5),1,0)</f>
        <v>0</v>
      </c>
      <c r="Z383" s="7" t="n">
        <f aca="false">IF(AND(O383=1,G383&lt;&gt;R383),1,0)</f>
        <v>0</v>
      </c>
      <c r="AA383" s="7" t="n">
        <f aca="false">IF(AND(O383=1,M383=""),1,0)</f>
        <v>0</v>
      </c>
      <c r="AB383" s="7" t="n">
        <f aca="false">IF(AND(E383="Closed Lost",N383=""),1,0)</f>
        <v>1</v>
      </c>
      <c r="AC383" s="7" t="n">
        <f aca="false">SUM(U383:AB383)</f>
        <v>1</v>
      </c>
      <c r="AD383" s="7" t="n">
        <f aca="false">IF(AC383=0,1,0)</f>
        <v>0</v>
      </c>
      <c r="AE383" s="7" t="n">
        <f aca="false">IF(AND(O383=1,I383&gt;=Inputs!$B$6,I383&lt;=Inputs!$B$7),1,0)</f>
        <v>0</v>
      </c>
      <c r="AF383" s="7" t="n">
        <f aca="false">IF(AND(E383="Closed Won",I383&gt;=Inputs!$B$6,I383&lt;=Inputs!$B$4),1,0)</f>
        <v>0</v>
      </c>
      <c r="AG383" s="7" t="n">
        <f aca="false">IF(AND(O383=0,I383&gt;Inputs!$B$4-Inputs!$B$8,I383&lt;=Inputs!$B$4),1,0)</f>
        <v>1</v>
      </c>
      <c r="AH383" s="7" t="n">
        <f aca="false">I383-H383</f>
        <v>173</v>
      </c>
    </row>
    <row r="384" customFormat="false" ht="15" hidden="false" customHeight="false" outlineLevel="0" collapsed="false">
      <c r="A384" s="16" t="s">
        <v>1456</v>
      </c>
      <c r="B384" s="16" t="s">
        <v>571</v>
      </c>
      <c r="C384" s="16" t="s">
        <v>1457</v>
      </c>
      <c r="D384" s="16" t="s">
        <v>165</v>
      </c>
      <c r="E384" s="16" t="s">
        <v>531</v>
      </c>
      <c r="F384" s="26" t="n">
        <v>8902000</v>
      </c>
      <c r="G384" s="25" t="n">
        <v>0</v>
      </c>
      <c r="H384" s="22" t="n">
        <v>45939</v>
      </c>
      <c r="I384" s="22" t="n">
        <v>46211</v>
      </c>
      <c r="J384" s="22" t="n">
        <v>46211</v>
      </c>
      <c r="K384" s="16" t="s">
        <v>685</v>
      </c>
      <c r="L384" s="16" t="s">
        <v>568</v>
      </c>
      <c r="M384" s="16"/>
      <c r="N384" s="16" t="s">
        <v>713</v>
      </c>
      <c r="O384" s="7" t="n">
        <f aca="false">IF(OR(E384="Closed Won",E384="Closed Lost"),0,1)</f>
        <v>0</v>
      </c>
      <c r="P384" s="17" t="str">
        <f aca="false">INDEX(Accounts!$K$5:$K$336,MATCH(B384,Accounts!$A$5:$A$336,0))</f>
        <v>Financial Services</v>
      </c>
      <c r="Q384" s="17" t="str">
        <f aca="false">INDEX(Accounts!$D$5:$D$336,MATCH(B384,Accounts!$A$5:$A$336,0))</f>
        <v>Key</v>
      </c>
      <c r="R384" s="7" t="n">
        <f aca="false">INDEX(Inputs!$B$11:$B$16,MATCH(E384,Inputs!$A$11:$A$16,0))</f>
        <v>0</v>
      </c>
      <c r="S384" s="27" t="n">
        <f aca="false">IF(F384="",0,F384)*R384/100</f>
        <v>0</v>
      </c>
      <c r="T384" s="7" t="n">
        <f aca="false">Inputs!$B$4-J384</f>
        <v>103</v>
      </c>
      <c r="U384" s="7" t="n">
        <f aca="false">IF(OR(F384="",F384=0),1,0)</f>
        <v>0</v>
      </c>
      <c r="V384" s="7" t="n">
        <f aca="false">IF(K384="",1,0)</f>
        <v>0</v>
      </c>
      <c r="W384" s="7" t="n">
        <f aca="false">IF(AND(O384=1,K384&lt;&gt;"",COUNTIFS(Owners!$A$5:$A$32,K384,Owners!$E$5:$E$32,"No")&gt;0),1,0)</f>
        <v>0</v>
      </c>
      <c r="X384" s="7" t="n">
        <f aca="false">IF(AND(O384=1,I384&lt;Inputs!$B$4),1,0)</f>
        <v>0</v>
      </c>
      <c r="Y384" s="7" t="n">
        <f aca="false">IF(AND(O384=1,T384&gt;Inputs!$B$5),1,0)</f>
        <v>0</v>
      </c>
      <c r="Z384" s="7" t="n">
        <f aca="false">IF(AND(O384=1,G384&lt;&gt;R384),1,0)</f>
        <v>0</v>
      </c>
      <c r="AA384" s="7" t="n">
        <f aca="false">IF(AND(O384=1,M384=""),1,0)</f>
        <v>0</v>
      </c>
      <c r="AB384" s="7" t="n">
        <f aca="false">IF(AND(E384="Closed Lost",N384=""),1,0)</f>
        <v>0</v>
      </c>
      <c r="AC384" s="7" t="n">
        <f aca="false">SUM(U384:AB384)</f>
        <v>0</v>
      </c>
      <c r="AD384" s="7" t="n">
        <f aca="false">IF(AC384=0,1,0)</f>
        <v>1</v>
      </c>
      <c r="AE384" s="7" t="n">
        <f aca="false">IF(AND(O384=1,I384&gt;=Inputs!$B$6,I384&lt;=Inputs!$B$7),1,0)</f>
        <v>0</v>
      </c>
      <c r="AF384" s="7" t="n">
        <f aca="false">IF(AND(E384="Closed Won",I384&gt;=Inputs!$B$6,I384&lt;=Inputs!$B$4),1,0)</f>
        <v>0</v>
      </c>
      <c r="AG384" s="7" t="n">
        <f aca="false">IF(AND(O384=0,I384&gt;Inputs!$B$4-Inputs!$B$8,I384&lt;=Inputs!$B$4),1,0)</f>
        <v>1</v>
      </c>
      <c r="AH384" s="7" t="n">
        <f aca="false">I384-H384</f>
        <v>272</v>
      </c>
    </row>
    <row r="385" customFormat="false" ht="15" hidden="false" customHeight="false" outlineLevel="0" collapsed="false">
      <c r="A385" s="16" t="s">
        <v>1458</v>
      </c>
      <c r="B385" s="16" t="s">
        <v>254</v>
      </c>
      <c r="C385" s="16" t="s">
        <v>1459</v>
      </c>
      <c r="D385" s="16" t="s">
        <v>162</v>
      </c>
      <c r="E385" s="16" t="s">
        <v>530</v>
      </c>
      <c r="F385" s="26" t="n">
        <v>5192000</v>
      </c>
      <c r="G385" s="25" t="n">
        <v>100</v>
      </c>
      <c r="H385" s="22" t="n">
        <v>45949</v>
      </c>
      <c r="I385" s="22" t="n">
        <v>46242</v>
      </c>
      <c r="J385" s="22" t="n">
        <v>46242</v>
      </c>
      <c r="K385" s="16" t="s">
        <v>663</v>
      </c>
      <c r="L385" s="16" t="s">
        <v>609</v>
      </c>
      <c r="M385" s="16"/>
      <c r="N385" s="16"/>
      <c r="O385" s="7" t="n">
        <f aca="false">IF(OR(E385="Closed Won",E385="Closed Lost"),0,1)</f>
        <v>0</v>
      </c>
      <c r="P385" s="17" t="str">
        <f aca="false">INDEX(Accounts!$K$5:$K$336,MATCH(B385,Accounts!$A$5:$A$336,0))</f>
        <v>Technology, Media &amp; Telecom</v>
      </c>
      <c r="Q385" s="17" t="str">
        <f aca="false">INDEX(Accounts!$D$5:$D$336,MATCH(B385,Accounts!$A$5:$A$336,0))</f>
        <v>Key</v>
      </c>
      <c r="R385" s="7" t="n">
        <f aca="false">INDEX(Inputs!$B$11:$B$16,MATCH(E385,Inputs!$A$11:$A$16,0))</f>
        <v>100</v>
      </c>
      <c r="S385" s="27" t="n">
        <f aca="false">IF(F385="",0,F385)*R385/100</f>
        <v>5192000</v>
      </c>
      <c r="T385" s="7" t="n">
        <f aca="false">Inputs!$B$4-J385</f>
        <v>72</v>
      </c>
      <c r="U385" s="7" t="n">
        <f aca="false">IF(OR(F385="",F385=0),1,0)</f>
        <v>0</v>
      </c>
      <c r="V385" s="7" t="n">
        <f aca="false">IF(K385="",1,0)</f>
        <v>0</v>
      </c>
      <c r="W385" s="7" t="n">
        <f aca="false">IF(AND(O385=1,K385&lt;&gt;"",COUNTIFS(Owners!$A$5:$A$32,K385,Owners!$E$5:$E$32,"No")&gt;0),1,0)</f>
        <v>0</v>
      </c>
      <c r="X385" s="7" t="n">
        <f aca="false">IF(AND(O385=1,I385&lt;Inputs!$B$4),1,0)</f>
        <v>0</v>
      </c>
      <c r="Y385" s="7" t="n">
        <f aca="false">IF(AND(O385=1,T385&gt;Inputs!$B$5),1,0)</f>
        <v>0</v>
      </c>
      <c r="Z385" s="7" t="n">
        <f aca="false">IF(AND(O385=1,G385&lt;&gt;R385),1,0)</f>
        <v>0</v>
      </c>
      <c r="AA385" s="7" t="n">
        <f aca="false">IF(AND(O385=1,M385=""),1,0)</f>
        <v>0</v>
      </c>
      <c r="AB385" s="7" t="n">
        <f aca="false">IF(AND(E385="Closed Lost",N385=""),1,0)</f>
        <v>0</v>
      </c>
      <c r="AC385" s="7" t="n">
        <f aca="false">SUM(U385:AB385)</f>
        <v>0</v>
      </c>
      <c r="AD385" s="7" t="n">
        <f aca="false">IF(AC385=0,1,0)</f>
        <v>1</v>
      </c>
      <c r="AE385" s="7" t="n">
        <f aca="false">IF(AND(O385=1,I385&gt;=Inputs!$B$6,I385&lt;=Inputs!$B$7),1,0)</f>
        <v>0</v>
      </c>
      <c r="AF385" s="7" t="n">
        <f aca="false">IF(AND(E385="Closed Won",I385&gt;=Inputs!$B$6,I385&lt;=Inputs!$B$4),1,0)</f>
        <v>1</v>
      </c>
      <c r="AG385" s="7" t="n">
        <f aca="false">IF(AND(O385=0,I385&gt;Inputs!$B$4-Inputs!$B$8,I385&lt;=Inputs!$B$4),1,0)</f>
        <v>1</v>
      </c>
      <c r="AH385" s="7" t="n">
        <f aca="false">I385-H385</f>
        <v>293</v>
      </c>
    </row>
    <row r="386" customFormat="false" ht="15" hidden="false" customHeight="false" outlineLevel="0" collapsed="false">
      <c r="A386" s="16" t="s">
        <v>1460</v>
      </c>
      <c r="B386" s="16" t="s">
        <v>581</v>
      </c>
      <c r="C386" s="16" t="s">
        <v>1461</v>
      </c>
      <c r="D386" s="16" t="s">
        <v>165</v>
      </c>
      <c r="E386" s="16" t="s">
        <v>530</v>
      </c>
      <c r="F386" s="26" t="n">
        <v>23247000</v>
      </c>
      <c r="G386" s="25" t="n">
        <v>100</v>
      </c>
      <c r="H386" s="22" t="n">
        <v>45932</v>
      </c>
      <c r="I386" s="22" t="n">
        <v>46073</v>
      </c>
      <c r="J386" s="22" t="n">
        <v>46073</v>
      </c>
      <c r="K386" s="16" t="s">
        <v>691</v>
      </c>
      <c r="L386" s="16" t="s">
        <v>584</v>
      </c>
      <c r="M386" s="16"/>
      <c r="N386" s="16"/>
      <c r="O386" s="7" t="n">
        <f aca="false">IF(OR(E386="Closed Won",E386="Closed Lost"),0,1)</f>
        <v>0</v>
      </c>
      <c r="P386" s="17" t="str">
        <f aca="false">INDEX(Accounts!$K$5:$K$336,MATCH(B386,Accounts!$A$5:$A$336,0))</f>
        <v>Financial Services</v>
      </c>
      <c r="Q386" s="17" t="str">
        <f aca="false">INDEX(Accounts!$D$5:$D$336,MATCH(B386,Accounts!$A$5:$A$336,0))</f>
        <v>Standard</v>
      </c>
      <c r="R386" s="7" t="n">
        <f aca="false">INDEX(Inputs!$B$11:$B$16,MATCH(E386,Inputs!$A$11:$A$16,0))</f>
        <v>100</v>
      </c>
      <c r="S386" s="27" t="n">
        <f aca="false">IF(F386="",0,F386)*R386/100</f>
        <v>23247000</v>
      </c>
      <c r="T386" s="7" t="n">
        <f aca="false">Inputs!$B$4-J386</f>
        <v>241</v>
      </c>
      <c r="U386" s="7" t="n">
        <f aca="false">IF(OR(F386="",F386=0),1,0)</f>
        <v>0</v>
      </c>
      <c r="V386" s="7" t="n">
        <f aca="false">IF(K386="",1,0)</f>
        <v>0</v>
      </c>
      <c r="W386" s="7" t="n">
        <f aca="false">IF(AND(O386=1,K386&lt;&gt;"",COUNTIFS(Owners!$A$5:$A$32,K386,Owners!$E$5:$E$32,"No")&gt;0),1,0)</f>
        <v>0</v>
      </c>
      <c r="X386" s="7" t="n">
        <f aca="false">IF(AND(O386=1,I386&lt;Inputs!$B$4),1,0)</f>
        <v>0</v>
      </c>
      <c r="Y386" s="7" t="n">
        <f aca="false">IF(AND(O386=1,T386&gt;Inputs!$B$5),1,0)</f>
        <v>0</v>
      </c>
      <c r="Z386" s="7" t="n">
        <f aca="false">IF(AND(O386=1,G386&lt;&gt;R386),1,0)</f>
        <v>0</v>
      </c>
      <c r="AA386" s="7" t="n">
        <f aca="false">IF(AND(O386=1,M386=""),1,0)</f>
        <v>0</v>
      </c>
      <c r="AB386" s="7" t="n">
        <f aca="false">IF(AND(E386="Closed Lost",N386=""),1,0)</f>
        <v>0</v>
      </c>
      <c r="AC386" s="7" t="n">
        <f aca="false">SUM(U386:AB386)</f>
        <v>0</v>
      </c>
      <c r="AD386" s="7" t="n">
        <f aca="false">IF(AC386=0,1,0)</f>
        <v>1</v>
      </c>
      <c r="AE386" s="7" t="n">
        <f aca="false">IF(AND(O386=1,I386&gt;=Inputs!$B$6,I386&lt;=Inputs!$B$7),1,0)</f>
        <v>0</v>
      </c>
      <c r="AF386" s="7" t="n">
        <f aca="false">IF(AND(E386="Closed Won",I386&gt;=Inputs!$B$6,I386&lt;=Inputs!$B$4),1,0)</f>
        <v>0</v>
      </c>
      <c r="AG386" s="7" t="n">
        <f aca="false">IF(AND(O386=0,I386&gt;Inputs!$B$4-Inputs!$B$8,I386&lt;=Inputs!$B$4),1,0)</f>
        <v>1</v>
      </c>
      <c r="AH386" s="7" t="n">
        <f aca="false">I386-H386</f>
        <v>141</v>
      </c>
    </row>
    <row r="387" customFormat="false" ht="15" hidden="false" customHeight="false" outlineLevel="0" collapsed="false">
      <c r="A387" s="16" t="s">
        <v>1462</v>
      </c>
      <c r="B387" s="16" t="s">
        <v>269</v>
      </c>
      <c r="C387" s="16" t="s">
        <v>1463</v>
      </c>
      <c r="D387" s="16" t="s">
        <v>162</v>
      </c>
      <c r="E387" s="16" t="s">
        <v>531</v>
      </c>
      <c r="F387" s="26" t="n">
        <v>12989000</v>
      </c>
      <c r="G387" s="25" t="n">
        <v>0</v>
      </c>
      <c r="H387" s="22" t="n">
        <v>45930</v>
      </c>
      <c r="I387" s="22" t="n">
        <v>46171</v>
      </c>
      <c r="J387" s="22" t="n">
        <v>46171</v>
      </c>
      <c r="K387" s="16" t="s">
        <v>578</v>
      </c>
      <c r="L387" s="16" t="s">
        <v>574</v>
      </c>
      <c r="M387" s="16"/>
      <c r="N387" s="16" t="s">
        <v>713</v>
      </c>
      <c r="O387" s="7" t="n">
        <f aca="false">IF(OR(E387="Closed Won",E387="Closed Lost"),0,1)</f>
        <v>0</v>
      </c>
      <c r="P387" s="17" t="str">
        <f aca="false">INDEX(Accounts!$K$5:$K$336,MATCH(B387,Accounts!$A$5:$A$336,0))</f>
        <v>Technology, Media &amp; Telecom</v>
      </c>
      <c r="Q387" s="17" t="str">
        <f aca="false">INDEX(Accounts!$D$5:$D$336,MATCH(B387,Accounts!$A$5:$A$336,0))</f>
        <v>Key</v>
      </c>
      <c r="R387" s="7" t="n">
        <f aca="false">INDEX(Inputs!$B$11:$B$16,MATCH(E387,Inputs!$A$11:$A$16,0))</f>
        <v>0</v>
      </c>
      <c r="S387" s="27" t="n">
        <f aca="false">IF(F387="",0,F387)*R387/100</f>
        <v>0</v>
      </c>
      <c r="T387" s="7" t="n">
        <f aca="false">Inputs!$B$4-J387</f>
        <v>143</v>
      </c>
      <c r="U387" s="7" t="n">
        <f aca="false">IF(OR(F387="",F387=0),1,0)</f>
        <v>0</v>
      </c>
      <c r="V387" s="7" t="n">
        <f aca="false">IF(K387="",1,0)</f>
        <v>0</v>
      </c>
      <c r="W387" s="7" t="n">
        <f aca="false">IF(AND(O387=1,K387&lt;&gt;"",COUNTIFS(Owners!$A$5:$A$32,K387,Owners!$E$5:$E$32,"No")&gt;0),1,0)</f>
        <v>0</v>
      </c>
      <c r="X387" s="7" t="n">
        <f aca="false">IF(AND(O387=1,I387&lt;Inputs!$B$4),1,0)</f>
        <v>0</v>
      </c>
      <c r="Y387" s="7" t="n">
        <f aca="false">IF(AND(O387=1,T387&gt;Inputs!$B$5),1,0)</f>
        <v>0</v>
      </c>
      <c r="Z387" s="7" t="n">
        <f aca="false">IF(AND(O387=1,G387&lt;&gt;R387),1,0)</f>
        <v>0</v>
      </c>
      <c r="AA387" s="7" t="n">
        <f aca="false">IF(AND(O387=1,M387=""),1,0)</f>
        <v>0</v>
      </c>
      <c r="AB387" s="7" t="n">
        <f aca="false">IF(AND(E387="Closed Lost",N387=""),1,0)</f>
        <v>0</v>
      </c>
      <c r="AC387" s="7" t="n">
        <f aca="false">SUM(U387:AB387)</f>
        <v>0</v>
      </c>
      <c r="AD387" s="7" t="n">
        <f aca="false">IF(AC387=0,1,0)</f>
        <v>1</v>
      </c>
      <c r="AE387" s="7" t="n">
        <f aca="false">IF(AND(O387=1,I387&gt;=Inputs!$B$6,I387&lt;=Inputs!$B$7),1,0)</f>
        <v>0</v>
      </c>
      <c r="AF387" s="7" t="n">
        <f aca="false">IF(AND(E387="Closed Won",I387&gt;=Inputs!$B$6,I387&lt;=Inputs!$B$4),1,0)</f>
        <v>0</v>
      </c>
      <c r="AG387" s="7" t="n">
        <f aca="false">IF(AND(O387=0,I387&gt;Inputs!$B$4-Inputs!$B$8,I387&lt;=Inputs!$B$4),1,0)</f>
        <v>1</v>
      </c>
      <c r="AH387" s="7" t="n">
        <f aca="false">I387-H387</f>
        <v>241</v>
      </c>
    </row>
    <row r="388" customFormat="false" ht="15" hidden="false" customHeight="false" outlineLevel="0" collapsed="false">
      <c r="A388" s="16" t="s">
        <v>1464</v>
      </c>
      <c r="B388" s="16" t="s">
        <v>238</v>
      </c>
      <c r="C388" s="16" t="s">
        <v>1465</v>
      </c>
      <c r="D388" s="16" t="s">
        <v>158</v>
      </c>
      <c r="E388" s="16" t="s">
        <v>528</v>
      </c>
      <c r="F388" s="26" t="n">
        <v>25697000</v>
      </c>
      <c r="G388" s="25" t="n">
        <v>50</v>
      </c>
      <c r="H388" s="22" t="n">
        <v>46135</v>
      </c>
      <c r="I388" s="22" t="n">
        <v>46421</v>
      </c>
      <c r="J388" s="22" t="n">
        <v>46297</v>
      </c>
      <c r="K388" s="16" t="s">
        <v>600</v>
      </c>
      <c r="L388" s="16" t="s">
        <v>584</v>
      </c>
      <c r="M388" s="16"/>
      <c r="N388" s="16"/>
      <c r="O388" s="7" t="n">
        <f aca="false">IF(OR(E388="Closed Won",E388="Closed Lost"),0,1)</f>
        <v>1</v>
      </c>
      <c r="P388" s="17" t="str">
        <f aca="false">INDEX(Accounts!$K$5:$K$336,MATCH(B388,Accounts!$A$5:$A$336,0))</f>
        <v>Energy &amp; Resources</v>
      </c>
      <c r="Q388" s="17" t="str">
        <f aca="false">INDEX(Accounts!$D$5:$D$336,MATCH(B388,Accounts!$A$5:$A$336,0))</f>
        <v>Key</v>
      </c>
      <c r="R388" s="7" t="n">
        <f aca="false">INDEX(Inputs!$B$11:$B$16,MATCH(E388,Inputs!$A$11:$A$16,0))</f>
        <v>50</v>
      </c>
      <c r="S388" s="27" t="n">
        <f aca="false">IF(F388="",0,F388)*R388/100</f>
        <v>12848500</v>
      </c>
      <c r="T388" s="7" t="n">
        <f aca="false">Inputs!$B$4-J388</f>
        <v>17</v>
      </c>
      <c r="U388" s="7" t="n">
        <f aca="false">IF(OR(F388="",F388=0),1,0)</f>
        <v>0</v>
      </c>
      <c r="V388" s="7" t="n">
        <f aca="false">IF(K388="",1,0)</f>
        <v>0</v>
      </c>
      <c r="W388" s="7" t="n">
        <f aca="false">IF(AND(O388=1,K388&lt;&gt;"",COUNTIFS(Owners!$A$5:$A$32,K388,Owners!$E$5:$E$32,"No")&gt;0),1,0)</f>
        <v>0</v>
      </c>
      <c r="X388" s="7" t="n">
        <f aca="false">IF(AND(O388=1,I388&lt;Inputs!$B$4),1,0)</f>
        <v>0</v>
      </c>
      <c r="Y388" s="7" t="n">
        <f aca="false">IF(AND(O388=1,T388&gt;Inputs!$B$5),1,0)</f>
        <v>0</v>
      </c>
      <c r="Z388" s="7" t="n">
        <f aca="false">IF(AND(O388=1,G388&lt;&gt;R388),1,0)</f>
        <v>0</v>
      </c>
      <c r="AA388" s="7" t="n">
        <f aca="false">IF(AND(O388=1,M388=""),1,0)</f>
        <v>1</v>
      </c>
      <c r="AB388" s="7" t="n">
        <f aca="false">IF(AND(E388="Closed Lost",N388=""),1,0)</f>
        <v>0</v>
      </c>
      <c r="AC388" s="7" t="n">
        <f aca="false">SUM(U388:AB388)</f>
        <v>1</v>
      </c>
      <c r="AD388" s="7" t="n">
        <f aca="false">IF(AC388=0,1,0)</f>
        <v>0</v>
      </c>
      <c r="AE388" s="7" t="n">
        <f aca="false">IF(AND(O388=1,I388&gt;=Inputs!$B$6,I388&lt;=Inputs!$B$7),1,0)</f>
        <v>1</v>
      </c>
      <c r="AF388" s="7" t="n">
        <f aca="false">IF(AND(E388="Closed Won",I388&gt;=Inputs!$B$6,I388&lt;=Inputs!$B$4),1,0)</f>
        <v>0</v>
      </c>
      <c r="AG388" s="7" t="n">
        <f aca="false">IF(AND(O388=0,I388&gt;Inputs!$B$4-Inputs!$B$8,I388&lt;=Inputs!$B$4),1,0)</f>
        <v>0</v>
      </c>
      <c r="AH388" s="7" t="n">
        <f aca="false">I388-H388</f>
        <v>286</v>
      </c>
    </row>
    <row r="389" customFormat="false" ht="15" hidden="false" customHeight="false" outlineLevel="0" collapsed="false">
      <c r="A389" s="16" t="s">
        <v>1466</v>
      </c>
      <c r="B389" s="16" t="s">
        <v>919</v>
      </c>
      <c r="C389" s="16" t="s">
        <v>1467</v>
      </c>
      <c r="D389" s="16" t="s">
        <v>162</v>
      </c>
      <c r="E389" s="16" t="s">
        <v>526</v>
      </c>
      <c r="F389" s="26" t="n">
        <v>33423000</v>
      </c>
      <c r="G389" s="25" t="n">
        <v>10</v>
      </c>
      <c r="H389" s="22" t="n">
        <v>46273</v>
      </c>
      <c r="I389" s="22" t="n">
        <v>46404</v>
      </c>
      <c r="J389" s="22" t="n">
        <v>46230</v>
      </c>
      <c r="K389" s="16" t="s">
        <v>654</v>
      </c>
      <c r="L389" s="16" t="s">
        <v>609</v>
      </c>
      <c r="M389" s="16" t="s">
        <v>601</v>
      </c>
      <c r="N389" s="16"/>
      <c r="O389" s="7" t="n">
        <f aca="false">IF(OR(E389="Closed Won",E389="Closed Lost"),0,1)</f>
        <v>1</v>
      </c>
      <c r="P389" s="17" t="str">
        <f aca="false">INDEX(Accounts!$K$5:$K$336,MATCH(B389,Accounts!$A$5:$A$336,0))</f>
        <v>Financial Services</v>
      </c>
      <c r="Q389" s="17" t="str">
        <f aca="false">INDEX(Accounts!$D$5:$D$336,MATCH(B389,Accounts!$A$5:$A$336,0))</f>
        <v>Standard</v>
      </c>
      <c r="R389" s="7" t="n">
        <f aca="false">INDEX(Inputs!$B$11:$B$16,MATCH(E389,Inputs!$A$11:$A$16,0))</f>
        <v>10</v>
      </c>
      <c r="S389" s="27" t="n">
        <f aca="false">IF(F389="",0,F389)*R389/100</f>
        <v>3342300</v>
      </c>
      <c r="T389" s="7" t="n">
        <f aca="false">Inputs!$B$4-J389</f>
        <v>84</v>
      </c>
      <c r="U389" s="7" t="n">
        <f aca="false">IF(OR(F389="",F389=0),1,0)</f>
        <v>0</v>
      </c>
      <c r="V389" s="7" t="n">
        <f aca="false">IF(K389="",1,0)</f>
        <v>0</v>
      </c>
      <c r="W389" s="7" t="n">
        <f aca="false">IF(AND(O389=1,K389&lt;&gt;"",COUNTIFS(Owners!$A$5:$A$32,K389,Owners!$E$5:$E$32,"No")&gt;0),1,0)</f>
        <v>0</v>
      </c>
      <c r="X389" s="7" t="n">
        <f aca="false">IF(AND(O389=1,I389&lt;Inputs!$B$4),1,0)</f>
        <v>0</v>
      </c>
      <c r="Y389" s="7" t="n">
        <f aca="false">IF(AND(O389=1,T389&gt;Inputs!$B$5),1,0)</f>
        <v>1</v>
      </c>
      <c r="Z389" s="7" t="n">
        <f aca="false">IF(AND(O389=1,G389&lt;&gt;R389),1,0)</f>
        <v>0</v>
      </c>
      <c r="AA389" s="7" t="n">
        <f aca="false">IF(AND(O389=1,M389=""),1,0)</f>
        <v>0</v>
      </c>
      <c r="AB389" s="7" t="n">
        <f aca="false">IF(AND(E389="Closed Lost",N389=""),1,0)</f>
        <v>0</v>
      </c>
      <c r="AC389" s="7" t="n">
        <f aca="false">SUM(U389:AB389)</f>
        <v>1</v>
      </c>
      <c r="AD389" s="7" t="n">
        <f aca="false">IF(AC389=0,1,0)</f>
        <v>0</v>
      </c>
      <c r="AE389" s="7" t="n">
        <f aca="false">IF(AND(O389=1,I389&gt;=Inputs!$B$6,I389&lt;=Inputs!$B$7),1,0)</f>
        <v>1</v>
      </c>
      <c r="AF389" s="7" t="n">
        <f aca="false">IF(AND(E389="Closed Won",I389&gt;=Inputs!$B$6,I389&lt;=Inputs!$B$4),1,0)</f>
        <v>0</v>
      </c>
      <c r="AG389" s="7" t="n">
        <f aca="false">IF(AND(O389=0,I389&gt;Inputs!$B$4-Inputs!$B$8,I389&lt;=Inputs!$B$4),1,0)</f>
        <v>0</v>
      </c>
      <c r="AH389" s="7" t="n">
        <f aca="false">I389-H389</f>
        <v>131</v>
      </c>
    </row>
    <row r="390" customFormat="false" ht="15" hidden="false" customHeight="false" outlineLevel="0" collapsed="false">
      <c r="A390" s="16" t="s">
        <v>1468</v>
      </c>
      <c r="B390" s="16" t="s">
        <v>1448</v>
      </c>
      <c r="C390" s="16" t="s">
        <v>1469</v>
      </c>
      <c r="D390" s="16" t="s">
        <v>165</v>
      </c>
      <c r="E390" s="16" t="s">
        <v>530</v>
      </c>
      <c r="F390" s="26" t="n">
        <v>8466000</v>
      </c>
      <c r="G390" s="25" t="n">
        <v>100</v>
      </c>
      <c r="H390" s="22" t="n">
        <v>46002</v>
      </c>
      <c r="I390" s="22" t="n">
        <v>46158</v>
      </c>
      <c r="J390" s="22" t="n">
        <v>46158</v>
      </c>
      <c r="K390" s="16" t="s">
        <v>860</v>
      </c>
      <c r="L390" s="16" t="s">
        <v>584</v>
      </c>
      <c r="M390" s="16"/>
      <c r="N390" s="16"/>
      <c r="O390" s="7" t="n">
        <f aca="false">IF(OR(E390="Closed Won",E390="Closed Lost"),0,1)</f>
        <v>0</v>
      </c>
      <c r="P390" s="17" t="str">
        <f aca="false">INDEX(Accounts!$K$5:$K$336,MATCH(B390,Accounts!$A$5:$A$336,0))</f>
        <v>Consumer &amp; Retail</v>
      </c>
      <c r="Q390" s="17" t="str">
        <f aca="false">INDEX(Accounts!$D$5:$D$336,MATCH(B390,Accounts!$A$5:$A$336,0))</f>
        <v>Standard</v>
      </c>
      <c r="R390" s="7" t="n">
        <f aca="false">INDEX(Inputs!$B$11:$B$16,MATCH(E390,Inputs!$A$11:$A$16,0))</f>
        <v>100</v>
      </c>
      <c r="S390" s="27" t="n">
        <f aca="false">IF(F390="",0,F390)*R390/100</f>
        <v>8466000</v>
      </c>
      <c r="T390" s="7" t="n">
        <f aca="false">Inputs!$B$4-J390</f>
        <v>156</v>
      </c>
      <c r="U390" s="7" t="n">
        <f aca="false">IF(OR(F390="",F390=0),1,0)</f>
        <v>0</v>
      </c>
      <c r="V390" s="7" t="n">
        <f aca="false">IF(K390="",1,0)</f>
        <v>0</v>
      </c>
      <c r="W390" s="7" t="n">
        <f aca="false">IF(AND(O390=1,K390&lt;&gt;"",COUNTIFS(Owners!$A$5:$A$32,K390,Owners!$E$5:$E$32,"No")&gt;0),1,0)</f>
        <v>0</v>
      </c>
      <c r="X390" s="7" t="n">
        <f aca="false">IF(AND(O390=1,I390&lt;Inputs!$B$4),1,0)</f>
        <v>0</v>
      </c>
      <c r="Y390" s="7" t="n">
        <f aca="false">IF(AND(O390=1,T390&gt;Inputs!$B$5),1,0)</f>
        <v>0</v>
      </c>
      <c r="Z390" s="7" t="n">
        <f aca="false">IF(AND(O390=1,G390&lt;&gt;R390),1,0)</f>
        <v>0</v>
      </c>
      <c r="AA390" s="7" t="n">
        <f aca="false">IF(AND(O390=1,M390=""),1,0)</f>
        <v>0</v>
      </c>
      <c r="AB390" s="7" t="n">
        <f aca="false">IF(AND(E390="Closed Lost",N390=""),1,0)</f>
        <v>0</v>
      </c>
      <c r="AC390" s="7" t="n">
        <f aca="false">SUM(U390:AB390)</f>
        <v>0</v>
      </c>
      <c r="AD390" s="7" t="n">
        <f aca="false">IF(AC390=0,1,0)</f>
        <v>1</v>
      </c>
      <c r="AE390" s="7" t="n">
        <f aca="false">IF(AND(O390=1,I390&gt;=Inputs!$B$6,I390&lt;=Inputs!$B$7),1,0)</f>
        <v>0</v>
      </c>
      <c r="AF390" s="7" t="n">
        <f aca="false">IF(AND(E390="Closed Won",I390&gt;=Inputs!$B$6,I390&lt;=Inputs!$B$4),1,0)</f>
        <v>0</v>
      </c>
      <c r="AG390" s="7" t="n">
        <f aca="false">IF(AND(O390=0,I390&gt;Inputs!$B$4-Inputs!$B$8,I390&lt;=Inputs!$B$4),1,0)</f>
        <v>1</v>
      </c>
      <c r="AH390" s="7" t="n">
        <f aca="false">I390-H390</f>
        <v>156</v>
      </c>
    </row>
    <row r="391" customFormat="false" ht="15" hidden="false" customHeight="false" outlineLevel="0" collapsed="false">
      <c r="A391" s="16" t="s">
        <v>1470</v>
      </c>
      <c r="B391" s="16" t="s">
        <v>411</v>
      </c>
      <c r="C391" s="16" t="s">
        <v>1471</v>
      </c>
      <c r="D391" s="16" t="s">
        <v>177</v>
      </c>
      <c r="E391" s="16" t="s">
        <v>531</v>
      </c>
      <c r="F391" s="26" t="n">
        <v>2983000</v>
      </c>
      <c r="G391" s="25" t="n">
        <v>0</v>
      </c>
      <c r="H391" s="22" t="n">
        <v>46149</v>
      </c>
      <c r="I391" s="22" t="n">
        <v>46218</v>
      </c>
      <c r="J391" s="22" t="n">
        <v>46218</v>
      </c>
      <c r="K391" s="16" t="s">
        <v>622</v>
      </c>
      <c r="L391" s="16" t="s">
        <v>500</v>
      </c>
      <c r="M391" s="16"/>
      <c r="N391" s="16"/>
      <c r="O391" s="7" t="n">
        <f aca="false">IF(OR(E391="Closed Won",E391="Closed Lost"),0,1)</f>
        <v>0</v>
      </c>
      <c r="P391" s="17" t="str">
        <f aca="false">INDEX(Accounts!$K$5:$K$336,MATCH(B391,Accounts!$A$5:$A$336,0))</f>
        <v>Public Sector &amp; Development</v>
      </c>
      <c r="Q391" s="17" t="str">
        <f aca="false">INDEX(Accounts!$D$5:$D$336,MATCH(B391,Accounts!$A$5:$A$336,0))</f>
        <v>Key</v>
      </c>
      <c r="R391" s="7" t="n">
        <f aca="false">INDEX(Inputs!$B$11:$B$16,MATCH(E391,Inputs!$A$11:$A$16,0))</f>
        <v>0</v>
      </c>
      <c r="S391" s="27" t="n">
        <f aca="false">IF(F391="",0,F391)*R391/100</f>
        <v>0</v>
      </c>
      <c r="T391" s="7" t="n">
        <f aca="false">Inputs!$B$4-J391</f>
        <v>96</v>
      </c>
      <c r="U391" s="7" t="n">
        <f aca="false">IF(OR(F391="",F391=0),1,0)</f>
        <v>0</v>
      </c>
      <c r="V391" s="7" t="n">
        <f aca="false">IF(K391="",1,0)</f>
        <v>0</v>
      </c>
      <c r="W391" s="7" t="n">
        <f aca="false">IF(AND(O391=1,K391&lt;&gt;"",COUNTIFS(Owners!$A$5:$A$32,K391,Owners!$E$5:$E$32,"No")&gt;0),1,0)</f>
        <v>0</v>
      </c>
      <c r="X391" s="7" t="n">
        <f aca="false">IF(AND(O391=1,I391&lt;Inputs!$B$4),1,0)</f>
        <v>0</v>
      </c>
      <c r="Y391" s="7" t="n">
        <f aca="false">IF(AND(O391=1,T391&gt;Inputs!$B$5),1,0)</f>
        <v>0</v>
      </c>
      <c r="Z391" s="7" t="n">
        <f aca="false">IF(AND(O391=1,G391&lt;&gt;R391),1,0)</f>
        <v>0</v>
      </c>
      <c r="AA391" s="7" t="n">
        <f aca="false">IF(AND(O391=1,M391=""),1,0)</f>
        <v>0</v>
      </c>
      <c r="AB391" s="7" t="n">
        <f aca="false">IF(AND(E391="Closed Lost",N391=""),1,0)</f>
        <v>1</v>
      </c>
      <c r="AC391" s="7" t="n">
        <f aca="false">SUM(U391:AB391)</f>
        <v>1</v>
      </c>
      <c r="AD391" s="7" t="n">
        <f aca="false">IF(AC391=0,1,0)</f>
        <v>0</v>
      </c>
      <c r="AE391" s="7" t="n">
        <f aca="false">IF(AND(O391=1,I391&gt;=Inputs!$B$6,I391&lt;=Inputs!$B$7),1,0)</f>
        <v>0</v>
      </c>
      <c r="AF391" s="7" t="n">
        <f aca="false">IF(AND(E391="Closed Won",I391&gt;=Inputs!$B$6,I391&lt;=Inputs!$B$4),1,0)</f>
        <v>0</v>
      </c>
      <c r="AG391" s="7" t="n">
        <f aca="false">IF(AND(O391=0,I391&gt;Inputs!$B$4-Inputs!$B$8,I391&lt;=Inputs!$B$4),1,0)</f>
        <v>1</v>
      </c>
      <c r="AH391" s="7" t="n">
        <f aca="false">I391-H391</f>
        <v>69</v>
      </c>
    </row>
    <row r="392" customFormat="false" ht="15" hidden="false" customHeight="false" outlineLevel="0" collapsed="false">
      <c r="A392" s="16" t="s">
        <v>1472</v>
      </c>
      <c r="B392" s="16" t="s">
        <v>325</v>
      </c>
      <c r="C392" s="16" t="s">
        <v>1473</v>
      </c>
      <c r="D392" s="16" t="s">
        <v>167</v>
      </c>
      <c r="E392" s="16" t="s">
        <v>531</v>
      </c>
      <c r="F392" s="26" t="n">
        <v>10014000</v>
      </c>
      <c r="G392" s="25" t="n">
        <v>0</v>
      </c>
      <c r="H392" s="22" t="n">
        <v>46016</v>
      </c>
      <c r="I392" s="22" t="n">
        <v>46201</v>
      </c>
      <c r="J392" s="22" t="n">
        <v>46201</v>
      </c>
      <c r="K392" s="16" t="s">
        <v>583</v>
      </c>
      <c r="L392" s="16" t="s">
        <v>592</v>
      </c>
      <c r="M392" s="16"/>
      <c r="N392" s="16" t="s">
        <v>610</v>
      </c>
      <c r="O392" s="7" t="n">
        <f aca="false">IF(OR(E392="Closed Won",E392="Closed Lost"),0,1)</f>
        <v>0</v>
      </c>
      <c r="P392" s="17" t="str">
        <f aca="false">INDEX(Accounts!$K$5:$K$336,MATCH(B392,Accounts!$A$5:$A$336,0))</f>
        <v>Consumer &amp; Retail</v>
      </c>
      <c r="Q392" s="17" t="str">
        <f aca="false">INDEX(Accounts!$D$5:$D$336,MATCH(B392,Accounts!$A$5:$A$336,0))</f>
        <v>Key</v>
      </c>
      <c r="R392" s="7" t="n">
        <f aca="false">INDEX(Inputs!$B$11:$B$16,MATCH(E392,Inputs!$A$11:$A$16,0))</f>
        <v>0</v>
      </c>
      <c r="S392" s="27" t="n">
        <f aca="false">IF(F392="",0,F392)*R392/100</f>
        <v>0</v>
      </c>
      <c r="T392" s="7" t="n">
        <f aca="false">Inputs!$B$4-J392</f>
        <v>113</v>
      </c>
      <c r="U392" s="7" t="n">
        <f aca="false">IF(OR(F392="",F392=0),1,0)</f>
        <v>0</v>
      </c>
      <c r="V392" s="7" t="n">
        <f aca="false">IF(K392="",1,0)</f>
        <v>0</v>
      </c>
      <c r="W392" s="7" t="n">
        <f aca="false">IF(AND(O392=1,K392&lt;&gt;"",COUNTIFS(Owners!$A$5:$A$32,K392,Owners!$E$5:$E$32,"No")&gt;0),1,0)</f>
        <v>0</v>
      </c>
      <c r="X392" s="7" t="n">
        <f aca="false">IF(AND(O392=1,I392&lt;Inputs!$B$4),1,0)</f>
        <v>0</v>
      </c>
      <c r="Y392" s="7" t="n">
        <f aca="false">IF(AND(O392=1,T392&gt;Inputs!$B$5),1,0)</f>
        <v>0</v>
      </c>
      <c r="Z392" s="7" t="n">
        <f aca="false">IF(AND(O392=1,G392&lt;&gt;R392),1,0)</f>
        <v>0</v>
      </c>
      <c r="AA392" s="7" t="n">
        <f aca="false">IF(AND(O392=1,M392=""),1,0)</f>
        <v>0</v>
      </c>
      <c r="AB392" s="7" t="n">
        <f aca="false">IF(AND(E392="Closed Lost",N392=""),1,0)</f>
        <v>0</v>
      </c>
      <c r="AC392" s="7" t="n">
        <f aca="false">SUM(U392:AB392)</f>
        <v>0</v>
      </c>
      <c r="AD392" s="7" t="n">
        <f aca="false">IF(AC392=0,1,0)</f>
        <v>1</v>
      </c>
      <c r="AE392" s="7" t="n">
        <f aca="false">IF(AND(O392=1,I392&gt;=Inputs!$B$6,I392&lt;=Inputs!$B$7),1,0)</f>
        <v>0</v>
      </c>
      <c r="AF392" s="7" t="n">
        <f aca="false">IF(AND(E392="Closed Won",I392&gt;=Inputs!$B$6,I392&lt;=Inputs!$B$4),1,0)</f>
        <v>0</v>
      </c>
      <c r="AG392" s="7" t="n">
        <f aca="false">IF(AND(O392=0,I392&gt;Inputs!$B$4-Inputs!$B$8,I392&lt;=Inputs!$B$4),1,0)</f>
        <v>1</v>
      </c>
      <c r="AH392" s="7" t="n">
        <f aca="false">I392-H392</f>
        <v>185</v>
      </c>
    </row>
    <row r="393" customFormat="false" ht="15" hidden="false" customHeight="false" outlineLevel="0" collapsed="false">
      <c r="A393" s="16" t="s">
        <v>1474</v>
      </c>
      <c r="B393" s="16" t="s">
        <v>210</v>
      </c>
      <c r="C393" s="16" t="s">
        <v>1475</v>
      </c>
      <c r="D393" s="16" t="s">
        <v>167</v>
      </c>
      <c r="E393" s="16" t="s">
        <v>530</v>
      </c>
      <c r="F393" s="26" t="n">
        <v>10969000</v>
      </c>
      <c r="G393" s="25" t="n">
        <v>100</v>
      </c>
      <c r="H393" s="22" t="n">
        <v>45936</v>
      </c>
      <c r="I393" s="22" t="n">
        <v>46216</v>
      </c>
      <c r="J393" s="22" t="n">
        <v>46216</v>
      </c>
      <c r="K393" s="16" t="s">
        <v>654</v>
      </c>
      <c r="L393" s="16" t="s">
        <v>609</v>
      </c>
      <c r="M393" s="16"/>
      <c r="N393" s="16"/>
      <c r="O393" s="7" t="n">
        <f aca="false">IF(OR(E393="Closed Won",E393="Closed Lost"),0,1)</f>
        <v>0</v>
      </c>
      <c r="P393" s="17" t="str">
        <f aca="false">INDEX(Accounts!$K$5:$K$336,MATCH(B393,Accounts!$A$5:$A$336,0))</f>
        <v>Health</v>
      </c>
      <c r="Q393" s="17" t="str">
        <f aca="false">INDEX(Accounts!$D$5:$D$336,MATCH(B393,Accounts!$A$5:$A$336,0))</f>
        <v>Standard</v>
      </c>
      <c r="R393" s="7" t="n">
        <f aca="false">INDEX(Inputs!$B$11:$B$16,MATCH(E393,Inputs!$A$11:$A$16,0))</f>
        <v>100</v>
      </c>
      <c r="S393" s="27" t="n">
        <f aca="false">IF(F393="",0,F393)*R393/100</f>
        <v>10969000</v>
      </c>
      <c r="T393" s="7" t="n">
        <f aca="false">Inputs!$B$4-J393</f>
        <v>98</v>
      </c>
      <c r="U393" s="7" t="n">
        <f aca="false">IF(OR(F393="",F393=0),1,0)</f>
        <v>0</v>
      </c>
      <c r="V393" s="7" t="n">
        <f aca="false">IF(K393="",1,0)</f>
        <v>0</v>
      </c>
      <c r="W393" s="7" t="n">
        <f aca="false">IF(AND(O393=1,K393&lt;&gt;"",COUNTIFS(Owners!$A$5:$A$32,K393,Owners!$E$5:$E$32,"No")&gt;0),1,0)</f>
        <v>0</v>
      </c>
      <c r="X393" s="7" t="n">
        <f aca="false">IF(AND(O393=1,I393&lt;Inputs!$B$4),1,0)</f>
        <v>0</v>
      </c>
      <c r="Y393" s="7" t="n">
        <f aca="false">IF(AND(O393=1,T393&gt;Inputs!$B$5),1,0)</f>
        <v>0</v>
      </c>
      <c r="Z393" s="7" t="n">
        <f aca="false">IF(AND(O393=1,G393&lt;&gt;R393),1,0)</f>
        <v>0</v>
      </c>
      <c r="AA393" s="7" t="n">
        <f aca="false">IF(AND(O393=1,M393=""),1,0)</f>
        <v>0</v>
      </c>
      <c r="AB393" s="7" t="n">
        <f aca="false">IF(AND(E393="Closed Lost",N393=""),1,0)</f>
        <v>0</v>
      </c>
      <c r="AC393" s="7" t="n">
        <f aca="false">SUM(U393:AB393)</f>
        <v>0</v>
      </c>
      <c r="AD393" s="7" t="n">
        <f aca="false">IF(AC393=0,1,0)</f>
        <v>1</v>
      </c>
      <c r="AE393" s="7" t="n">
        <f aca="false">IF(AND(O393=1,I393&gt;=Inputs!$B$6,I393&lt;=Inputs!$B$7),1,0)</f>
        <v>0</v>
      </c>
      <c r="AF393" s="7" t="n">
        <f aca="false">IF(AND(E393="Closed Won",I393&gt;=Inputs!$B$6,I393&lt;=Inputs!$B$4),1,0)</f>
        <v>1</v>
      </c>
      <c r="AG393" s="7" t="n">
        <f aca="false">IF(AND(O393=0,I393&gt;Inputs!$B$4-Inputs!$B$8,I393&lt;=Inputs!$B$4),1,0)</f>
        <v>1</v>
      </c>
      <c r="AH393" s="7" t="n">
        <f aca="false">I393-H393</f>
        <v>280</v>
      </c>
    </row>
    <row r="394" customFormat="false" ht="15" hidden="false" customHeight="false" outlineLevel="0" collapsed="false">
      <c r="A394" s="16" t="s">
        <v>1476</v>
      </c>
      <c r="B394" s="16" t="s">
        <v>218</v>
      </c>
      <c r="C394" s="16" t="s">
        <v>1477</v>
      </c>
      <c r="D394" s="16" t="s">
        <v>165</v>
      </c>
      <c r="E394" s="16" t="s">
        <v>531</v>
      </c>
      <c r="F394" s="26" t="n">
        <v>3364000</v>
      </c>
      <c r="G394" s="25" t="n">
        <v>0</v>
      </c>
      <c r="H394" s="22" t="n">
        <v>46118</v>
      </c>
      <c r="I394" s="22" t="n">
        <v>46300</v>
      </c>
      <c r="J394" s="22" t="n">
        <v>46300</v>
      </c>
      <c r="K394" s="16" t="s">
        <v>600</v>
      </c>
      <c r="L394" s="16" t="s">
        <v>584</v>
      </c>
      <c r="M394" s="16"/>
      <c r="N394" s="16" t="s">
        <v>713</v>
      </c>
      <c r="O394" s="7" t="n">
        <f aca="false">IF(OR(E394="Closed Won",E394="Closed Lost"),0,1)</f>
        <v>0</v>
      </c>
      <c r="P394" s="17" t="str">
        <f aca="false">INDEX(Accounts!$K$5:$K$336,MATCH(B394,Accounts!$A$5:$A$336,0))</f>
        <v>Agribusiness</v>
      </c>
      <c r="Q394" s="17" t="str">
        <f aca="false">INDEX(Accounts!$D$5:$D$336,MATCH(B394,Accounts!$A$5:$A$336,0))</f>
        <v>Standard</v>
      </c>
      <c r="R394" s="7" t="n">
        <f aca="false">INDEX(Inputs!$B$11:$B$16,MATCH(E394,Inputs!$A$11:$A$16,0))</f>
        <v>0</v>
      </c>
      <c r="S394" s="27" t="n">
        <f aca="false">IF(F394="",0,F394)*R394/100</f>
        <v>0</v>
      </c>
      <c r="T394" s="7" t="n">
        <f aca="false">Inputs!$B$4-J394</f>
        <v>14</v>
      </c>
      <c r="U394" s="7" t="n">
        <f aca="false">IF(OR(F394="",F394=0),1,0)</f>
        <v>0</v>
      </c>
      <c r="V394" s="7" t="n">
        <f aca="false">IF(K394="",1,0)</f>
        <v>0</v>
      </c>
      <c r="W394" s="7" t="n">
        <f aca="false">IF(AND(O394=1,K394&lt;&gt;"",COUNTIFS(Owners!$A$5:$A$32,K394,Owners!$E$5:$E$32,"No")&gt;0),1,0)</f>
        <v>0</v>
      </c>
      <c r="X394" s="7" t="n">
        <f aca="false">IF(AND(O394=1,I394&lt;Inputs!$B$4),1,0)</f>
        <v>0</v>
      </c>
      <c r="Y394" s="7" t="n">
        <f aca="false">IF(AND(O394=1,T394&gt;Inputs!$B$5),1,0)</f>
        <v>0</v>
      </c>
      <c r="Z394" s="7" t="n">
        <f aca="false">IF(AND(O394=1,G394&lt;&gt;R394),1,0)</f>
        <v>0</v>
      </c>
      <c r="AA394" s="7" t="n">
        <f aca="false">IF(AND(O394=1,M394=""),1,0)</f>
        <v>0</v>
      </c>
      <c r="AB394" s="7" t="n">
        <f aca="false">IF(AND(E394="Closed Lost",N394=""),1,0)</f>
        <v>0</v>
      </c>
      <c r="AC394" s="7" t="n">
        <f aca="false">SUM(U394:AB394)</f>
        <v>0</v>
      </c>
      <c r="AD394" s="7" t="n">
        <f aca="false">IF(AC394=0,1,0)</f>
        <v>1</v>
      </c>
      <c r="AE394" s="7" t="n">
        <f aca="false">IF(AND(O394=1,I394&gt;=Inputs!$B$6,I394&lt;=Inputs!$B$7),1,0)</f>
        <v>0</v>
      </c>
      <c r="AF394" s="7" t="n">
        <f aca="false">IF(AND(E394="Closed Won",I394&gt;=Inputs!$B$6,I394&lt;=Inputs!$B$4),1,0)</f>
        <v>0</v>
      </c>
      <c r="AG394" s="7" t="n">
        <f aca="false">IF(AND(O394=0,I394&gt;Inputs!$B$4-Inputs!$B$8,I394&lt;=Inputs!$B$4),1,0)</f>
        <v>1</v>
      </c>
      <c r="AH394" s="7" t="n">
        <f aca="false">I394-H394</f>
        <v>182</v>
      </c>
    </row>
    <row r="395" customFormat="false" ht="15" hidden="false" customHeight="false" outlineLevel="0" collapsed="false">
      <c r="A395" s="16" t="s">
        <v>1478</v>
      </c>
      <c r="B395" s="16" t="s">
        <v>57</v>
      </c>
      <c r="C395" s="16" t="s">
        <v>1479</v>
      </c>
      <c r="D395" s="16" t="s">
        <v>165</v>
      </c>
      <c r="E395" s="16" t="s">
        <v>527</v>
      </c>
      <c r="F395" s="26" t="n">
        <v>18576000</v>
      </c>
      <c r="G395" s="25" t="n">
        <v>90</v>
      </c>
      <c r="H395" s="22" t="n">
        <v>46244</v>
      </c>
      <c r="I395" s="22" t="n">
        <v>46478</v>
      </c>
      <c r="J395" s="22" t="n">
        <v>46300</v>
      </c>
      <c r="K395" s="16" t="s">
        <v>691</v>
      </c>
      <c r="L395" s="16" t="s">
        <v>568</v>
      </c>
      <c r="M395" s="16" t="s">
        <v>601</v>
      </c>
      <c r="N395" s="16"/>
      <c r="O395" s="7" t="n">
        <f aca="false">IF(OR(E395="Closed Won",E395="Closed Lost"),0,1)</f>
        <v>1</v>
      </c>
      <c r="P395" s="17" t="str">
        <f aca="false">INDEX(Accounts!$K$5:$K$336,MATCH(B395,Accounts!$A$5:$A$336,0))</f>
        <v>Financial Services</v>
      </c>
      <c r="Q395" s="17" t="str">
        <f aca="false">INDEX(Accounts!$D$5:$D$336,MATCH(B395,Accounts!$A$5:$A$336,0))</f>
        <v>Priority</v>
      </c>
      <c r="R395" s="7" t="n">
        <f aca="false">INDEX(Inputs!$B$11:$B$16,MATCH(E395,Inputs!$A$11:$A$16,0))</f>
        <v>25</v>
      </c>
      <c r="S395" s="27" t="n">
        <f aca="false">IF(F395="",0,F395)*R395/100</f>
        <v>4644000</v>
      </c>
      <c r="T395" s="7" t="n">
        <f aca="false">Inputs!$B$4-J395</f>
        <v>14</v>
      </c>
      <c r="U395" s="7" t="n">
        <f aca="false">IF(OR(F395="",F395=0),1,0)</f>
        <v>0</v>
      </c>
      <c r="V395" s="7" t="n">
        <f aca="false">IF(K395="",1,0)</f>
        <v>0</v>
      </c>
      <c r="W395" s="7" t="n">
        <f aca="false">IF(AND(O395=1,K395&lt;&gt;"",COUNTIFS(Owners!$A$5:$A$32,K395,Owners!$E$5:$E$32,"No")&gt;0),1,0)</f>
        <v>0</v>
      </c>
      <c r="X395" s="7" t="n">
        <f aca="false">IF(AND(O395=1,I395&lt;Inputs!$B$4),1,0)</f>
        <v>0</v>
      </c>
      <c r="Y395" s="7" t="n">
        <f aca="false">IF(AND(O395=1,T395&gt;Inputs!$B$5),1,0)</f>
        <v>0</v>
      </c>
      <c r="Z395" s="7" t="n">
        <f aca="false">IF(AND(O395=1,G395&lt;&gt;R395),1,0)</f>
        <v>1</v>
      </c>
      <c r="AA395" s="7" t="n">
        <f aca="false">IF(AND(O395=1,M395=""),1,0)</f>
        <v>0</v>
      </c>
      <c r="AB395" s="7" t="n">
        <f aca="false">IF(AND(E395="Closed Lost",N395=""),1,0)</f>
        <v>0</v>
      </c>
      <c r="AC395" s="7" t="n">
        <f aca="false">SUM(U395:AB395)</f>
        <v>1</v>
      </c>
      <c r="AD395" s="7" t="n">
        <f aca="false">IF(AC395=0,1,0)</f>
        <v>0</v>
      </c>
      <c r="AE395" s="7" t="n">
        <f aca="false">IF(AND(O395=1,I395&gt;=Inputs!$B$6,I395&lt;=Inputs!$B$7),1,0)</f>
        <v>1</v>
      </c>
      <c r="AF395" s="7" t="n">
        <f aca="false">IF(AND(E395="Closed Won",I395&gt;=Inputs!$B$6,I395&lt;=Inputs!$B$4),1,0)</f>
        <v>0</v>
      </c>
      <c r="AG395" s="7" t="n">
        <f aca="false">IF(AND(O395=0,I395&gt;Inputs!$B$4-Inputs!$B$8,I395&lt;=Inputs!$B$4),1,0)</f>
        <v>0</v>
      </c>
      <c r="AH395" s="7" t="n">
        <f aca="false">I395-H395</f>
        <v>234</v>
      </c>
    </row>
    <row r="396" customFormat="false" ht="15" hidden="false" customHeight="false" outlineLevel="0" collapsed="false">
      <c r="A396" s="16" t="s">
        <v>1480</v>
      </c>
      <c r="B396" s="16" t="s">
        <v>74</v>
      </c>
      <c r="C396" s="16" t="s">
        <v>1194</v>
      </c>
      <c r="D396" s="16" t="s">
        <v>162</v>
      </c>
      <c r="E396" s="16" t="s">
        <v>530</v>
      </c>
      <c r="F396" s="26" t="n">
        <v>5016000</v>
      </c>
      <c r="G396" s="25" t="n">
        <v>100</v>
      </c>
      <c r="H396" s="22" t="n">
        <v>46040</v>
      </c>
      <c r="I396" s="22" t="n">
        <v>46109</v>
      </c>
      <c r="J396" s="22" t="n">
        <v>46109</v>
      </c>
      <c r="K396" s="16" t="s">
        <v>765</v>
      </c>
      <c r="L396" s="16" t="s">
        <v>592</v>
      </c>
      <c r="M396" s="16"/>
      <c r="N396" s="16"/>
      <c r="O396" s="7" t="n">
        <f aca="false">IF(OR(E396="Closed Won",E396="Closed Lost"),0,1)</f>
        <v>0</v>
      </c>
      <c r="P396" s="17" t="str">
        <f aca="false">INDEX(Accounts!$K$5:$K$336,MATCH(B396,Accounts!$A$5:$A$336,0))</f>
        <v>Technology, Media &amp; Telecom</v>
      </c>
      <c r="Q396" s="17" t="str">
        <f aca="false">INDEX(Accounts!$D$5:$D$336,MATCH(B396,Accounts!$A$5:$A$336,0))</f>
        <v>Priority</v>
      </c>
      <c r="R396" s="7" t="n">
        <f aca="false">INDEX(Inputs!$B$11:$B$16,MATCH(E396,Inputs!$A$11:$A$16,0))</f>
        <v>100</v>
      </c>
      <c r="S396" s="27" t="n">
        <f aca="false">IF(F396="",0,F396)*R396/100</f>
        <v>5016000</v>
      </c>
      <c r="T396" s="7" t="n">
        <f aca="false">Inputs!$B$4-J396</f>
        <v>205</v>
      </c>
      <c r="U396" s="7" t="n">
        <f aca="false">IF(OR(F396="",F396=0),1,0)</f>
        <v>0</v>
      </c>
      <c r="V396" s="7" t="n">
        <f aca="false">IF(K396="",1,0)</f>
        <v>0</v>
      </c>
      <c r="W396" s="7" t="n">
        <f aca="false">IF(AND(O396=1,K396&lt;&gt;"",COUNTIFS(Owners!$A$5:$A$32,K396,Owners!$E$5:$E$32,"No")&gt;0),1,0)</f>
        <v>0</v>
      </c>
      <c r="X396" s="7" t="n">
        <f aca="false">IF(AND(O396=1,I396&lt;Inputs!$B$4),1,0)</f>
        <v>0</v>
      </c>
      <c r="Y396" s="7" t="n">
        <f aca="false">IF(AND(O396=1,T396&gt;Inputs!$B$5),1,0)</f>
        <v>0</v>
      </c>
      <c r="Z396" s="7" t="n">
        <f aca="false">IF(AND(O396=1,G396&lt;&gt;R396),1,0)</f>
        <v>0</v>
      </c>
      <c r="AA396" s="7" t="n">
        <f aca="false">IF(AND(O396=1,M396=""),1,0)</f>
        <v>0</v>
      </c>
      <c r="AB396" s="7" t="n">
        <f aca="false">IF(AND(E396="Closed Lost",N396=""),1,0)</f>
        <v>0</v>
      </c>
      <c r="AC396" s="7" t="n">
        <f aca="false">SUM(U396:AB396)</f>
        <v>0</v>
      </c>
      <c r="AD396" s="7" t="n">
        <f aca="false">IF(AC396=0,1,0)</f>
        <v>1</v>
      </c>
      <c r="AE396" s="7" t="n">
        <f aca="false">IF(AND(O396=1,I396&gt;=Inputs!$B$6,I396&lt;=Inputs!$B$7),1,0)</f>
        <v>0</v>
      </c>
      <c r="AF396" s="7" t="n">
        <f aca="false">IF(AND(E396="Closed Won",I396&gt;=Inputs!$B$6,I396&lt;=Inputs!$B$4),1,0)</f>
        <v>0</v>
      </c>
      <c r="AG396" s="7" t="n">
        <f aca="false">IF(AND(O396=0,I396&gt;Inputs!$B$4-Inputs!$B$8,I396&lt;=Inputs!$B$4),1,0)</f>
        <v>1</v>
      </c>
      <c r="AH396" s="7" t="n">
        <f aca="false">I396-H396</f>
        <v>69</v>
      </c>
    </row>
    <row r="397" customFormat="false" ht="15" hidden="false" customHeight="false" outlineLevel="0" collapsed="false">
      <c r="A397" s="16" t="s">
        <v>1481</v>
      </c>
      <c r="B397" s="16" t="s">
        <v>227</v>
      </c>
      <c r="C397" s="16" t="s">
        <v>1482</v>
      </c>
      <c r="D397" s="16" t="s">
        <v>162</v>
      </c>
      <c r="E397" s="16" t="s">
        <v>527</v>
      </c>
      <c r="F397" s="26" t="n">
        <v>18299000</v>
      </c>
      <c r="G397" s="25" t="n">
        <v>25</v>
      </c>
      <c r="H397" s="22" t="n">
        <v>46097</v>
      </c>
      <c r="I397" s="22" t="n">
        <v>46519</v>
      </c>
      <c r="J397" s="22" t="n">
        <v>46278</v>
      </c>
      <c r="K397" s="16" t="s">
        <v>729</v>
      </c>
      <c r="L397" s="16" t="s">
        <v>592</v>
      </c>
      <c r="M397" s="16" t="s">
        <v>575</v>
      </c>
      <c r="N397" s="16"/>
      <c r="O397" s="7" t="n">
        <f aca="false">IF(OR(E397="Closed Won",E397="Closed Lost"),0,1)</f>
        <v>1</v>
      </c>
      <c r="P397" s="17" t="str">
        <f aca="false">INDEX(Accounts!$K$5:$K$336,MATCH(B397,Accounts!$A$5:$A$336,0))</f>
        <v>Unassigned</v>
      </c>
      <c r="Q397" s="17" t="str">
        <f aca="false">INDEX(Accounts!$D$5:$D$336,MATCH(B397,Accounts!$A$5:$A$336,0))</f>
        <v>Standard</v>
      </c>
      <c r="R397" s="7" t="n">
        <f aca="false">INDEX(Inputs!$B$11:$B$16,MATCH(E397,Inputs!$A$11:$A$16,0))</f>
        <v>25</v>
      </c>
      <c r="S397" s="27" t="n">
        <f aca="false">IF(F397="",0,F397)*R397/100</f>
        <v>4574750</v>
      </c>
      <c r="T397" s="7" t="n">
        <f aca="false">Inputs!$B$4-J397</f>
        <v>36</v>
      </c>
      <c r="U397" s="7" t="n">
        <f aca="false">IF(OR(F397="",F397=0),1,0)</f>
        <v>0</v>
      </c>
      <c r="V397" s="7" t="n">
        <f aca="false">IF(K397="",1,0)</f>
        <v>0</v>
      </c>
      <c r="W397" s="7" t="n">
        <f aca="false">IF(AND(O397=1,K397&lt;&gt;"",COUNTIFS(Owners!$A$5:$A$32,K397,Owners!$E$5:$E$32,"No")&gt;0),1,0)</f>
        <v>0</v>
      </c>
      <c r="X397" s="7" t="n">
        <f aca="false">IF(AND(O397=1,I397&lt;Inputs!$B$4),1,0)</f>
        <v>0</v>
      </c>
      <c r="Y397" s="7" t="n">
        <f aca="false">IF(AND(O397=1,T397&gt;Inputs!$B$5),1,0)</f>
        <v>0</v>
      </c>
      <c r="Z397" s="7" t="n">
        <f aca="false">IF(AND(O397=1,G397&lt;&gt;R397),1,0)</f>
        <v>0</v>
      </c>
      <c r="AA397" s="7" t="n">
        <f aca="false">IF(AND(O397=1,M397=""),1,0)</f>
        <v>0</v>
      </c>
      <c r="AB397" s="7" t="n">
        <f aca="false">IF(AND(E397="Closed Lost",N397=""),1,0)</f>
        <v>0</v>
      </c>
      <c r="AC397" s="7" t="n">
        <f aca="false">SUM(U397:AB397)</f>
        <v>0</v>
      </c>
      <c r="AD397" s="7" t="n">
        <f aca="false">IF(AC397=0,1,0)</f>
        <v>1</v>
      </c>
      <c r="AE397" s="7" t="n">
        <f aca="false">IF(AND(O397=1,I397&gt;=Inputs!$B$6,I397&lt;=Inputs!$B$7),1,0)</f>
        <v>1</v>
      </c>
      <c r="AF397" s="7" t="n">
        <f aca="false">IF(AND(E397="Closed Won",I397&gt;=Inputs!$B$6,I397&lt;=Inputs!$B$4),1,0)</f>
        <v>0</v>
      </c>
      <c r="AG397" s="7" t="n">
        <f aca="false">IF(AND(O397=0,I397&gt;Inputs!$B$4-Inputs!$B$8,I397&lt;=Inputs!$B$4),1,0)</f>
        <v>0</v>
      </c>
      <c r="AH397" s="7" t="n">
        <f aca="false">I397-H397</f>
        <v>422</v>
      </c>
    </row>
    <row r="398" customFormat="false" ht="15" hidden="false" customHeight="false" outlineLevel="0" collapsed="false">
      <c r="A398" s="16" t="s">
        <v>1483</v>
      </c>
      <c r="B398" s="16" t="s">
        <v>68</v>
      </c>
      <c r="C398" s="16" t="s">
        <v>1484</v>
      </c>
      <c r="D398" s="16" t="s">
        <v>177</v>
      </c>
      <c r="E398" s="16" t="s">
        <v>529</v>
      </c>
      <c r="F398" s="26" t="n">
        <v>2366000</v>
      </c>
      <c r="G398" s="25" t="n">
        <v>75</v>
      </c>
      <c r="H398" s="22" t="n">
        <v>46309</v>
      </c>
      <c r="I398" s="22" t="n">
        <v>46556</v>
      </c>
      <c r="J398" s="22" t="n">
        <v>46277</v>
      </c>
      <c r="K398" s="16" t="s">
        <v>704</v>
      </c>
      <c r="L398" s="16" t="s">
        <v>609</v>
      </c>
      <c r="M398" s="16" t="s">
        <v>569</v>
      </c>
      <c r="N398" s="16"/>
      <c r="O398" s="7" t="n">
        <f aca="false">IF(OR(E398="Closed Won",E398="Closed Lost"),0,1)</f>
        <v>1</v>
      </c>
      <c r="P398" s="17" t="str">
        <f aca="false">INDEX(Accounts!$K$5:$K$336,MATCH(B398,Accounts!$A$5:$A$336,0))</f>
        <v>Financial Services</v>
      </c>
      <c r="Q398" s="17" t="str">
        <f aca="false">INDEX(Accounts!$D$5:$D$336,MATCH(B398,Accounts!$A$5:$A$336,0))</f>
        <v>Priority</v>
      </c>
      <c r="R398" s="7" t="n">
        <f aca="false">INDEX(Inputs!$B$11:$B$16,MATCH(E398,Inputs!$A$11:$A$16,0))</f>
        <v>75</v>
      </c>
      <c r="S398" s="27" t="n">
        <f aca="false">IF(F398="",0,F398)*R398/100</f>
        <v>1774500</v>
      </c>
      <c r="T398" s="7" t="n">
        <f aca="false">Inputs!$B$4-J398</f>
        <v>37</v>
      </c>
      <c r="U398" s="7" t="n">
        <f aca="false">IF(OR(F398="",F398=0),1,0)</f>
        <v>0</v>
      </c>
      <c r="V398" s="7" t="n">
        <f aca="false">IF(K398="",1,0)</f>
        <v>0</v>
      </c>
      <c r="W398" s="7" t="n">
        <f aca="false">IF(AND(O398=1,K398&lt;&gt;"",COUNTIFS(Owners!$A$5:$A$32,K398,Owners!$E$5:$E$32,"No")&gt;0),1,0)</f>
        <v>0</v>
      </c>
      <c r="X398" s="7" t="n">
        <f aca="false">IF(AND(O398=1,I398&lt;Inputs!$B$4),1,0)</f>
        <v>0</v>
      </c>
      <c r="Y398" s="7" t="n">
        <f aca="false">IF(AND(O398=1,T398&gt;Inputs!$B$5),1,0)</f>
        <v>0</v>
      </c>
      <c r="Z398" s="7" t="n">
        <f aca="false">IF(AND(O398=1,G398&lt;&gt;R398),1,0)</f>
        <v>0</v>
      </c>
      <c r="AA398" s="7" t="n">
        <f aca="false">IF(AND(O398=1,M398=""),1,0)</f>
        <v>0</v>
      </c>
      <c r="AB398" s="7" t="n">
        <f aca="false">IF(AND(E398="Closed Lost",N398=""),1,0)</f>
        <v>0</v>
      </c>
      <c r="AC398" s="7" t="n">
        <f aca="false">SUM(U398:AB398)</f>
        <v>0</v>
      </c>
      <c r="AD398" s="7" t="n">
        <f aca="false">IF(AC398=0,1,0)</f>
        <v>1</v>
      </c>
      <c r="AE398" s="7" t="n">
        <f aca="false">IF(AND(O398=1,I398&gt;=Inputs!$B$6,I398&lt;=Inputs!$B$7),1,0)</f>
        <v>1</v>
      </c>
      <c r="AF398" s="7" t="n">
        <f aca="false">IF(AND(E398="Closed Won",I398&gt;=Inputs!$B$6,I398&lt;=Inputs!$B$4),1,0)</f>
        <v>0</v>
      </c>
      <c r="AG398" s="7" t="n">
        <f aca="false">IF(AND(O398=0,I398&gt;Inputs!$B$4-Inputs!$B$8,I398&lt;=Inputs!$B$4),1,0)</f>
        <v>0</v>
      </c>
      <c r="AH398" s="7" t="n">
        <f aca="false">I398-H398</f>
        <v>247</v>
      </c>
    </row>
    <row r="399" customFormat="false" ht="15" hidden="false" customHeight="false" outlineLevel="0" collapsed="false">
      <c r="A399" s="16" t="s">
        <v>1485</v>
      </c>
      <c r="B399" s="16" t="s">
        <v>238</v>
      </c>
      <c r="C399" s="16" t="s">
        <v>1486</v>
      </c>
      <c r="D399" s="16" t="s">
        <v>167</v>
      </c>
      <c r="E399" s="16" t="s">
        <v>530</v>
      </c>
      <c r="F399" s="26" t="n">
        <v>3517000</v>
      </c>
      <c r="G399" s="25" t="n">
        <v>100</v>
      </c>
      <c r="H399" s="22" t="n">
        <v>46017</v>
      </c>
      <c r="I399" s="22" t="n">
        <v>46183</v>
      </c>
      <c r="J399" s="22" t="n">
        <v>46183</v>
      </c>
      <c r="K399" s="16" t="s">
        <v>600</v>
      </c>
      <c r="L399" s="16" t="s">
        <v>568</v>
      </c>
      <c r="M399" s="16"/>
      <c r="N399" s="16"/>
      <c r="O399" s="7" t="n">
        <f aca="false">IF(OR(E399="Closed Won",E399="Closed Lost"),0,1)</f>
        <v>0</v>
      </c>
      <c r="P399" s="17" t="str">
        <f aca="false">INDEX(Accounts!$K$5:$K$336,MATCH(B399,Accounts!$A$5:$A$336,0))</f>
        <v>Energy &amp; Resources</v>
      </c>
      <c r="Q399" s="17" t="str">
        <f aca="false">INDEX(Accounts!$D$5:$D$336,MATCH(B399,Accounts!$A$5:$A$336,0))</f>
        <v>Key</v>
      </c>
      <c r="R399" s="7" t="n">
        <f aca="false">INDEX(Inputs!$B$11:$B$16,MATCH(E399,Inputs!$A$11:$A$16,0))</f>
        <v>100</v>
      </c>
      <c r="S399" s="27" t="n">
        <f aca="false">IF(F399="",0,F399)*R399/100</f>
        <v>3517000</v>
      </c>
      <c r="T399" s="7" t="n">
        <f aca="false">Inputs!$B$4-J399</f>
        <v>131</v>
      </c>
      <c r="U399" s="7" t="n">
        <f aca="false">IF(OR(F399="",F399=0),1,0)</f>
        <v>0</v>
      </c>
      <c r="V399" s="7" t="n">
        <f aca="false">IF(K399="",1,0)</f>
        <v>0</v>
      </c>
      <c r="W399" s="7" t="n">
        <f aca="false">IF(AND(O399=1,K399&lt;&gt;"",COUNTIFS(Owners!$A$5:$A$32,K399,Owners!$E$5:$E$32,"No")&gt;0),1,0)</f>
        <v>0</v>
      </c>
      <c r="X399" s="7" t="n">
        <f aca="false">IF(AND(O399=1,I399&lt;Inputs!$B$4),1,0)</f>
        <v>0</v>
      </c>
      <c r="Y399" s="7" t="n">
        <f aca="false">IF(AND(O399=1,T399&gt;Inputs!$B$5),1,0)</f>
        <v>0</v>
      </c>
      <c r="Z399" s="7" t="n">
        <f aca="false">IF(AND(O399=1,G399&lt;&gt;R399),1,0)</f>
        <v>0</v>
      </c>
      <c r="AA399" s="7" t="n">
        <f aca="false">IF(AND(O399=1,M399=""),1,0)</f>
        <v>0</v>
      </c>
      <c r="AB399" s="7" t="n">
        <f aca="false">IF(AND(E399="Closed Lost",N399=""),1,0)</f>
        <v>0</v>
      </c>
      <c r="AC399" s="7" t="n">
        <f aca="false">SUM(U399:AB399)</f>
        <v>0</v>
      </c>
      <c r="AD399" s="7" t="n">
        <f aca="false">IF(AC399=0,1,0)</f>
        <v>1</v>
      </c>
      <c r="AE399" s="7" t="n">
        <f aca="false">IF(AND(O399=1,I399&gt;=Inputs!$B$6,I399&lt;=Inputs!$B$7),1,0)</f>
        <v>0</v>
      </c>
      <c r="AF399" s="7" t="n">
        <f aca="false">IF(AND(E399="Closed Won",I399&gt;=Inputs!$B$6,I399&lt;=Inputs!$B$4),1,0)</f>
        <v>0</v>
      </c>
      <c r="AG399" s="7" t="n">
        <f aca="false">IF(AND(O399=0,I399&gt;Inputs!$B$4-Inputs!$B$8,I399&lt;=Inputs!$B$4),1,0)</f>
        <v>1</v>
      </c>
      <c r="AH399" s="7" t="n">
        <f aca="false">I399-H399</f>
        <v>166</v>
      </c>
    </row>
    <row r="400" customFormat="false" ht="15" hidden="false" customHeight="false" outlineLevel="0" collapsed="false">
      <c r="A400" s="16" t="s">
        <v>1487</v>
      </c>
      <c r="B400" s="16" t="s">
        <v>67</v>
      </c>
      <c r="C400" s="16" t="s">
        <v>1396</v>
      </c>
      <c r="D400" s="16" t="s">
        <v>167</v>
      </c>
      <c r="E400" s="16" t="s">
        <v>530</v>
      </c>
      <c r="F400" s="26" t="n">
        <v>7794000</v>
      </c>
      <c r="G400" s="25" t="n">
        <v>100</v>
      </c>
      <c r="H400" s="22" t="n">
        <v>45913</v>
      </c>
      <c r="I400" s="22" t="n">
        <v>46022</v>
      </c>
      <c r="J400" s="22" t="n">
        <v>46022</v>
      </c>
      <c r="K400" s="16" t="s">
        <v>729</v>
      </c>
      <c r="L400" s="16" t="s">
        <v>574</v>
      </c>
      <c r="M400" s="16"/>
      <c r="N400" s="16"/>
      <c r="O400" s="7" t="n">
        <f aca="false">IF(OR(E400="Closed Won",E400="Closed Lost"),0,1)</f>
        <v>0</v>
      </c>
      <c r="P400" s="17" t="str">
        <f aca="false">INDEX(Accounts!$K$5:$K$336,MATCH(B400,Accounts!$A$5:$A$336,0))</f>
        <v>Financial Services</v>
      </c>
      <c r="Q400" s="17" t="str">
        <f aca="false">INDEX(Accounts!$D$5:$D$336,MATCH(B400,Accounts!$A$5:$A$336,0))</f>
        <v>Priority</v>
      </c>
      <c r="R400" s="7" t="n">
        <f aca="false">INDEX(Inputs!$B$11:$B$16,MATCH(E400,Inputs!$A$11:$A$16,0))</f>
        <v>100</v>
      </c>
      <c r="S400" s="27" t="n">
        <f aca="false">IF(F400="",0,F400)*R400/100</f>
        <v>7794000</v>
      </c>
      <c r="T400" s="7" t="n">
        <f aca="false">Inputs!$B$4-J400</f>
        <v>292</v>
      </c>
      <c r="U400" s="7" t="n">
        <f aca="false">IF(OR(F400="",F400=0),1,0)</f>
        <v>0</v>
      </c>
      <c r="V400" s="7" t="n">
        <f aca="false">IF(K400="",1,0)</f>
        <v>0</v>
      </c>
      <c r="W400" s="7" t="n">
        <f aca="false">IF(AND(O400=1,K400&lt;&gt;"",COUNTIFS(Owners!$A$5:$A$32,K400,Owners!$E$5:$E$32,"No")&gt;0),1,0)</f>
        <v>0</v>
      </c>
      <c r="X400" s="7" t="n">
        <f aca="false">IF(AND(O400=1,I400&lt;Inputs!$B$4),1,0)</f>
        <v>0</v>
      </c>
      <c r="Y400" s="7" t="n">
        <f aca="false">IF(AND(O400=1,T400&gt;Inputs!$B$5),1,0)</f>
        <v>0</v>
      </c>
      <c r="Z400" s="7" t="n">
        <f aca="false">IF(AND(O400=1,G400&lt;&gt;R400),1,0)</f>
        <v>0</v>
      </c>
      <c r="AA400" s="7" t="n">
        <f aca="false">IF(AND(O400=1,M400=""),1,0)</f>
        <v>0</v>
      </c>
      <c r="AB400" s="7" t="n">
        <f aca="false">IF(AND(E400="Closed Lost",N400=""),1,0)</f>
        <v>0</v>
      </c>
      <c r="AC400" s="7" t="n">
        <f aca="false">SUM(U400:AB400)</f>
        <v>0</v>
      </c>
      <c r="AD400" s="7" t="n">
        <f aca="false">IF(AC400=0,1,0)</f>
        <v>1</v>
      </c>
      <c r="AE400" s="7" t="n">
        <f aca="false">IF(AND(O400=1,I400&gt;=Inputs!$B$6,I400&lt;=Inputs!$B$7),1,0)</f>
        <v>0</v>
      </c>
      <c r="AF400" s="7" t="n">
        <f aca="false">IF(AND(E400="Closed Won",I400&gt;=Inputs!$B$6,I400&lt;=Inputs!$B$4),1,0)</f>
        <v>0</v>
      </c>
      <c r="AG400" s="7" t="n">
        <f aca="false">IF(AND(O400=0,I400&gt;Inputs!$B$4-Inputs!$B$8,I400&lt;=Inputs!$B$4),1,0)</f>
        <v>1</v>
      </c>
      <c r="AH400" s="7" t="n">
        <f aca="false">I400-H400</f>
        <v>109</v>
      </c>
    </row>
    <row r="401" customFormat="false" ht="15" hidden="false" customHeight="false" outlineLevel="0" collapsed="false">
      <c r="A401" s="16" t="s">
        <v>1488</v>
      </c>
      <c r="B401" s="16" t="s">
        <v>1489</v>
      </c>
      <c r="C401" s="16" t="s">
        <v>1490</v>
      </c>
      <c r="D401" s="16" t="s">
        <v>167</v>
      </c>
      <c r="E401" s="16" t="s">
        <v>529</v>
      </c>
      <c r="F401" s="26" t="n">
        <v>22194000</v>
      </c>
      <c r="G401" s="25" t="n">
        <v>75</v>
      </c>
      <c r="H401" s="22" t="n">
        <v>46168</v>
      </c>
      <c r="I401" s="22" t="n">
        <v>46314</v>
      </c>
      <c r="J401" s="22" t="n">
        <v>46270</v>
      </c>
      <c r="K401" s="16" t="s">
        <v>578</v>
      </c>
      <c r="L401" s="16" t="s">
        <v>609</v>
      </c>
      <c r="M401" s="16" t="s">
        <v>575</v>
      </c>
      <c r="N401" s="16"/>
      <c r="O401" s="7" t="n">
        <f aca="false">IF(OR(E401="Closed Won",E401="Closed Lost"),0,1)</f>
        <v>1</v>
      </c>
      <c r="P401" s="17" t="str">
        <f aca="false">INDEX(Accounts!$K$5:$K$336,MATCH(B401,Accounts!$A$5:$A$336,0))</f>
        <v>Technology, Media &amp; Telecom</v>
      </c>
      <c r="Q401" s="17" t="str">
        <f aca="false">INDEX(Accounts!$D$5:$D$336,MATCH(B401,Accounts!$A$5:$A$336,0))</f>
        <v>Standard</v>
      </c>
      <c r="R401" s="7" t="n">
        <f aca="false">INDEX(Inputs!$B$11:$B$16,MATCH(E401,Inputs!$A$11:$A$16,0))</f>
        <v>75</v>
      </c>
      <c r="S401" s="27" t="n">
        <f aca="false">IF(F401="",0,F401)*R401/100</f>
        <v>16645500</v>
      </c>
      <c r="T401" s="7" t="n">
        <f aca="false">Inputs!$B$4-J401</f>
        <v>44</v>
      </c>
      <c r="U401" s="7" t="n">
        <f aca="false">IF(OR(F401="",F401=0),1,0)</f>
        <v>0</v>
      </c>
      <c r="V401" s="7" t="n">
        <f aca="false">IF(K401="",1,0)</f>
        <v>0</v>
      </c>
      <c r="W401" s="7" t="n">
        <f aca="false">IF(AND(O401=1,K401&lt;&gt;"",COUNTIFS(Owners!$A$5:$A$32,K401,Owners!$E$5:$E$32,"No")&gt;0),1,0)</f>
        <v>0</v>
      </c>
      <c r="X401" s="7" t="n">
        <f aca="false">IF(AND(O401=1,I401&lt;Inputs!$B$4),1,0)</f>
        <v>0</v>
      </c>
      <c r="Y401" s="7" t="n">
        <f aca="false">IF(AND(O401=1,T401&gt;Inputs!$B$5),1,0)</f>
        <v>0</v>
      </c>
      <c r="Z401" s="7" t="n">
        <f aca="false">IF(AND(O401=1,G401&lt;&gt;R401),1,0)</f>
        <v>0</v>
      </c>
      <c r="AA401" s="7" t="n">
        <f aca="false">IF(AND(O401=1,M401=""),1,0)</f>
        <v>0</v>
      </c>
      <c r="AB401" s="7" t="n">
        <f aca="false">IF(AND(E401="Closed Lost",N401=""),1,0)</f>
        <v>0</v>
      </c>
      <c r="AC401" s="7" t="n">
        <f aca="false">SUM(U401:AB401)</f>
        <v>0</v>
      </c>
      <c r="AD401" s="7" t="n">
        <f aca="false">IF(AC401=0,1,0)</f>
        <v>1</v>
      </c>
      <c r="AE401" s="7" t="n">
        <f aca="false">IF(AND(O401=1,I401&gt;=Inputs!$B$6,I401&lt;=Inputs!$B$7),1,0)</f>
        <v>1</v>
      </c>
      <c r="AF401" s="7" t="n">
        <f aca="false">IF(AND(E401="Closed Won",I401&gt;=Inputs!$B$6,I401&lt;=Inputs!$B$4),1,0)</f>
        <v>0</v>
      </c>
      <c r="AG401" s="7" t="n">
        <f aca="false">IF(AND(O401=0,I401&gt;Inputs!$B$4-Inputs!$B$8,I401&lt;=Inputs!$B$4),1,0)</f>
        <v>0</v>
      </c>
      <c r="AH401" s="7" t="n">
        <f aca="false">I401-H401</f>
        <v>146</v>
      </c>
    </row>
    <row r="402" customFormat="false" ht="15" hidden="false" customHeight="false" outlineLevel="0" collapsed="false">
      <c r="A402" s="16" t="s">
        <v>1491</v>
      </c>
      <c r="B402" s="16" t="s">
        <v>1492</v>
      </c>
      <c r="C402" s="16" t="s">
        <v>1493</v>
      </c>
      <c r="D402" s="16" t="s">
        <v>162</v>
      </c>
      <c r="E402" s="16" t="s">
        <v>526</v>
      </c>
      <c r="F402" s="26" t="n">
        <v>6838000</v>
      </c>
      <c r="G402" s="25" t="n">
        <v>10</v>
      </c>
      <c r="H402" s="22" t="n">
        <v>46169</v>
      </c>
      <c r="I402" s="22" t="n">
        <v>46316</v>
      </c>
      <c r="J402" s="22" t="n">
        <v>46304</v>
      </c>
      <c r="K402" s="16" t="s">
        <v>880</v>
      </c>
      <c r="L402" s="16" t="s">
        <v>500</v>
      </c>
      <c r="M402" s="16" t="s">
        <v>601</v>
      </c>
      <c r="N402" s="16"/>
      <c r="O402" s="7" t="n">
        <f aca="false">IF(OR(E402="Closed Won",E402="Closed Lost"),0,1)</f>
        <v>1</v>
      </c>
      <c r="P402" s="17" t="str">
        <f aca="false">INDEX(Accounts!$K$5:$K$336,MATCH(B402,Accounts!$A$5:$A$336,0))</f>
        <v>Energy &amp; Resources</v>
      </c>
      <c r="Q402" s="17" t="str">
        <f aca="false">INDEX(Accounts!$D$5:$D$336,MATCH(B402,Accounts!$A$5:$A$336,0))</f>
        <v>Key</v>
      </c>
      <c r="R402" s="7" t="n">
        <f aca="false">INDEX(Inputs!$B$11:$B$16,MATCH(E402,Inputs!$A$11:$A$16,0))</f>
        <v>10</v>
      </c>
      <c r="S402" s="27" t="n">
        <f aca="false">IF(F402="",0,F402)*R402/100</f>
        <v>683800</v>
      </c>
      <c r="T402" s="7" t="n">
        <f aca="false">Inputs!$B$4-J402</f>
        <v>10</v>
      </c>
      <c r="U402" s="7" t="n">
        <f aca="false">IF(OR(F402="",F402=0),1,0)</f>
        <v>0</v>
      </c>
      <c r="V402" s="7" t="n">
        <f aca="false">IF(K402="",1,0)</f>
        <v>0</v>
      </c>
      <c r="W402" s="7" t="n">
        <f aca="false">IF(AND(O402=1,K402&lt;&gt;"",COUNTIFS(Owners!$A$5:$A$32,K402,Owners!$E$5:$E$32,"No")&gt;0),1,0)</f>
        <v>1</v>
      </c>
      <c r="X402" s="7" t="n">
        <f aca="false">IF(AND(O402=1,I402&lt;Inputs!$B$4),1,0)</f>
        <v>0</v>
      </c>
      <c r="Y402" s="7" t="n">
        <f aca="false">IF(AND(O402=1,T402&gt;Inputs!$B$5),1,0)</f>
        <v>0</v>
      </c>
      <c r="Z402" s="7" t="n">
        <f aca="false">IF(AND(O402=1,G402&lt;&gt;R402),1,0)</f>
        <v>0</v>
      </c>
      <c r="AA402" s="7" t="n">
        <f aca="false">IF(AND(O402=1,M402=""),1,0)</f>
        <v>0</v>
      </c>
      <c r="AB402" s="7" t="n">
        <f aca="false">IF(AND(E402="Closed Lost",N402=""),1,0)</f>
        <v>0</v>
      </c>
      <c r="AC402" s="7" t="n">
        <f aca="false">SUM(U402:AB402)</f>
        <v>1</v>
      </c>
      <c r="AD402" s="7" t="n">
        <f aca="false">IF(AC402=0,1,0)</f>
        <v>0</v>
      </c>
      <c r="AE402" s="7" t="n">
        <f aca="false">IF(AND(O402=1,I402&gt;=Inputs!$B$6,I402&lt;=Inputs!$B$7),1,0)</f>
        <v>1</v>
      </c>
      <c r="AF402" s="7" t="n">
        <f aca="false">IF(AND(E402="Closed Won",I402&gt;=Inputs!$B$6,I402&lt;=Inputs!$B$4),1,0)</f>
        <v>0</v>
      </c>
      <c r="AG402" s="7" t="n">
        <f aca="false">IF(AND(O402=0,I402&gt;Inputs!$B$4-Inputs!$B$8,I402&lt;=Inputs!$B$4),1,0)</f>
        <v>0</v>
      </c>
      <c r="AH402" s="7" t="n">
        <f aca="false">I402-H402</f>
        <v>147</v>
      </c>
    </row>
    <row r="403" customFormat="false" ht="15" hidden="false" customHeight="false" outlineLevel="0" collapsed="false">
      <c r="A403" s="16" t="s">
        <v>1494</v>
      </c>
      <c r="B403" s="16" t="s">
        <v>804</v>
      </c>
      <c r="C403" s="16" t="s">
        <v>1495</v>
      </c>
      <c r="D403" s="16" t="s">
        <v>162</v>
      </c>
      <c r="E403" s="16" t="s">
        <v>530</v>
      </c>
      <c r="F403" s="26" t="n">
        <v>7969000</v>
      </c>
      <c r="G403" s="25" t="n">
        <v>100</v>
      </c>
      <c r="H403" s="22" t="n">
        <v>45907</v>
      </c>
      <c r="I403" s="22" t="n">
        <v>46101</v>
      </c>
      <c r="J403" s="22" t="n">
        <v>46101</v>
      </c>
      <c r="K403" s="16" t="s">
        <v>596</v>
      </c>
      <c r="L403" s="16" t="s">
        <v>568</v>
      </c>
      <c r="M403" s="16"/>
      <c r="N403" s="16"/>
      <c r="O403" s="7" t="n">
        <f aca="false">IF(OR(E403="Closed Won",E403="Closed Lost"),0,1)</f>
        <v>0</v>
      </c>
      <c r="P403" s="17" t="str">
        <f aca="false">INDEX(Accounts!$K$5:$K$336,MATCH(B403,Accounts!$A$5:$A$336,0))</f>
        <v>Health</v>
      </c>
      <c r="Q403" s="17" t="str">
        <f aca="false">INDEX(Accounts!$D$5:$D$336,MATCH(B403,Accounts!$A$5:$A$336,0))</f>
        <v>Key</v>
      </c>
      <c r="R403" s="7" t="n">
        <f aca="false">INDEX(Inputs!$B$11:$B$16,MATCH(E403,Inputs!$A$11:$A$16,0))</f>
        <v>100</v>
      </c>
      <c r="S403" s="27" t="n">
        <f aca="false">IF(F403="",0,F403)*R403/100</f>
        <v>7969000</v>
      </c>
      <c r="T403" s="7" t="n">
        <f aca="false">Inputs!$B$4-J403</f>
        <v>213</v>
      </c>
      <c r="U403" s="7" t="n">
        <f aca="false">IF(OR(F403="",F403=0),1,0)</f>
        <v>0</v>
      </c>
      <c r="V403" s="7" t="n">
        <f aca="false">IF(K403="",1,0)</f>
        <v>0</v>
      </c>
      <c r="W403" s="7" t="n">
        <f aca="false">IF(AND(O403=1,K403&lt;&gt;"",COUNTIFS(Owners!$A$5:$A$32,K403,Owners!$E$5:$E$32,"No")&gt;0),1,0)</f>
        <v>0</v>
      </c>
      <c r="X403" s="7" t="n">
        <f aca="false">IF(AND(O403=1,I403&lt;Inputs!$B$4),1,0)</f>
        <v>0</v>
      </c>
      <c r="Y403" s="7" t="n">
        <f aca="false">IF(AND(O403=1,T403&gt;Inputs!$B$5),1,0)</f>
        <v>0</v>
      </c>
      <c r="Z403" s="7" t="n">
        <f aca="false">IF(AND(O403=1,G403&lt;&gt;R403),1,0)</f>
        <v>0</v>
      </c>
      <c r="AA403" s="7" t="n">
        <f aca="false">IF(AND(O403=1,M403=""),1,0)</f>
        <v>0</v>
      </c>
      <c r="AB403" s="7" t="n">
        <f aca="false">IF(AND(E403="Closed Lost",N403=""),1,0)</f>
        <v>0</v>
      </c>
      <c r="AC403" s="7" t="n">
        <f aca="false">SUM(U403:AB403)</f>
        <v>0</v>
      </c>
      <c r="AD403" s="7" t="n">
        <f aca="false">IF(AC403=0,1,0)</f>
        <v>1</v>
      </c>
      <c r="AE403" s="7" t="n">
        <f aca="false">IF(AND(O403=1,I403&gt;=Inputs!$B$6,I403&lt;=Inputs!$B$7),1,0)</f>
        <v>0</v>
      </c>
      <c r="AF403" s="7" t="n">
        <f aca="false">IF(AND(E403="Closed Won",I403&gt;=Inputs!$B$6,I403&lt;=Inputs!$B$4),1,0)</f>
        <v>0</v>
      </c>
      <c r="AG403" s="7" t="n">
        <f aca="false">IF(AND(O403=0,I403&gt;Inputs!$B$4-Inputs!$B$8,I403&lt;=Inputs!$B$4),1,0)</f>
        <v>1</v>
      </c>
      <c r="AH403" s="7" t="n">
        <f aca="false">I403-H403</f>
        <v>194</v>
      </c>
    </row>
    <row r="404" customFormat="false" ht="15" hidden="false" customHeight="false" outlineLevel="0" collapsed="false">
      <c r="A404" s="16" t="s">
        <v>1496</v>
      </c>
      <c r="B404" s="16" t="s">
        <v>67</v>
      </c>
      <c r="C404" s="16" t="s">
        <v>1497</v>
      </c>
      <c r="D404" s="16" t="s">
        <v>165</v>
      </c>
      <c r="E404" s="16" t="s">
        <v>529</v>
      </c>
      <c r="F404" s="26" t="n">
        <v>0</v>
      </c>
      <c r="G404" s="25" t="n">
        <v>75</v>
      </c>
      <c r="H404" s="22" t="n">
        <v>46108</v>
      </c>
      <c r="I404" s="22" t="n">
        <v>46542</v>
      </c>
      <c r="J404" s="22" t="n">
        <v>46143</v>
      </c>
      <c r="K404" s="16" t="s">
        <v>588</v>
      </c>
      <c r="L404" s="16" t="s">
        <v>584</v>
      </c>
      <c r="M404" s="16" t="s">
        <v>601</v>
      </c>
      <c r="N404" s="16"/>
      <c r="O404" s="7" t="n">
        <f aca="false">IF(OR(E404="Closed Won",E404="Closed Lost"),0,1)</f>
        <v>1</v>
      </c>
      <c r="P404" s="17" t="str">
        <f aca="false">INDEX(Accounts!$K$5:$K$336,MATCH(B404,Accounts!$A$5:$A$336,0))</f>
        <v>Financial Services</v>
      </c>
      <c r="Q404" s="17" t="str">
        <f aca="false">INDEX(Accounts!$D$5:$D$336,MATCH(B404,Accounts!$A$5:$A$336,0))</f>
        <v>Priority</v>
      </c>
      <c r="R404" s="7" t="n">
        <f aca="false">INDEX(Inputs!$B$11:$B$16,MATCH(E404,Inputs!$A$11:$A$16,0))</f>
        <v>75</v>
      </c>
      <c r="S404" s="27" t="n">
        <f aca="false">IF(F404="",0,F404)*R404/100</f>
        <v>0</v>
      </c>
      <c r="T404" s="7" t="n">
        <f aca="false">Inputs!$B$4-J404</f>
        <v>171</v>
      </c>
      <c r="U404" s="7" t="n">
        <f aca="false">IF(OR(F404="",F404=0),1,0)</f>
        <v>1</v>
      </c>
      <c r="V404" s="7" t="n">
        <f aca="false">IF(K404="",1,0)</f>
        <v>0</v>
      </c>
      <c r="W404" s="7" t="n">
        <f aca="false">IF(AND(O404=1,K404&lt;&gt;"",COUNTIFS(Owners!$A$5:$A$32,K404,Owners!$E$5:$E$32,"No")&gt;0),1,0)</f>
        <v>0</v>
      </c>
      <c r="X404" s="7" t="n">
        <f aca="false">IF(AND(O404=1,I404&lt;Inputs!$B$4),1,0)</f>
        <v>0</v>
      </c>
      <c r="Y404" s="7" t="n">
        <f aca="false">IF(AND(O404=1,T404&gt;Inputs!$B$5),1,0)</f>
        <v>1</v>
      </c>
      <c r="Z404" s="7" t="n">
        <f aca="false">IF(AND(O404=1,G404&lt;&gt;R404),1,0)</f>
        <v>0</v>
      </c>
      <c r="AA404" s="7" t="n">
        <f aca="false">IF(AND(O404=1,M404=""),1,0)</f>
        <v>0</v>
      </c>
      <c r="AB404" s="7" t="n">
        <f aca="false">IF(AND(E404="Closed Lost",N404=""),1,0)</f>
        <v>0</v>
      </c>
      <c r="AC404" s="7" t="n">
        <f aca="false">SUM(U404:AB404)</f>
        <v>2</v>
      </c>
      <c r="AD404" s="7" t="n">
        <f aca="false">IF(AC404=0,1,0)</f>
        <v>0</v>
      </c>
      <c r="AE404" s="7" t="n">
        <f aca="false">IF(AND(O404=1,I404&gt;=Inputs!$B$6,I404&lt;=Inputs!$B$7),1,0)</f>
        <v>1</v>
      </c>
      <c r="AF404" s="7" t="n">
        <f aca="false">IF(AND(E404="Closed Won",I404&gt;=Inputs!$B$6,I404&lt;=Inputs!$B$4),1,0)</f>
        <v>0</v>
      </c>
      <c r="AG404" s="7" t="n">
        <f aca="false">IF(AND(O404=0,I404&gt;Inputs!$B$4-Inputs!$B$8,I404&lt;=Inputs!$B$4),1,0)</f>
        <v>0</v>
      </c>
      <c r="AH404" s="7" t="n">
        <f aca="false">I404-H404</f>
        <v>434</v>
      </c>
    </row>
    <row r="405" customFormat="false" ht="15" hidden="false" customHeight="false" outlineLevel="0" collapsed="false">
      <c r="A405" s="16" t="s">
        <v>1498</v>
      </c>
      <c r="B405" s="16" t="s">
        <v>858</v>
      </c>
      <c r="C405" s="16" t="s">
        <v>1499</v>
      </c>
      <c r="D405" s="16" t="s">
        <v>167</v>
      </c>
      <c r="E405" s="16" t="s">
        <v>530</v>
      </c>
      <c r="F405" s="26" t="n">
        <v>15698000</v>
      </c>
      <c r="G405" s="25" t="n">
        <v>100</v>
      </c>
      <c r="H405" s="22" t="n">
        <v>46044</v>
      </c>
      <c r="I405" s="22" t="n">
        <v>46131</v>
      </c>
      <c r="J405" s="22" t="n">
        <v>46131</v>
      </c>
      <c r="K405" s="16" t="s">
        <v>704</v>
      </c>
      <c r="L405" s="16" t="s">
        <v>568</v>
      </c>
      <c r="M405" s="16"/>
      <c r="N405" s="16"/>
      <c r="O405" s="7" t="n">
        <f aca="false">IF(OR(E405="Closed Won",E405="Closed Lost"),0,1)</f>
        <v>0</v>
      </c>
      <c r="P405" s="17" t="str">
        <f aca="false">INDEX(Accounts!$K$5:$K$336,MATCH(B405,Accounts!$A$5:$A$336,0))</f>
        <v>Unassigned</v>
      </c>
      <c r="Q405" s="17" t="str">
        <f aca="false">INDEX(Accounts!$D$5:$D$336,MATCH(B405,Accounts!$A$5:$A$336,0))</f>
        <v>Key</v>
      </c>
      <c r="R405" s="7" t="n">
        <f aca="false">INDEX(Inputs!$B$11:$B$16,MATCH(E405,Inputs!$A$11:$A$16,0))</f>
        <v>100</v>
      </c>
      <c r="S405" s="27" t="n">
        <f aca="false">IF(F405="",0,F405)*R405/100</f>
        <v>15698000</v>
      </c>
      <c r="T405" s="7" t="n">
        <f aca="false">Inputs!$B$4-J405</f>
        <v>183</v>
      </c>
      <c r="U405" s="7" t="n">
        <f aca="false">IF(OR(F405="",F405=0),1,0)</f>
        <v>0</v>
      </c>
      <c r="V405" s="7" t="n">
        <f aca="false">IF(K405="",1,0)</f>
        <v>0</v>
      </c>
      <c r="W405" s="7" t="n">
        <f aca="false">IF(AND(O405=1,K405&lt;&gt;"",COUNTIFS(Owners!$A$5:$A$32,K405,Owners!$E$5:$E$32,"No")&gt;0),1,0)</f>
        <v>0</v>
      </c>
      <c r="X405" s="7" t="n">
        <f aca="false">IF(AND(O405=1,I405&lt;Inputs!$B$4),1,0)</f>
        <v>0</v>
      </c>
      <c r="Y405" s="7" t="n">
        <f aca="false">IF(AND(O405=1,T405&gt;Inputs!$B$5),1,0)</f>
        <v>0</v>
      </c>
      <c r="Z405" s="7" t="n">
        <f aca="false">IF(AND(O405=1,G405&lt;&gt;R405),1,0)</f>
        <v>0</v>
      </c>
      <c r="AA405" s="7" t="n">
        <f aca="false">IF(AND(O405=1,M405=""),1,0)</f>
        <v>0</v>
      </c>
      <c r="AB405" s="7" t="n">
        <f aca="false">IF(AND(E405="Closed Lost",N405=""),1,0)</f>
        <v>0</v>
      </c>
      <c r="AC405" s="7" t="n">
        <f aca="false">SUM(U405:AB405)</f>
        <v>0</v>
      </c>
      <c r="AD405" s="7" t="n">
        <f aca="false">IF(AC405=0,1,0)</f>
        <v>1</v>
      </c>
      <c r="AE405" s="7" t="n">
        <f aca="false">IF(AND(O405=1,I405&gt;=Inputs!$B$6,I405&lt;=Inputs!$B$7),1,0)</f>
        <v>0</v>
      </c>
      <c r="AF405" s="7" t="n">
        <f aca="false">IF(AND(E405="Closed Won",I405&gt;=Inputs!$B$6,I405&lt;=Inputs!$B$4),1,0)</f>
        <v>0</v>
      </c>
      <c r="AG405" s="7" t="n">
        <f aca="false">IF(AND(O405=0,I405&gt;Inputs!$B$4-Inputs!$B$8,I405&lt;=Inputs!$B$4),1,0)</f>
        <v>1</v>
      </c>
      <c r="AH405" s="7" t="n">
        <f aca="false">I405-H405</f>
        <v>87</v>
      </c>
    </row>
    <row r="406" customFormat="false" ht="15" hidden="false" customHeight="false" outlineLevel="0" collapsed="false">
      <c r="A406" s="16" t="s">
        <v>1500</v>
      </c>
      <c r="B406" s="16" t="s">
        <v>347</v>
      </c>
      <c r="C406" s="16" t="s">
        <v>1501</v>
      </c>
      <c r="D406" s="16" t="s">
        <v>162</v>
      </c>
      <c r="E406" s="16" t="s">
        <v>527</v>
      </c>
      <c r="F406" s="26" t="n">
        <v>23133000</v>
      </c>
      <c r="G406" s="25" t="n">
        <v>25</v>
      </c>
      <c r="H406" s="22" t="n">
        <v>46165</v>
      </c>
      <c r="I406" s="22" t="n">
        <v>46297</v>
      </c>
      <c r="J406" s="22" t="n">
        <v>46298</v>
      </c>
      <c r="K406" s="16" t="s">
        <v>567</v>
      </c>
      <c r="L406" s="16" t="s">
        <v>592</v>
      </c>
      <c r="M406" s="16" t="s">
        <v>569</v>
      </c>
      <c r="N406" s="16"/>
      <c r="O406" s="7" t="n">
        <f aca="false">IF(OR(E406="Closed Won",E406="Closed Lost"),0,1)</f>
        <v>1</v>
      </c>
      <c r="P406" s="17" t="str">
        <f aca="false">INDEX(Accounts!$K$5:$K$336,MATCH(B406,Accounts!$A$5:$A$336,0))</f>
        <v>Real Estate &amp; Infrastructure</v>
      </c>
      <c r="Q406" s="17" t="str">
        <f aca="false">INDEX(Accounts!$D$5:$D$336,MATCH(B406,Accounts!$A$5:$A$336,0))</f>
        <v>Standard</v>
      </c>
      <c r="R406" s="7" t="n">
        <f aca="false">INDEX(Inputs!$B$11:$B$16,MATCH(E406,Inputs!$A$11:$A$16,0))</f>
        <v>25</v>
      </c>
      <c r="S406" s="27" t="n">
        <f aca="false">IF(F406="",0,F406)*R406/100</f>
        <v>5783250</v>
      </c>
      <c r="T406" s="7" t="n">
        <f aca="false">Inputs!$B$4-J406</f>
        <v>16</v>
      </c>
      <c r="U406" s="7" t="n">
        <f aca="false">IF(OR(F406="",F406=0),1,0)</f>
        <v>0</v>
      </c>
      <c r="V406" s="7" t="n">
        <f aca="false">IF(K406="",1,0)</f>
        <v>0</v>
      </c>
      <c r="W406" s="7" t="n">
        <f aca="false">IF(AND(O406=1,K406&lt;&gt;"",COUNTIFS(Owners!$A$5:$A$32,K406,Owners!$E$5:$E$32,"No")&gt;0),1,0)</f>
        <v>0</v>
      </c>
      <c r="X406" s="7" t="n">
        <f aca="false">IF(AND(O406=1,I406&lt;Inputs!$B$4),1,0)</f>
        <v>1</v>
      </c>
      <c r="Y406" s="7" t="n">
        <f aca="false">IF(AND(O406=1,T406&gt;Inputs!$B$5),1,0)</f>
        <v>0</v>
      </c>
      <c r="Z406" s="7" t="n">
        <f aca="false">IF(AND(O406=1,G406&lt;&gt;R406),1,0)</f>
        <v>0</v>
      </c>
      <c r="AA406" s="7" t="n">
        <f aca="false">IF(AND(O406=1,M406=""),1,0)</f>
        <v>0</v>
      </c>
      <c r="AB406" s="7" t="n">
        <f aca="false">IF(AND(E406="Closed Lost",N406=""),1,0)</f>
        <v>0</v>
      </c>
      <c r="AC406" s="7" t="n">
        <f aca="false">SUM(U406:AB406)</f>
        <v>1</v>
      </c>
      <c r="AD406" s="7" t="n">
        <f aca="false">IF(AC406=0,1,0)</f>
        <v>0</v>
      </c>
      <c r="AE406" s="7" t="n">
        <f aca="false">IF(AND(O406=1,I406&gt;=Inputs!$B$6,I406&lt;=Inputs!$B$7),1,0)</f>
        <v>1</v>
      </c>
      <c r="AF406" s="7" t="n">
        <f aca="false">IF(AND(E406="Closed Won",I406&gt;=Inputs!$B$6,I406&lt;=Inputs!$B$4),1,0)</f>
        <v>0</v>
      </c>
      <c r="AG406" s="7" t="n">
        <f aca="false">IF(AND(O406=0,I406&gt;Inputs!$B$4-Inputs!$B$8,I406&lt;=Inputs!$B$4),1,0)</f>
        <v>0</v>
      </c>
      <c r="AH406" s="7" t="n">
        <f aca="false">I406-H406</f>
        <v>132</v>
      </c>
    </row>
    <row r="407" customFormat="false" ht="15" hidden="false" customHeight="false" outlineLevel="0" collapsed="false">
      <c r="A407" s="16" t="s">
        <v>1502</v>
      </c>
      <c r="B407" s="16" t="s">
        <v>1503</v>
      </c>
      <c r="C407" s="16" t="s">
        <v>1504</v>
      </c>
      <c r="D407" s="16" t="s">
        <v>177</v>
      </c>
      <c r="E407" s="16" t="s">
        <v>531</v>
      </c>
      <c r="F407" s="26" t="n">
        <v>4439000</v>
      </c>
      <c r="G407" s="25" t="n">
        <v>0</v>
      </c>
      <c r="H407" s="22" t="n">
        <v>46083</v>
      </c>
      <c r="I407" s="22" t="n">
        <v>46165</v>
      </c>
      <c r="J407" s="22" t="n">
        <v>46165</v>
      </c>
      <c r="K407" s="16" t="s">
        <v>646</v>
      </c>
      <c r="L407" s="16" t="s">
        <v>592</v>
      </c>
      <c r="M407" s="16"/>
      <c r="N407" s="16" t="s">
        <v>597</v>
      </c>
      <c r="O407" s="7" t="n">
        <f aca="false">IF(OR(E407="Closed Won",E407="Closed Lost"),0,1)</f>
        <v>0</v>
      </c>
      <c r="P407" s="17" t="str">
        <f aca="false">INDEX(Accounts!$K$5:$K$336,MATCH(B407,Accounts!$A$5:$A$336,0))</f>
        <v>Financial Services</v>
      </c>
      <c r="Q407" s="17" t="str">
        <f aca="false">INDEX(Accounts!$D$5:$D$336,MATCH(B407,Accounts!$A$5:$A$336,0))</f>
        <v>Standard</v>
      </c>
      <c r="R407" s="7" t="n">
        <f aca="false">INDEX(Inputs!$B$11:$B$16,MATCH(E407,Inputs!$A$11:$A$16,0))</f>
        <v>0</v>
      </c>
      <c r="S407" s="27" t="n">
        <f aca="false">IF(F407="",0,F407)*R407/100</f>
        <v>0</v>
      </c>
      <c r="T407" s="7" t="n">
        <f aca="false">Inputs!$B$4-J407</f>
        <v>149</v>
      </c>
      <c r="U407" s="7" t="n">
        <f aca="false">IF(OR(F407="",F407=0),1,0)</f>
        <v>0</v>
      </c>
      <c r="V407" s="7" t="n">
        <f aca="false">IF(K407="",1,0)</f>
        <v>0</v>
      </c>
      <c r="W407" s="7" t="n">
        <f aca="false">IF(AND(O407=1,K407&lt;&gt;"",COUNTIFS(Owners!$A$5:$A$32,K407,Owners!$E$5:$E$32,"No")&gt;0),1,0)</f>
        <v>0</v>
      </c>
      <c r="X407" s="7" t="n">
        <f aca="false">IF(AND(O407=1,I407&lt;Inputs!$B$4),1,0)</f>
        <v>0</v>
      </c>
      <c r="Y407" s="7" t="n">
        <f aca="false">IF(AND(O407=1,T407&gt;Inputs!$B$5),1,0)</f>
        <v>0</v>
      </c>
      <c r="Z407" s="7" t="n">
        <f aca="false">IF(AND(O407=1,G407&lt;&gt;R407),1,0)</f>
        <v>0</v>
      </c>
      <c r="AA407" s="7" t="n">
        <f aca="false">IF(AND(O407=1,M407=""),1,0)</f>
        <v>0</v>
      </c>
      <c r="AB407" s="7" t="n">
        <f aca="false">IF(AND(E407="Closed Lost",N407=""),1,0)</f>
        <v>0</v>
      </c>
      <c r="AC407" s="7" t="n">
        <f aca="false">SUM(U407:AB407)</f>
        <v>0</v>
      </c>
      <c r="AD407" s="7" t="n">
        <f aca="false">IF(AC407=0,1,0)</f>
        <v>1</v>
      </c>
      <c r="AE407" s="7" t="n">
        <f aca="false">IF(AND(O407=1,I407&gt;=Inputs!$B$6,I407&lt;=Inputs!$B$7),1,0)</f>
        <v>0</v>
      </c>
      <c r="AF407" s="7" t="n">
        <f aca="false">IF(AND(E407="Closed Won",I407&gt;=Inputs!$B$6,I407&lt;=Inputs!$B$4),1,0)</f>
        <v>0</v>
      </c>
      <c r="AG407" s="7" t="n">
        <f aca="false">IF(AND(O407=0,I407&gt;Inputs!$B$4-Inputs!$B$8,I407&lt;=Inputs!$B$4),1,0)</f>
        <v>1</v>
      </c>
      <c r="AH407" s="7" t="n">
        <f aca="false">I407-H407</f>
        <v>82</v>
      </c>
    </row>
    <row r="408" customFormat="false" ht="15" hidden="false" customHeight="false" outlineLevel="0" collapsed="false">
      <c r="A408" s="16" t="s">
        <v>1505</v>
      </c>
      <c r="B408" s="16" t="s">
        <v>347</v>
      </c>
      <c r="C408" s="16" t="s">
        <v>1506</v>
      </c>
      <c r="D408" s="16" t="s">
        <v>165</v>
      </c>
      <c r="E408" s="16" t="s">
        <v>529</v>
      </c>
      <c r="F408" s="26" t="n">
        <v>24788000</v>
      </c>
      <c r="G408" s="25" t="n">
        <v>75</v>
      </c>
      <c r="H408" s="22" t="n">
        <v>46231</v>
      </c>
      <c r="I408" s="22" t="n">
        <v>46536</v>
      </c>
      <c r="J408" s="22" t="n">
        <v>46169</v>
      </c>
      <c r="K408" s="16" t="s">
        <v>567</v>
      </c>
      <c r="L408" s="16" t="s">
        <v>592</v>
      </c>
      <c r="M408" s="16" t="s">
        <v>593</v>
      </c>
      <c r="N408" s="16"/>
      <c r="O408" s="7" t="n">
        <f aca="false">IF(OR(E408="Closed Won",E408="Closed Lost"),0,1)</f>
        <v>1</v>
      </c>
      <c r="P408" s="17" t="str">
        <f aca="false">INDEX(Accounts!$K$5:$K$336,MATCH(B408,Accounts!$A$5:$A$336,0))</f>
        <v>Real Estate &amp; Infrastructure</v>
      </c>
      <c r="Q408" s="17" t="str">
        <f aca="false">INDEX(Accounts!$D$5:$D$336,MATCH(B408,Accounts!$A$5:$A$336,0))</f>
        <v>Standard</v>
      </c>
      <c r="R408" s="7" t="n">
        <f aca="false">INDEX(Inputs!$B$11:$B$16,MATCH(E408,Inputs!$A$11:$A$16,0))</f>
        <v>75</v>
      </c>
      <c r="S408" s="27" t="n">
        <f aca="false">IF(F408="",0,F408)*R408/100</f>
        <v>18591000</v>
      </c>
      <c r="T408" s="7" t="n">
        <f aca="false">Inputs!$B$4-J408</f>
        <v>145</v>
      </c>
      <c r="U408" s="7" t="n">
        <f aca="false">IF(OR(F408="",F408=0),1,0)</f>
        <v>0</v>
      </c>
      <c r="V408" s="7" t="n">
        <f aca="false">IF(K408="",1,0)</f>
        <v>0</v>
      </c>
      <c r="W408" s="7" t="n">
        <f aca="false">IF(AND(O408=1,K408&lt;&gt;"",COUNTIFS(Owners!$A$5:$A$32,K408,Owners!$E$5:$E$32,"No")&gt;0),1,0)</f>
        <v>0</v>
      </c>
      <c r="X408" s="7" t="n">
        <f aca="false">IF(AND(O408=1,I408&lt;Inputs!$B$4),1,0)</f>
        <v>0</v>
      </c>
      <c r="Y408" s="7" t="n">
        <f aca="false">IF(AND(O408=1,T408&gt;Inputs!$B$5),1,0)</f>
        <v>1</v>
      </c>
      <c r="Z408" s="7" t="n">
        <f aca="false">IF(AND(O408=1,G408&lt;&gt;R408),1,0)</f>
        <v>0</v>
      </c>
      <c r="AA408" s="7" t="n">
        <f aca="false">IF(AND(O408=1,M408=""),1,0)</f>
        <v>0</v>
      </c>
      <c r="AB408" s="7" t="n">
        <f aca="false">IF(AND(E408="Closed Lost",N408=""),1,0)</f>
        <v>0</v>
      </c>
      <c r="AC408" s="7" t="n">
        <f aca="false">SUM(U408:AB408)</f>
        <v>1</v>
      </c>
      <c r="AD408" s="7" t="n">
        <f aca="false">IF(AC408=0,1,0)</f>
        <v>0</v>
      </c>
      <c r="AE408" s="7" t="n">
        <f aca="false">IF(AND(O408=1,I408&gt;=Inputs!$B$6,I408&lt;=Inputs!$B$7),1,0)</f>
        <v>1</v>
      </c>
      <c r="AF408" s="7" t="n">
        <f aca="false">IF(AND(E408="Closed Won",I408&gt;=Inputs!$B$6,I408&lt;=Inputs!$B$4),1,0)</f>
        <v>0</v>
      </c>
      <c r="AG408" s="7" t="n">
        <f aca="false">IF(AND(O408=0,I408&gt;Inputs!$B$4-Inputs!$B$8,I408&lt;=Inputs!$B$4),1,0)</f>
        <v>0</v>
      </c>
      <c r="AH408" s="7" t="n">
        <f aca="false">I408-H408</f>
        <v>305</v>
      </c>
    </row>
    <row r="409" customFormat="false" ht="15" hidden="false" customHeight="false" outlineLevel="0" collapsed="false">
      <c r="A409" s="16" t="s">
        <v>1507</v>
      </c>
      <c r="B409" s="16" t="s">
        <v>72</v>
      </c>
      <c r="C409" s="16" t="s">
        <v>1508</v>
      </c>
      <c r="D409" s="16" t="s">
        <v>177</v>
      </c>
      <c r="E409" s="16" t="s">
        <v>530</v>
      </c>
      <c r="F409" s="26" t="n">
        <v>3334000</v>
      </c>
      <c r="G409" s="25" t="n">
        <v>100</v>
      </c>
      <c r="H409" s="22" t="n">
        <v>45967</v>
      </c>
      <c r="I409" s="22" t="n">
        <v>46179</v>
      </c>
      <c r="J409" s="22" t="n">
        <v>46179</v>
      </c>
      <c r="K409" s="16" t="s">
        <v>654</v>
      </c>
      <c r="L409" s="16" t="s">
        <v>609</v>
      </c>
      <c r="M409" s="16"/>
      <c r="N409" s="16"/>
      <c r="O409" s="7" t="n">
        <f aca="false">IF(OR(E409="Closed Won",E409="Closed Lost"),0,1)</f>
        <v>0</v>
      </c>
      <c r="P409" s="17" t="str">
        <f aca="false">INDEX(Accounts!$K$5:$K$336,MATCH(B409,Accounts!$A$5:$A$336,0))</f>
        <v>Consumer &amp; Retail</v>
      </c>
      <c r="Q409" s="17" t="str">
        <f aca="false">INDEX(Accounts!$D$5:$D$336,MATCH(B409,Accounts!$A$5:$A$336,0))</f>
        <v>Priority</v>
      </c>
      <c r="R409" s="7" t="n">
        <f aca="false">INDEX(Inputs!$B$11:$B$16,MATCH(E409,Inputs!$A$11:$A$16,0))</f>
        <v>100</v>
      </c>
      <c r="S409" s="27" t="n">
        <f aca="false">IF(F409="",0,F409)*R409/100</f>
        <v>3334000</v>
      </c>
      <c r="T409" s="7" t="n">
        <f aca="false">Inputs!$B$4-J409</f>
        <v>135</v>
      </c>
      <c r="U409" s="7" t="n">
        <f aca="false">IF(OR(F409="",F409=0),1,0)</f>
        <v>0</v>
      </c>
      <c r="V409" s="7" t="n">
        <f aca="false">IF(K409="",1,0)</f>
        <v>0</v>
      </c>
      <c r="W409" s="7" t="n">
        <f aca="false">IF(AND(O409=1,K409&lt;&gt;"",COUNTIFS(Owners!$A$5:$A$32,K409,Owners!$E$5:$E$32,"No")&gt;0),1,0)</f>
        <v>0</v>
      </c>
      <c r="X409" s="7" t="n">
        <f aca="false">IF(AND(O409=1,I409&lt;Inputs!$B$4),1,0)</f>
        <v>0</v>
      </c>
      <c r="Y409" s="7" t="n">
        <f aca="false">IF(AND(O409=1,T409&gt;Inputs!$B$5),1,0)</f>
        <v>0</v>
      </c>
      <c r="Z409" s="7" t="n">
        <f aca="false">IF(AND(O409=1,G409&lt;&gt;R409),1,0)</f>
        <v>0</v>
      </c>
      <c r="AA409" s="7" t="n">
        <f aca="false">IF(AND(O409=1,M409=""),1,0)</f>
        <v>0</v>
      </c>
      <c r="AB409" s="7" t="n">
        <f aca="false">IF(AND(E409="Closed Lost",N409=""),1,0)</f>
        <v>0</v>
      </c>
      <c r="AC409" s="7" t="n">
        <f aca="false">SUM(U409:AB409)</f>
        <v>0</v>
      </c>
      <c r="AD409" s="7" t="n">
        <f aca="false">IF(AC409=0,1,0)</f>
        <v>1</v>
      </c>
      <c r="AE409" s="7" t="n">
        <f aca="false">IF(AND(O409=1,I409&gt;=Inputs!$B$6,I409&lt;=Inputs!$B$7),1,0)</f>
        <v>0</v>
      </c>
      <c r="AF409" s="7" t="n">
        <f aca="false">IF(AND(E409="Closed Won",I409&gt;=Inputs!$B$6,I409&lt;=Inputs!$B$4),1,0)</f>
        <v>0</v>
      </c>
      <c r="AG409" s="7" t="n">
        <f aca="false">IF(AND(O409=0,I409&gt;Inputs!$B$4-Inputs!$B$8,I409&lt;=Inputs!$B$4),1,0)</f>
        <v>1</v>
      </c>
      <c r="AH409" s="7" t="n">
        <f aca="false">I409-H409</f>
        <v>212</v>
      </c>
    </row>
    <row r="410" customFormat="false" ht="15" hidden="false" customHeight="false" outlineLevel="0" collapsed="false">
      <c r="A410" s="16" t="s">
        <v>1509</v>
      </c>
      <c r="B410" s="16" t="s">
        <v>644</v>
      </c>
      <c r="C410" s="16" t="s">
        <v>1510</v>
      </c>
      <c r="D410" s="16" t="s">
        <v>158</v>
      </c>
      <c r="E410" s="16" t="s">
        <v>531</v>
      </c>
      <c r="F410" s="26" t="n">
        <v>45171000</v>
      </c>
      <c r="G410" s="25" t="n">
        <v>0</v>
      </c>
      <c r="H410" s="22" t="n">
        <v>46225</v>
      </c>
      <c r="I410" s="22" t="n">
        <v>46294</v>
      </c>
      <c r="J410" s="22" t="n">
        <v>46294</v>
      </c>
      <c r="K410" s="16" t="s">
        <v>646</v>
      </c>
      <c r="L410" s="16" t="s">
        <v>574</v>
      </c>
      <c r="M410" s="16"/>
      <c r="N410" s="16" t="s">
        <v>697</v>
      </c>
      <c r="O410" s="7" t="n">
        <f aca="false">IF(OR(E410="Closed Won",E410="Closed Lost"),0,1)</f>
        <v>0</v>
      </c>
      <c r="P410" s="17" t="str">
        <f aca="false">INDEX(Accounts!$K$5:$K$336,MATCH(B410,Accounts!$A$5:$A$336,0))</f>
        <v>Consumer &amp; Retail</v>
      </c>
      <c r="Q410" s="17" t="str">
        <f aca="false">INDEX(Accounts!$D$5:$D$336,MATCH(B410,Accounts!$A$5:$A$336,0))</f>
        <v>Key</v>
      </c>
      <c r="R410" s="7" t="n">
        <f aca="false">INDEX(Inputs!$B$11:$B$16,MATCH(E410,Inputs!$A$11:$A$16,0))</f>
        <v>0</v>
      </c>
      <c r="S410" s="27" t="n">
        <f aca="false">IF(F410="",0,F410)*R410/100</f>
        <v>0</v>
      </c>
      <c r="T410" s="7" t="n">
        <f aca="false">Inputs!$B$4-J410</f>
        <v>20</v>
      </c>
      <c r="U410" s="7" t="n">
        <f aca="false">IF(OR(F410="",F410=0),1,0)</f>
        <v>0</v>
      </c>
      <c r="V410" s="7" t="n">
        <f aca="false">IF(K410="",1,0)</f>
        <v>0</v>
      </c>
      <c r="W410" s="7" t="n">
        <f aca="false">IF(AND(O410=1,K410&lt;&gt;"",COUNTIFS(Owners!$A$5:$A$32,K410,Owners!$E$5:$E$32,"No")&gt;0),1,0)</f>
        <v>0</v>
      </c>
      <c r="X410" s="7" t="n">
        <f aca="false">IF(AND(O410=1,I410&lt;Inputs!$B$4),1,0)</f>
        <v>0</v>
      </c>
      <c r="Y410" s="7" t="n">
        <f aca="false">IF(AND(O410=1,T410&gt;Inputs!$B$5),1,0)</f>
        <v>0</v>
      </c>
      <c r="Z410" s="7" t="n">
        <f aca="false">IF(AND(O410=1,G410&lt;&gt;R410),1,0)</f>
        <v>0</v>
      </c>
      <c r="AA410" s="7" t="n">
        <f aca="false">IF(AND(O410=1,M410=""),1,0)</f>
        <v>0</v>
      </c>
      <c r="AB410" s="7" t="n">
        <f aca="false">IF(AND(E410="Closed Lost",N410=""),1,0)</f>
        <v>0</v>
      </c>
      <c r="AC410" s="7" t="n">
        <f aca="false">SUM(U410:AB410)</f>
        <v>0</v>
      </c>
      <c r="AD410" s="7" t="n">
        <f aca="false">IF(AC410=0,1,0)</f>
        <v>1</v>
      </c>
      <c r="AE410" s="7" t="n">
        <f aca="false">IF(AND(O410=1,I410&gt;=Inputs!$B$6,I410&lt;=Inputs!$B$7),1,0)</f>
        <v>0</v>
      </c>
      <c r="AF410" s="7" t="n">
        <f aca="false">IF(AND(E410="Closed Won",I410&gt;=Inputs!$B$6,I410&lt;=Inputs!$B$4),1,0)</f>
        <v>0</v>
      </c>
      <c r="AG410" s="7" t="n">
        <f aca="false">IF(AND(O410=0,I410&gt;Inputs!$B$4-Inputs!$B$8,I410&lt;=Inputs!$B$4),1,0)</f>
        <v>1</v>
      </c>
      <c r="AH410" s="7" t="n">
        <f aca="false">I410-H410</f>
        <v>69</v>
      </c>
    </row>
    <row r="411" customFormat="false" ht="15" hidden="false" customHeight="false" outlineLevel="0" collapsed="false">
      <c r="A411" s="16" t="s">
        <v>1511</v>
      </c>
      <c r="B411" s="16" t="s">
        <v>1512</v>
      </c>
      <c r="C411" s="16" t="s">
        <v>1513</v>
      </c>
      <c r="D411" s="16" t="s">
        <v>167</v>
      </c>
      <c r="E411" s="16" t="s">
        <v>531</v>
      </c>
      <c r="F411" s="26" t="n">
        <v>14412000</v>
      </c>
      <c r="G411" s="25" t="n">
        <v>0</v>
      </c>
      <c r="H411" s="22" t="n">
        <v>45900</v>
      </c>
      <c r="I411" s="22" t="n">
        <v>46141</v>
      </c>
      <c r="J411" s="22" t="n">
        <v>46141</v>
      </c>
      <c r="K411" s="16" t="s">
        <v>646</v>
      </c>
      <c r="L411" s="16" t="s">
        <v>609</v>
      </c>
      <c r="M411" s="16"/>
      <c r="N411" s="16"/>
      <c r="O411" s="7" t="n">
        <f aca="false">IF(OR(E411="Closed Won",E411="Closed Lost"),0,1)</f>
        <v>0</v>
      </c>
      <c r="P411" s="17" t="str">
        <f aca="false">INDEX(Accounts!$K$5:$K$336,MATCH(B411,Accounts!$A$5:$A$336,0))</f>
        <v>Financial Services</v>
      </c>
      <c r="Q411" s="17" t="str">
        <f aca="false">INDEX(Accounts!$D$5:$D$336,MATCH(B411,Accounts!$A$5:$A$336,0))</f>
        <v>Standard</v>
      </c>
      <c r="R411" s="7" t="n">
        <f aca="false">INDEX(Inputs!$B$11:$B$16,MATCH(E411,Inputs!$A$11:$A$16,0))</f>
        <v>0</v>
      </c>
      <c r="S411" s="27" t="n">
        <f aca="false">IF(F411="",0,F411)*R411/100</f>
        <v>0</v>
      </c>
      <c r="T411" s="7" t="n">
        <f aca="false">Inputs!$B$4-J411</f>
        <v>173</v>
      </c>
      <c r="U411" s="7" t="n">
        <f aca="false">IF(OR(F411="",F411=0),1,0)</f>
        <v>0</v>
      </c>
      <c r="V411" s="7" t="n">
        <f aca="false">IF(K411="",1,0)</f>
        <v>0</v>
      </c>
      <c r="W411" s="7" t="n">
        <f aca="false">IF(AND(O411=1,K411&lt;&gt;"",COUNTIFS(Owners!$A$5:$A$32,K411,Owners!$E$5:$E$32,"No")&gt;0),1,0)</f>
        <v>0</v>
      </c>
      <c r="X411" s="7" t="n">
        <f aca="false">IF(AND(O411=1,I411&lt;Inputs!$B$4),1,0)</f>
        <v>0</v>
      </c>
      <c r="Y411" s="7" t="n">
        <f aca="false">IF(AND(O411=1,T411&gt;Inputs!$B$5),1,0)</f>
        <v>0</v>
      </c>
      <c r="Z411" s="7" t="n">
        <f aca="false">IF(AND(O411=1,G411&lt;&gt;R411),1,0)</f>
        <v>0</v>
      </c>
      <c r="AA411" s="7" t="n">
        <f aca="false">IF(AND(O411=1,M411=""),1,0)</f>
        <v>0</v>
      </c>
      <c r="AB411" s="7" t="n">
        <f aca="false">IF(AND(E411="Closed Lost",N411=""),1,0)</f>
        <v>1</v>
      </c>
      <c r="AC411" s="7" t="n">
        <f aca="false">SUM(U411:AB411)</f>
        <v>1</v>
      </c>
      <c r="AD411" s="7" t="n">
        <f aca="false">IF(AC411=0,1,0)</f>
        <v>0</v>
      </c>
      <c r="AE411" s="7" t="n">
        <f aca="false">IF(AND(O411=1,I411&gt;=Inputs!$B$6,I411&lt;=Inputs!$B$7),1,0)</f>
        <v>0</v>
      </c>
      <c r="AF411" s="7" t="n">
        <f aca="false">IF(AND(E411="Closed Won",I411&gt;=Inputs!$B$6,I411&lt;=Inputs!$B$4),1,0)</f>
        <v>0</v>
      </c>
      <c r="AG411" s="7" t="n">
        <f aca="false">IF(AND(O411=0,I411&gt;Inputs!$B$4-Inputs!$B$8,I411&lt;=Inputs!$B$4),1,0)</f>
        <v>1</v>
      </c>
      <c r="AH411" s="7" t="n">
        <f aca="false">I411-H411</f>
        <v>241</v>
      </c>
    </row>
    <row r="412" customFormat="false" ht="15" hidden="false" customHeight="false" outlineLevel="0" collapsed="false">
      <c r="A412" s="16" t="s">
        <v>1514</v>
      </c>
      <c r="B412" s="16" t="s">
        <v>65</v>
      </c>
      <c r="C412" s="16" t="s">
        <v>1515</v>
      </c>
      <c r="D412" s="16" t="s">
        <v>177</v>
      </c>
      <c r="E412" s="16" t="s">
        <v>527</v>
      </c>
      <c r="F412" s="26" t="n">
        <v>9767000</v>
      </c>
      <c r="G412" s="25" t="n">
        <v>25</v>
      </c>
      <c r="H412" s="22" t="n">
        <v>46186</v>
      </c>
      <c r="I412" s="22" t="n">
        <v>46500</v>
      </c>
      <c r="J412" s="22" t="n">
        <v>46297</v>
      </c>
      <c r="K412" s="16" t="s">
        <v>654</v>
      </c>
      <c r="L412" s="16" t="s">
        <v>609</v>
      </c>
      <c r="M412" s="16" t="s">
        <v>619</v>
      </c>
      <c r="N412" s="16"/>
      <c r="O412" s="7" t="n">
        <f aca="false">IF(OR(E412="Closed Won",E412="Closed Lost"),0,1)</f>
        <v>1</v>
      </c>
      <c r="P412" s="17" t="str">
        <f aca="false">INDEX(Accounts!$K$5:$K$336,MATCH(B412,Accounts!$A$5:$A$336,0))</f>
        <v>Technology, Media &amp; Telecom</v>
      </c>
      <c r="Q412" s="17" t="str">
        <f aca="false">INDEX(Accounts!$D$5:$D$336,MATCH(B412,Accounts!$A$5:$A$336,0))</f>
        <v>Priority</v>
      </c>
      <c r="R412" s="7" t="n">
        <f aca="false">INDEX(Inputs!$B$11:$B$16,MATCH(E412,Inputs!$A$11:$A$16,0))</f>
        <v>25</v>
      </c>
      <c r="S412" s="27" t="n">
        <f aca="false">IF(F412="",0,F412)*R412/100</f>
        <v>2441750</v>
      </c>
      <c r="T412" s="7" t="n">
        <f aca="false">Inputs!$B$4-J412</f>
        <v>17</v>
      </c>
      <c r="U412" s="7" t="n">
        <f aca="false">IF(OR(F412="",F412=0),1,0)</f>
        <v>0</v>
      </c>
      <c r="V412" s="7" t="n">
        <f aca="false">IF(K412="",1,0)</f>
        <v>0</v>
      </c>
      <c r="W412" s="7" t="n">
        <f aca="false">IF(AND(O412=1,K412&lt;&gt;"",COUNTIFS(Owners!$A$5:$A$32,K412,Owners!$E$5:$E$32,"No")&gt;0),1,0)</f>
        <v>0</v>
      </c>
      <c r="X412" s="7" t="n">
        <f aca="false">IF(AND(O412=1,I412&lt;Inputs!$B$4),1,0)</f>
        <v>0</v>
      </c>
      <c r="Y412" s="7" t="n">
        <f aca="false">IF(AND(O412=1,T412&gt;Inputs!$B$5),1,0)</f>
        <v>0</v>
      </c>
      <c r="Z412" s="7" t="n">
        <f aca="false">IF(AND(O412=1,G412&lt;&gt;R412),1,0)</f>
        <v>0</v>
      </c>
      <c r="AA412" s="7" t="n">
        <f aca="false">IF(AND(O412=1,M412=""),1,0)</f>
        <v>0</v>
      </c>
      <c r="AB412" s="7" t="n">
        <f aca="false">IF(AND(E412="Closed Lost",N412=""),1,0)</f>
        <v>0</v>
      </c>
      <c r="AC412" s="7" t="n">
        <f aca="false">SUM(U412:AB412)</f>
        <v>0</v>
      </c>
      <c r="AD412" s="7" t="n">
        <f aca="false">IF(AC412=0,1,0)</f>
        <v>1</v>
      </c>
      <c r="AE412" s="7" t="n">
        <f aca="false">IF(AND(O412=1,I412&gt;=Inputs!$B$6,I412&lt;=Inputs!$B$7),1,0)</f>
        <v>1</v>
      </c>
      <c r="AF412" s="7" t="n">
        <f aca="false">IF(AND(E412="Closed Won",I412&gt;=Inputs!$B$6,I412&lt;=Inputs!$B$4),1,0)</f>
        <v>0</v>
      </c>
      <c r="AG412" s="7" t="n">
        <f aca="false">IF(AND(O412=0,I412&gt;Inputs!$B$4-Inputs!$B$8,I412&lt;=Inputs!$B$4),1,0)</f>
        <v>0</v>
      </c>
      <c r="AH412" s="7" t="n">
        <f aca="false">I412-H412</f>
        <v>314</v>
      </c>
    </row>
    <row r="413" customFormat="false" ht="15" hidden="false" customHeight="false" outlineLevel="0" collapsed="false">
      <c r="A413" s="16" t="s">
        <v>1516</v>
      </c>
      <c r="B413" s="16" t="s">
        <v>96</v>
      </c>
      <c r="C413" s="16" t="s">
        <v>1517</v>
      </c>
      <c r="D413" s="16" t="s">
        <v>162</v>
      </c>
      <c r="E413" s="16" t="s">
        <v>531</v>
      </c>
      <c r="F413" s="26" t="n">
        <v>6262000</v>
      </c>
      <c r="G413" s="25" t="n">
        <v>0</v>
      </c>
      <c r="H413" s="22" t="n">
        <v>46033</v>
      </c>
      <c r="I413" s="22" t="n">
        <v>46171</v>
      </c>
      <c r="J413" s="22" t="n">
        <v>46171</v>
      </c>
      <c r="K413" s="16" t="s">
        <v>704</v>
      </c>
      <c r="L413" s="16" t="s">
        <v>500</v>
      </c>
      <c r="M413" s="16"/>
      <c r="N413" s="16"/>
      <c r="O413" s="7" t="n">
        <f aca="false">IF(OR(E413="Closed Won",E413="Closed Lost"),0,1)</f>
        <v>0</v>
      </c>
      <c r="P413" s="17" t="str">
        <f aca="false">INDEX(Accounts!$K$5:$K$336,MATCH(B413,Accounts!$A$5:$A$336,0))</f>
        <v>Financial Services</v>
      </c>
      <c r="Q413" s="17" t="str">
        <f aca="false">INDEX(Accounts!$D$5:$D$336,MATCH(B413,Accounts!$A$5:$A$336,0))</f>
        <v>Priority</v>
      </c>
      <c r="R413" s="7" t="n">
        <f aca="false">INDEX(Inputs!$B$11:$B$16,MATCH(E413,Inputs!$A$11:$A$16,0))</f>
        <v>0</v>
      </c>
      <c r="S413" s="27" t="n">
        <f aca="false">IF(F413="",0,F413)*R413/100</f>
        <v>0</v>
      </c>
      <c r="T413" s="7" t="n">
        <f aca="false">Inputs!$B$4-J413</f>
        <v>143</v>
      </c>
      <c r="U413" s="7" t="n">
        <f aca="false">IF(OR(F413="",F413=0),1,0)</f>
        <v>0</v>
      </c>
      <c r="V413" s="7" t="n">
        <f aca="false">IF(K413="",1,0)</f>
        <v>0</v>
      </c>
      <c r="W413" s="7" t="n">
        <f aca="false">IF(AND(O413=1,K413&lt;&gt;"",COUNTIFS(Owners!$A$5:$A$32,K413,Owners!$E$5:$E$32,"No")&gt;0),1,0)</f>
        <v>0</v>
      </c>
      <c r="X413" s="7" t="n">
        <f aca="false">IF(AND(O413=1,I413&lt;Inputs!$B$4),1,0)</f>
        <v>0</v>
      </c>
      <c r="Y413" s="7" t="n">
        <f aca="false">IF(AND(O413=1,T413&gt;Inputs!$B$5),1,0)</f>
        <v>0</v>
      </c>
      <c r="Z413" s="7" t="n">
        <f aca="false">IF(AND(O413=1,G413&lt;&gt;R413),1,0)</f>
        <v>0</v>
      </c>
      <c r="AA413" s="7" t="n">
        <f aca="false">IF(AND(O413=1,M413=""),1,0)</f>
        <v>0</v>
      </c>
      <c r="AB413" s="7" t="n">
        <f aca="false">IF(AND(E413="Closed Lost",N413=""),1,0)</f>
        <v>1</v>
      </c>
      <c r="AC413" s="7" t="n">
        <f aca="false">SUM(U413:AB413)</f>
        <v>1</v>
      </c>
      <c r="AD413" s="7" t="n">
        <f aca="false">IF(AC413=0,1,0)</f>
        <v>0</v>
      </c>
      <c r="AE413" s="7" t="n">
        <f aca="false">IF(AND(O413=1,I413&gt;=Inputs!$B$6,I413&lt;=Inputs!$B$7),1,0)</f>
        <v>0</v>
      </c>
      <c r="AF413" s="7" t="n">
        <f aca="false">IF(AND(E413="Closed Won",I413&gt;=Inputs!$B$6,I413&lt;=Inputs!$B$4),1,0)</f>
        <v>0</v>
      </c>
      <c r="AG413" s="7" t="n">
        <f aca="false">IF(AND(O413=0,I413&gt;Inputs!$B$4-Inputs!$B$8,I413&lt;=Inputs!$B$4),1,0)</f>
        <v>1</v>
      </c>
      <c r="AH413" s="7" t="n">
        <f aca="false">I413-H413</f>
        <v>138</v>
      </c>
    </row>
    <row r="414" customFormat="false" ht="15" hidden="false" customHeight="false" outlineLevel="0" collapsed="false">
      <c r="A414" s="16" t="s">
        <v>1518</v>
      </c>
      <c r="B414" s="16" t="s">
        <v>919</v>
      </c>
      <c r="C414" s="16" t="s">
        <v>1519</v>
      </c>
      <c r="D414" s="16" t="s">
        <v>165</v>
      </c>
      <c r="E414" s="16" t="s">
        <v>531</v>
      </c>
      <c r="F414" s="26" t="n">
        <v>18276000</v>
      </c>
      <c r="G414" s="25" t="n">
        <v>0</v>
      </c>
      <c r="H414" s="22" t="n">
        <v>46224</v>
      </c>
      <c r="I414" s="22" t="n">
        <v>46301</v>
      </c>
      <c r="J414" s="22" t="n">
        <v>46301</v>
      </c>
      <c r="K414" s="16" t="s">
        <v>654</v>
      </c>
      <c r="L414" s="16" t="s">
        <v>592</v>
      </c>
      <c r="M414" s="16"/>
      <c r="N414" s="16" t="s">
        <v>597</v>
      </c>
      <c r="O414" s="7" t="n">
        <f aca="false">IF(OR(E414="Closed Won",E414="Closed Lost"),0,1)</f>
        <v>0</v>
      </c>
      <c r="P414" s="17" t="str">
        <f aca="false">INDEX(Accounts!$K$5:$K$336,MATCH(B414,Accounts!$A$5:$A$336,0))</f>
        <v>Financial Services</v>
      </c>
      <c r="Q414" s="17" t="str">
        <f aca="false">INDEX(Accounts!$D$5:$D$336,MATCH(B414,Accounts!$A$5:$A$336,0))</f>
        <v>Standard</v>
      </c>
      <c r="R414" s="7" t="n">
        <f aca="false">INDEX(Inputs!$B$11:$B$16,MATCH(E414,Inputs!$A$11:$A$16,0))</f>
        <v>0</v>
      </c>
      <c r="S414" s="27" t="n">
        <f aca="false">IF(F414="",0,F414)*R414/100</f>
        <v>0</v>
      </c>
      <c r="T414" s="7" t="n">
        <f aca="false">Inputs!$B$4-J414</f>
        <v>13</v>
      </c>
      <c r="U414" s="7" t="n">
        <f aca="false">IF(OR(F414="",F414=0),1,0)</f>
        <v>0</v>
      </c>
      <c r="V414" s="7" t="n">
        <f aca="false">IF(K414="",1,0)</f>
        <v>0</v>
      </c>
      <c r="W414" s="7" t="n">
        <f aca="false">IF(AND(O414=1,K414&lt;&gt;"",COUNTIFS(Owners!$A$5:$A$32,K414,Owners!$E$5:$E$32,"No")&gt;0),1,0)</f>
        <v>0</v>
      </c>
      <c r="X414" s="7" t="n">
        <f aca="false">IF(AND(O414=1,I414&lt;Inputs!$B$4),1,0)</f>
        <v>0</v>
      </c>
      <c r="Y414" s="7" t="n">
        <f aca="false">IF(AND(O414=1,T414&gt;Inputs!$B$5),1,0)</f>
        <v>0</v>
      </c>
      <c r="Z414" s="7" t="n">
        <f aca="false">IF(AND(O414=1,G414&lt;&gt;R414),1,0)</f>
        <v>0</v>
      </c>
      <c r="AA414" s="7" t="n">
        <f aca="false">IF(AND(O414=1,M414=""),1,0)</f>
        <v>0</v>
      </c>
      <c r="AB414" s="7" t="n">
        <f aca="false">IF(AND(E414="Closed Lost",N414=""),1,0)</f>
        <v>0</v>
      </c>
      <c r="AC414" s="7" t="n">
        <f aca="false">SUM(U414:AB414)</f>
        <v>0</v>
      </c>
      <c r="AD414" s="7" t="n">
        <f aca="false">IF(AC414=0,1,0)</f>
        <v>1</v>
      </c>
      <c r="AE414" s="7" t="n">
        <f aca="false">IF(AND(O414=1,I414&gt;=Inputs!$B$6,I414&lt;=Inputs!$B$7),1,0)</f>
        <v>0</v>
      </c>
      <c r="AF414" s="7" t="n">
        <f aca="false">IF(AND(E414="Closed Won",I414&gt;=Inputs!$B$6,I414&lt;=Inputs!$B$4),1,0)</f>
        <v>0</v>
      </c>
      <c r="AG414" s="7" t="n">
        <f aca="false">IF(AND(O414=0,I414&gt;Inputs!$B$4-Inputs!$B$8,I414&lt;=Inputs!$B$4),1,0)</f>
        <v>1</v>
      </c>
      <c r="AH414" s="7" t="n">
        <f aca="false">I414-H414</f>
        <v>77</v>
      </c>
    </row>
    <row r="415" customFormat="false" ht="15" hidden="false" customHeight="false" outlineLevel="0" collapsed="false">
      <c r="A415" s="16" t="s">
        <v>1520</v>
      </c>
      <c r="B415" s="16" t="s">
        <v>91</v>
      </c>
      <c r="C415" s="16" t="s">
        <v>1521</v>
      </c>
      <c r="D415" s="16" t="s">
        <v>165</v>
      </c>
      <c r="E415" s="16" t="s">
        <v>531</v>
      </c>
      <c r="F415" s="26" t="n">
        <v>20009000</v>
      </c>
      <c r="G415" s="25" t="n">
        <v>0</v>
      </c>
      <c r="H415" s="22" t="n">
        <v>46170</v>
      </c>
      <c r="I415" s="22" t="n">
        <v>46234</v>
      </c>
      <c r="J415" s="22" t="n">
        <v>46234</v>
      </c>
      <c r="K415" s="16" t="s">
        <v>633</v>
      </c>
      <c r="L415" s="16" t="s">
        <v>592</v>
      </c>
      <c r="M415" s="16"/>
      <c r="N415" s="16" t="s">
        <v>697</v>
      </c>
      <c r="O415" s="7" t="n">
        <f aca="false">IF(OR(E415="Closed Won",E415="Closed Lost"),0,1)</f>
        <v>0</v>
      </c>
      <c r="P415" s="17" t="str">
        <f aca="false">INDEX(Accounts!$K$5:$K$336,MATCH(B415,Accounts!$A$5:$A$336,0))</f>
        <v>Technology, Media &amp; Telecom</v>
      </c>
      <c r="Q415" s="17" t="str">
        <f aca="false">INDEX(Accounts!$D$5:$D$336,MATCH(B415,Accounts!$A$5:$A$336,0))</f>
        <v>Priority</v>
      </c>
      <c r="R415" s="7" t="n">
        <f aca="false">INDEX(Inputs!$B$11:$B$16,MATCH(E415,Inputs!$A$11:$A$16,0))</f>
        <v>0</v>
      </c>
      <c r="S415" s="27" t="n">
        <f aca="false">IF(F415="",0,F415)*R415/100</f>
        <v>0</v>
      </c>
      <c r="T415" s="7" t="n">
        <f aca="false">Inputs!$B$4-J415</f>
        <v>80</v>
      </c>
      <c r="U415" s="7" t="n">
        <f aca="false">IF(OR(F415="",F415=0),1,0)</f>
        <v>0</v>
      </c>
      <c r="V415" s="7" t="n">
        <f aca="false">IF(K415="",1,0)</f>
        <v>0</v>
      </c>
      <c r="W415" s="7" t="n">
        <f aca="false">IF(AND(O415=1,K415&lt;&gt;"",COUNTIFS(Owners!$A$5:$A$32,K415,Owners!$E$5:$E$32,"No")&gt;0),1,0)</f>
        <v>0</v>
      </c>
      <c r="X415" s="7" t="n">
        <f aca="false">IF(AND(O415=1,I415&lt;Inputs!$B$4),1,0)</f>
        <v>0</v>
      </c>
      <c r="Y415" s="7" t="n">
        <f aca="false">IF(AND(O415=1,T415&gt;Inputs!$B$5),1,0)</f>
        <v>0</v>
      </c>
      <c r="Z415" s="7" t="n">
        <f aca="false">IF(AND(O415=1,G415&lt;&gt;R415),1,0)</f>
        <v>0</v>
      </c>
      <c r="AA415" s="7" t="n">
        <f aca="false">IF(AND(O415=1,M415=""),1,0)</f>
        <v>0</v>
      </c>
      <c r="AB415" s="7" t="n">
        <f aca="false">IF(AND(E415="Closed Lost",N415=""),1,0)</f>
        <v>0</v>
      </c>
      <c r="AC415" s="7" t="n">
        <f aca="false">SUM(U415:AB415)</f>
        <v>0</v>
      </c>
      <c r="AD415" s="7" t="n">
        <f aca="false">IF(AC415=0,1,0)</f>
        <v>1</v>
      </c>
      <c r="AE415" s="7" t="n">
        <f aca="false">IF(AND(O415=1,I415&gt;=Inputs!$B$6,I415&lt;=Inputs!$B$7),1,0)</f>
        <v>0</v>
      </c>
      <c r="AF415" s="7" t="n">
        <f aca="false">IF(AND(E415="Closed Won",I415&gt;=Inputs!$B$6,I415&lt;=Inputs!$B$4),1,0)</f>
        <v>0</v>
      </c>
      <c r="AG415" s="7" t="n">
        <f aca="false">IF(AND(O415=0,I415&gt;Inputs!$B$4-Inputs!$B$8,I415&lt;=Inputs!$B$4),1,0)</f>
        <v>1</v>
      </c>
      <c r="AH415" s="7" t="n">
        <f aca="false">I415-H415</f>
        <v>64</v>
      </c>
    </row>
    <row r="416" customFormat="false" ht="15" hidden="false" customHeight="false" outlineLevel="0" collapsed="false">
      <c r="A416" s="16" t="s">
        <v>1522</v>
      </c>
      <c r="B416" s="16" t="s">
        <v>484</v>
      </c>
      <c r="C416" s="16" t="s">
        <v>1523</v>
      </c>
      <c r="D416" s="16" t="s">
        <v>165</v>
      </c>
      <c r="E416" s="16" t="s">
        <v>531</v>
      </c>
      <c r="F416" s="26" t="n">
        <v>7981000</v>
      </c>
      <c r="G416" s="25" t="n">
        <v>0</v>
      </c>
      <c r="H416" s="22" t="n">
        <v>45990</v>
      </c>
      <c r="I416" s="22" t="n">
        <v>46237</v>
      </c>
      <c r="J416" s="22" t="n">
        <v>46237</v>
      </c>
      <c r="K416" s="16" t="s">
        <v>831</v>
      </c>
      <c r="L416" s="16" t="s">
        <v>609</v>
      </c>
      <c r="M416" s="16"/>
      <c r="N416" s="16" t="s">
        <v>697</v>
      </c>
      <c r="O416" s="7" t="n">
        <f aca="false">IF(OR(E416="Closed Won",E416="Closed Lost"),0,1)</f>
        <v>0</v>
      </c>
      <c r="P416" s="17" t="str">
        <f aca="false">INDEX(Accounts!$K$5:$K$336,MATCH(B416,Accounts!$A$5:$A$336,0))</f>
        <v>Energy &amp; Resources</v>
      </c>
      <c r="Q416" s="17" t="str">
        <f aca="false">INDEX(Accounts!$D$5:$D$336,MATCH(B416,Accounts!$A$5:$A$336,0))</f>
        <v>Standard</v>
      </c>
      <c r="R416" s="7" t="n">
        <f aca="false">INDEX(Inputs!$B$11:$B$16,MATCH(E416,Inputs!$A$11:$A$16,0))</f>
        <v>0</v>
      </c>
      <c r="S416" s="27" t="n">
        <f aca="false">IF(F416="",0,F416)*R416/100</f>
        <v>0</v>
      </c>
      <c r="T416" s="7" t="n">
        <f aca="false">Inputs!$B$4-J416</f>
        <v>77</v>
      </c>
      <c r="U416" s="7" t="n">
        <f aca="false">IF(OR(F416="",F416=0),1,0)</f>
        <v>0</v>
      </c>
      <c r="V416" s="7" t="n">
        <f aca="false">IF(K416="",1,0)</f>
        <v>0</v>
      </c>
      <c r="W416" s="7" t="n">
        <f aca="false">IF(AND(O416=1,K416&lt;&gt;"",COUNTIFS(Owners!$A$5:$A$32,K416,Owners!$E$5:$E$32,"No")&gt;0),1,0)</f>
        <v>0</v>
      </c>
      <c r="X416" s="7" t="n">
        <f aca="false">IF(AND(O416=1,I416&lt;Inputs!$B$4),1,0)</f>
        <v>0</v>
      </c>
      <c r="Y416" s="7" t="n">
        <f aca="false">IF(AND(O416=1,T416&gt;Inputs!$B$5),1,0)</f>
        <v>0</v>
      </c>
      <c r="Z416" s="7" t="n">
        <f aca="false">IF(AND(O416=1,G416&lt;&gt;R416),1,0)</f>
        <v>0</v>
      </c>
      <c r="AA416" s="7" t="n">
        <f aca="false">IF(AND(O416=1,M416=""),1,0)</f>
        <v>0</v>
      </c>
      <c r="AB416" s="7" t="n">
        <f aca="false">IF(AND(E416="Closed Lost",N416=""),1,0)</f>
        <v>0</v>
      </c>
      <c r="AC416" s="7" t="n">
        <f aca="false">SUM(U416:AB416)</f>
        <v>0</v>
      </c>
      <c r="AD416" s="7" t="n">
        <f aca="false">IF(AC416=0,1,0)</f>
        <v>1</v>
      </c>
      <c r="AE416" s="7" t="n">
        <f aca="false">IF(AND(O416=1,I416&gt;=Inputs!$B$6,I416&lt;=Inputs!$B$7),1,0)</f>
        <v>0</v>
      </c>
      <c r="AF416" s="7" t="n">
        <f aca="false">IF(AND(E416="Closed Won",I416&gt;=Inputs!$B$6,I416&lt;=Inputs!$B$4),1,0)</f>
        <v>0</v>
      </c>
      <c r="AG416" s="7" t="n">
        <f aca="false">IF(AND(O416=0,I416&gt;Inputs!$B$4-Inputs!$B$8,I416&lt;=Inputs!$B$4),1,0)</f>
        <v>1</v>
      </c>
      <c r="AH416" s="7" t="n">
        <f aca="false">I416-H416</f>
        <v>247</v>
      </c>
    </row>
    <row r="417" customFormat="false" ht="15" hidden="false" customHeight="false" outlineLevel="0" collapsed="false">
      <c r="A417" s="16" t="s">
        <v>1524</v>
      </c>
      <c r="B417" s="16" t="s">
        <v>375</v>
      </c>
      <c r="C417" s="16" t="s">
        <v>1525</v>
      </c>
      <c r="D417" s="16" t="s">
        <v>177</v>
      </c>
      <c r="E417" s="16" t="s">
        <v>531</v>
      </c>
      <c r="F417" s="26" t="n">
        <v>19816000</v>
      </c>
      <c r="G417" s="25" t="n">
        <v>0</v>
      </c>
      <c r="H417" s="22" t="n">
        <v>45958</v>
      </c>
      <c r="I417" s="22" t="n">
        <v>46028</v>
      </c>
      <c r="J417" s="22" t="n">
        <v>46028</v>
      </c>
      <c r="K417" s="16" t="s">
        <v>588</v>
      </c>
      <c r="L417" s="16" t="s">
        <v>592</v>
      </c>
      <c r="M417" s="16"/>
      <c r="N417" s="16" t="s">
        <v>697</v>
      </c>
      <c r="O417" s="7" t="n">
        <f aca="false">IF(OR(E417="Closed Won",E417="Closed Lost"),0,1)</f>
        <v>0</v>
      </c>
      <c r="P417" s="17" t="str">
        <f aca="false">INDEX(Accounts!$K$5:$K$336,MATCH(B417,Accounts!$A$5:$A$336,0))</f>
        <v>Technology, Media &amp; Telecom</v>
      </c>
      <c r="Q417" s="17" t="str">
        <f aca="false">INDEX(Accounts!$D$5:$D$336,MATCH(B417,Accounts!$A$5:$A$336,0))</f>
        <v>Key</v>
      </c>
      <c r="R417" s="7" t="n">
        <f aca="false">INDEX(Inputs!$B$11:$B$16,MATCH(E417,Inputs!$A$11:$A$16,0))</f>
        <v>0</v>
      </c>
      <c r="S417" s="27" t="n">
        <f aca="false">IF(F417="",0,F417)*R417/100</f>
        <v>0</v>
      </c>
      <c r="T417" s="7" t="n">
        <f aca="false">Inputs!$B$4-J417</f>
        <v>286</v>
      </c>
      <c r="U417" s="7" t="n">
        <f aca="false">IF(OR(F417="",F417=0),1,0)</f>
        <v>0</v>
      </c>
      <c r="V417" s="7" t="n">
        <f aca="false">IF(K417="",1,0)</f>
        <v>0</v>
      </c>
      <c r="W417" s="7" t="n">
        <f aca="false">IF(AND(O417=1,K417&lt;&gt;"",COUNTIFS(Owners!$A$5:$A$32,K417,Owners!$E$5:$E$32,"No")&gt;0),1,0)</f>
        <v>0</v>
      </c>
      <c r="X417" s="7" t="n">
        <f aca="false">IF(AND(O417=1,I417&lt;Inputs!$B$4),1,0)</f>
        <v>0</v>
      </c>
      <c r="Y417" s="7" t="n">
        <f aca="false">IF(AND(O417=1,T417&gt;Inputs!$B$5),1,0)</f>
        <v>0</v>
      </c>
      <c r="Z417" s="7" t="n">
        <f aca="false">IF(AND(O417=1,G417&lt;&gt;R417),1,0)</f>
        <v>0</v>
      </c>
      <c r="AA417" s="7" t="n">
        <f aca="false">IF(AND(O417=1,M417=""),1,0)</f>
        <v>0</v>
      </c>
      <c r="AB417" s="7" t="n">
        <f aca="false">IF(AND(E417="Closed Lost",N417=""),1,0)</f>
        <v>0</v>
      </c>
      <c r="AC417" s="7" t="n">
        <f aca="false">SUM(U417:AB417)</f>
        <v>0</v>
      </c>
      <c r="AD417" s="7" t="n">
        <f aca="false">IF(AC417=0,1,0)</f>
        <v>1</v>
      </c>
      <c r="AE417" s="7" t="n">
        <f aca="false">IF(AND(O417=1,I417&gt;=Inputs!$B$6,I417&lt;=Inputs!$B$7),1,0)</f>
        <v>0</v>
      </c>
      <c r="AF417" s="7" t="n">
        <f aca="false">IF(AND(E417="Closed Won",I417&gt;=Inputs!$B$6,I417&lt;=Inputs!$B$4),1,0)</f>
        <v>0</v>
      </c>
      <c r="AG417" s="7" t="n">
        <f aca="false">IF(AND(O417=0,I417&gt;Inputs!$B$4-Inputs!$B$8,I417&lt;=Inputs!$B$4),1,0)</f>
        <v>1</v>
      </c>
      <c r="AH417" s="7" t="n">
        <f aca="false">I417-H417</f>
        <v>70</v>
      </c>
    </row>
    <row r="418" customFormat="false" ht="15" hidden="false" customHeight="false" outlineLevel="0" collapsed="false">
      <c r="A418" s="16" t="s">
        <v>1526</v>
      </c>
      <c r="B418" s="16" t="s">
        <v>437</v>
      </c>
      <c r="C418" s="16" t="s">
        <v>1527</v>
      </c>
      <c r="D418" s="16" t="s">
        <v>165</v>
      </c>
      <c r="E418" s="16" t="s">
        <v>531</v>
      </c>
      <c r="F418" s="26" t="n">
        <v>31977000</v>
      </c>
      <c r="G418" s="25" t="n">
        <v>0</v>
      </c>
      <c r="H418" s="22" t="n">
        <v>46138</v>
      </c>
      <c r="I418" s="22" t="n">
        <v>46306</v>
      </c>
      <c r="J418" s="22" t="n">
        <v>46306</v>
      </c>
      <c r="K418" s="16" t="s">
        <v>717</v>
      </c>
      <c r="L418" s="16" t="s">
        <v>584</v>
      </c>
      <c r="M418" s="16"/>
      <c r="N418" s="16" t="s">
        <v>610</v>
      </c>
      <c r="O418" s="7" t="n">
        <f aca="false">IF(OR(E418="Closed Won",E418="Closed Lost"),0,1)</f>
        <v>0</v>
      </c>
      <c r="P418" s="17" t="str">
        <f aca="false">INDEX(Accounts!$K$5:$K$336,MATCH(B418,Accounts!$A$5:$A$336,0))</f>
        <v>Agribusiness</v>
      </c>
      <c r="Q418" s="17" t="str">
        <f aca="false">INDEX(Accounts!$D$5:$D$336,MATCH(B418,Accounts!$A$5:$A$336,0))</f>
        <v>Standard</v>
      </c>
      <c r="R418" s="7" t="n">
        <f aca="false">INDEX(Inputs!$B$11:$B$16,MATCH(E418,Inputs!$A$11:$A$16,0))</f>
        <v>0</v>
      </c>
      <c r="S418" s="27" t="n">
        <f aca="false">IF(F418="",0,F418)*R418/100</f>
        <v>0</v>
      </c>
      <c r="T418" s="7" t="n">
        <f aca="false">Inputs!$B$4-J418</f>
        <v>8</v>
      </c>
      <c r="U418" s="7" t="n">
        <f aca="false">IF(OR(F418="",F418=0),1,0)</f>
        <v>0</v>
      </c>
      <c r="V418" s="7" t="n">
        <f aca="false">IF(K418="",1,0)</f>
        <v>0</v>
      </c>
      <c r="W418" s="7" t="n">
        <f aca="false">IF(AND(O418=1,K418&lt;&gt;"",COUNTIFS(Owners!$A$5:$A$32,K418,Owners!$E$5:$E$32,"No")&gt;0),1,0)</f>
        <v>0</v>
      </c>
      <c r="X418" s="7" t="n">
        <f aca="false">IF(AND(O418=1,I418&lt;Inputs!$B$4),1,0)</f>
        <v>0</v>
      </c>
      <c r="Y418" s="7" t="n">
        <f aca="false">IF(AND(O418=1,T418&gt;Inputs!$B$5),1,0)</f>
        <v>0</v>
      </c>
      <c r="Z418" s="7" t="n">
        <f aca="false">IF(AND(O418=1,G418&lt;&gt;R418),1,0)</f>
        <v>0</v>
      </c>
      <c r="AA418" s="7" t="n">
        <f aca="false">IF(AND(O418=1,M418=""),1,0)</f>
        <v>0</v>
      </c>
      <c r="AB418" s="7" t="n">
        <f aca="false">IF(AND(E418="Closed Lost",N418=""),1,0)</f>
        <v>0</v>
      </c>
      <c r="AC418" s="7" t="n">
        <f aca="false">SUM(U418:AB418)</f>
        <v>0</v>
      </c>
      <c r="AD418" s="7" t="n">
        <f aca="false">IF(AC418=0,1,0)</f>
        <v>1</v>
      </c>
      <c r="AE418" s="7" t="n">
        <f aca="false">IF(AND(O418=1,I418&gt;=Inputs!$B$6,I418&lt;=Inputs!$B$7),1,0)</f>
        <v>0</v>
      </c>
      <c r="AF418" s="7" t="n">
        <f aca="false">IF(AND(E418="Closed Won",I418&gt;=Inputs!$B$6,I418&lt;=Inputs!$B$4),1,0)</f>
        <v>0</v>
      </c>
      <c r="AG418" s="7" t="n">
        <f aca="false">IF(AND(O418=0,I418&gt;Inputs!$B$4-Inputs!$B$8,I418&lt;=Inputs!$B$4),1,0)</f>
        <v>1</v>
      </c>
      <c r="AH418" s="7" t="n">
        <f aca="false">I418-H418</f>
        <v>168</v>
      </c>
    </row>
    <row r="419" customFormat="false" ht="15" hidden="false" customHeight="false" outlineLevel="0" collapsed="false">
      <c r="A419" s="16" t="s">
        <v>1528</v>
      </c>
      <c r="B419" s="16" t="s">
        <v>298</v>
      </c>
      <c r="C419" s="16" t="s">
        <v>1529</v>
      </c>
      <c r="D419" s="16" t="s">
        <v>165</v>
      </c>
      <c r="E419" s="16" t="s">
        <v>527</v>
      </c>
      <c r="F419" s="26" t="n">
        <v>40656000</v>
      </c>
      <c r="G419" s="25" t="n">
        <v>0</v>
      </c>
      <c r="H419" s="22" t="n">
        <v>46257</v>
      </c>
      <c r="I419" s="22" t="n">
        <v>46469</v>
      </c>
      <c r="J419" s="22" t="n">
        <v>46285</v>
      </c>
      <c r="K419" s="16" t="s">
        <v>685</v>
      </c>
      <c r="L419" s="16" t="s">
        <v>592</v>
      </c>
      <c r="M419" s="16" t="s">
        <v>619</v>
      </c>
      <c r="N419" s="16"/>
      <c r="O419" s="7" t="n">
        <f aca="false">IF(OR(E419="Closed Won",E419="Closed Lost"),0,1)</f>
        <v>1</v>
      </c>
      <c r="P419" s="17" t="str">
        <f aca="false">INDEX(Accounts!$K$5:$K$336,MATCH(B419,Accounts!$A$5:$A$336,0))</f>
        <v>Agribusiness</v>
      </c>
      <c r="Q419" s="17" t="str">
        <f aca="false">INDEX(Accounts!$D$5:$D$336,MATCH(B419,Accounts!$A$5:$A$336,0))</f>
        <v>Standard</v>
      </c>
      <c r="R419" s="7" t="n">
        <f aca="false">INDEX(Inputs!$B$11:$B$16,MATCH(E419,Inputs!$A$11:$A$16,0))</f>
        <v>25</v>
      </c>
      <c r="S419" s="27" t="n">
        <f aca="false">IF(F419="",0,F419)*R419/100</f>
        <v>10164000</v>
      </c>
      <c r="T419" s="7" t="n">
        <f aca="false">Inputs!$B$4-J419</f>
        <v>29</v>
      </c>
      <c r="U419" s="7" t="n">
        <f aca="false">IF(OR(F419="",F419=0),1,0)</f>
        <v>0</v>
      </c>
      <c r="V419" s="7" t="n">
        <f aca="false">IF(K419="",1,0)</f>
        <v>0</v>
      </c>
      <c r="W419" s="7" t="n">
        <f aca="false">IF(AND(O419=1,K419&lt;&gt;"",COUNTIFS(Owners!$A$5:$A$32,K419,Owners!$E$5:$E$32,"No")&gt;0),1,0)</f>
        <v>0</v>
      </c>
      <c r="X419" s="7" t="n">
        <f aca="false">IF(AND(O419=1,I419&lt;Inputs!$B$4),1,0)</f>
        <v>0</v>
      </c>
      <c r="Y419" s="7" t="n">
        <f aca="false">IF(AND(O419=1,T419&gt;Inputs!$B$5),1,0)</f>
        <v>0</v>
      </c>
      <c r="Z419" s="7" t="n">
        <f aca="false">IF(AND(O419=1,G419&lt;&gt;R419),1,0)</f>
        <v>1</v>
      </c>
      <c r="AA419" s="7" t="n">
        <f aca="false">IF(AND(O419=1,M419=""),1,0)</f>
        <v>0</v>
      </c>
      <c r="AB419" s="7" t="n">
        <f aca="false">IF(AND(E419="Closed Lost",N419=""),1,0)</f>
        <v>0</v>
      </c>
      <c r="AC419" s="7" t="n">
        <f aca="false">SUM(U419:AB419)</f>
        <v>1</v>
      </c>
      <c r="AD419" s="7" t="n">
        <f aca="false">IF(AC419=0,1,0)</f>
        <v>0</v>
      </c>
      <c r="AE419" s="7" t="n">
        <f aca="false">IF(AND(O419=1,I419&gt;=Inputs!$B$6,I419&lt;=Inputs!$B$7),1,0)</f>
        <v>1</v>
      </c>
      <c r="AF419" s="7" t="n">
        <f aca="false">IF(AND(E419="Closed Won",I419&gt;=Inputs!$B$6,I419&lt;=Inputs!$B$4),1,0)</f>
        <v>0</v>
      </c>
      <c r="AG419" s="7" t="n">
        <f aca="false">IF(AND(O419=0,I419&gt;Inputs!$B$4-Inputs!$B$8,I419&lt;=Inputs!$B$4),1,0)</f>
        <v>0</v>
      </c>
      <c r="AH419" s="7" t="n">
        <f aca="false">I419-H419</f>
        <v>212</v>
      </c>
    </row>
    <row r="420" customFormat="false" ht="15" hidden="false" customHeight="false" outlineLevel="0" collapsed="false">
      <c r="A420" s="16" t="s">
        <v>1530</v>
      </c>
      <c r="B420" s="16" t="s">
        <v>1177</v>
      </c>
      <c r="C420" s="16" t="s">
        <v>1531</v>
      </c>
      <c r="D420" s="16" t="s">
        <v>165</v>
      </c>
      <c r="E420" s="16" t="s">
        <v>527</v>
      </c>
      <c r="F420" s="26" t="n">
        <v>21225000</v>
      </c>
      <c r="G420" s="25" t="n">
        <v>25</v>
      </c>
      <c r="H420" s="22" t="n">
        <v>46160</v>
      </c>
      <c r="I420" s="22" t="n">
        <v>46529</v>
      </c>
      <c r="J420" s="22" t="n">
        <v>46137</v>
      </c>
      <c r="K420" s="16" t="s">
        <v>677</v>
      </c>
      <c r="L420" s="16" t="s">
        <v>584</v>
      </c>
      <c r="M420" s="16" t="s">
        <v>593</v>
      </c>
      <c r="N420" s="16"/>
      <c r="O420" s="7" t="n">
        <f aca="false">IF(OR(E420="Closed Won",E420="Closed Lost"),0,1)</f>
        <v>1</v>
      </c>
      <c r="P420" s="17" t="str">
        <f aca="false">INDEX(Accounts!$K$5:$K$336,MATCH(B420,Accounts!$A$5:$A$336,0))</f>
        <v>Consumer &amp; Retail</v>
      </c>
      <c r="Q420" s="17" t="str">
        <f aca="false">INDEX(Accounts!$D$5:$D$336,MATCH(B420,Accounts!$A$5:$A$336,0))</f>
        <v>Standard</v>
      </c>
      <c r="R420" s="7" t="n">
        <f aca="false">INDEX(Inputs!$B$11:$B$16,MATCH(E420,Inputs!$A$11:$A$16,0))</f>
        <v>25</v>
      </c>
      <c r="S420" s="27" t="n">
        <f aca="false">IF(F420="",0,F420)*R420/100</f>
        <v>5306250</v>
      </c>
      <c r="T420" s="7" t="n">
        <f aca="false">Inputs!$B$4-J420</f>
        <v>177</v>
      </c>
      <c r="U420" s="7" t="n">
        <f aca="false">IF(OR(F420="",F420=0),1,0)</f>
        <v>0</v>
      </c>
      <c r="V420" s="7" t="n">
        <f aca="false">IF(K420="",1,0)</f>
        <v>0</v>
      </c>
      <c r="W420" s="7" t="n">
        <f aca="false">IF(AND(O420=1,K420&lt;&gt;"",COUNTIFS(Owners!$A$5:$A$32,K420,Owners!$E$5:$E$32,"No")&gt;0),1,0)</f>
        <v>0</v>
      </c>
      <c r="X420" s="7" t="n">
        <f aca="false">IF(AND(O420=1,I420&lt;Inputs!$B$4),1,0)</f>
        <v>0</v>
      </c>
      <c r="Y420" s="7" t="n">
        <f aca="false">IF(AND(O420=1,T420&gt;Inputs!$B$5),1,0)</f>
        <v>1</v>
      </c>
      <c r="Z420" s="7" t="n">
        <f aca="false">IF(AND(O420=1,G420&lt;&gt;R420),1,0)</f>
        <v>0</v>
      </c>
      <c r="AA420" s="7" t="n">
        <f aca="false">IF(AND(O420=1,M420=""),1,0)</f>
        <v>0</v>
      </c>
      <c r="AB420" s="7" t="n">
        <f aca="false">IF(AND(E420="Closed Lost",N420=""),1,0)</f>
        <v>0</v>
      </c>
      <c r="AC420" s="7" t="n">
        <f aca="false">SUM(U420:AB420)</f>
        <v>1</v>
      </c>
      <c r="AD420" s="7" t="n">
        <f aca="false">IF(AC420=0,1,0)</f>
        <v>0</v>
      </c>
      <c r="AE420" s="7" t="n">
        <f aca="false">IF(AND(O420=1,I420&gt;=Inputs!$B$6,I420&lt;=Inputs!$B$7),1,0)</f>
        <v>1</v>
      </c>
      <c r="AF420" s="7" t="n">
        <f aca="false">IF(AND(E420="Closed Won",I420&gt;=Inputs!$B$6,I420&lt;=Inputs!$B$4),1,0)</f>
        <v>0</v>
      </c>
      <c r="AG420" s="7" t="n">
        <f aca="false">IF(AND(O420=0,I420&gt;Inputs!$B$4-Inputs!$B$8,I420&lt;=Inputs!$B$4),1,0)</f>
        <v>0</v>
      </c>
      <c r="AH420" s="7" t="n">
        <f aca="false">I420-H420</f>
        <v>369</v>
      </c>
    </row>
    <row r="421" customFormat="false" ht="15" hidden="false" customHeight="false" outlineLevel="0" collapsed="false">
      <c r="A421" s="16" t="s">
        <v>1532</v>
      </c>
      <c r="B421" s="16" t="s">
        <v>1191</v>
      </c>
      <c r="C421" s="16" t="s">
        <v>1192</v>
      </c>
      <c r="D421" s="16" t="s">
        <v>167</v>
      </c>
      <c r="E421" s="16" t="s">
        <v>531</v>
      </c>
      <c r="F421" s="26" t="n">
        <v>1487000</v>
      </c>
      <c r="G421" s="25" t="n">
        <v>0</v>
      </c>
      <c r="H421" s="22" t="n">
        <v>46139</v>
      </c>
      <c r="I421" s="22" t="n">
        <v>46223</v>
      </c>
      <c r="J421" s="22" t="n">
        <v>46223</v>
      </c>
      <c r="K421" s="16" t="s">
        <v>578</v>
      </c>
      <c r="L421" s="16" t="s">
        <v>568</v>
      </c>
      <c r="M421" s="16"/>
      <c r="N421" s="16" t="s">
        <v>579</v>
      </c>
      <c r="O421" s="7" t="n">
        <f aca="false">IF(OR(E421="Closed Won",E421="Closed Lost"),0,1)</f>
        <v>0</v>
      </c>
      <c r="P421" s="17" t="str">
        <f aca="false">INDEX(Accounts!$K$5:$K$336,MATCH(B421,Accounts!$A$5:$A$336,0))</f>
        <v>Financial Services</v>
      </c>
      <c r="Q421" s="17" t="str">
        <f aca="false">INDEX(Accounts!$D$5:$D$336,MATCH(B421,Accounts!$A$5:$A$336,0))</f>
        <v>Standard</v>
      </c>
      <c r="R421" s="7" t="n">
        <f aca="false">INDEX(Inputs!$B$11:$B$16,MATCH(E421,Inputs!$A$11:$A$16,0))</f>
        <v>0</v>
      </c>
      <c r="S421" s="27" t="n">
        <f aca="false">IF(F421="",0,F421)*R421/100</f>
        <v>0</v>
      </c>
      <c r="T421" s="7" t="n">
        <f aca="false">Inputs!$B$4-J421</f>
        <v>91</v>
      </c>
      <c r="U421" s="7" t="n">
        <f aca="false">IF(OR(F421="",F421=0),1,0)</f>
        <v>0</v>
      </c>
      <c r="V421" s="7" t="n">
        <f aca="false">IF(K421="",1,0)</f>
        <v>0</v>
      </c>
      <c r="W421" s="7" t="n">
        <f aca="false">IF(AND(O421=1,K421&lt;&gt;"",COUNTIFS(Owners!$A$5:$A$32,K421,Owners!$E$5:$E$32,"No")&gt;0),1,0)</f>
        <v>0</v>
      </c>
      <c r="X421" s="7" t="n">
        <f aca="false">IF(AND(O421=1,I421&lt;Inputs!$B$4),1,0)</f>
        <v>0</v>
      </c>
      <c r="Y421" s="7" t="n">
        <f aca="false">IF(AND(O421=1,T421&gt;Inputs!$B$5),1,0)</f>
        <v>0</v>
      </c>
      <c r="Z421" s="7" t="n">
        <f aca="false">IF(AND(O421=1,G421&lt;&gt;R421),1,0)</f>
        <v>0</v>
      </c>
      <c r="AA421" s="7" t="n">
        <f aca="false">IF(AND(O421=1,M421=""),1,0)</f>
        <v>0</v>
      </c>
      <c r="AB421" s="7" t="n">
        <f aca="false">IF(AND(E421="Closed Lost",N421=""),1,0)</f>
        <v>0</v>
      </c>
      <c r="AC421" s="7" t="n">
        <f aca="false">SUM(U421:AB421)</f>
        <v>0</v>
      </c>
      <c r="AD421" s="7" t="n">
        <f aca="false">IF(AC421=0,1,0)</f>
        <v>1</v>
      </c>
      <c r="AE421" s="7" t="n">
        <f aca="false">IF(AND(O421=1,I421&gt;=Inputs!$B$6,I421&lt;=Inputs!$B$7),1,0)</f>
        <v>0</v>
      </c>
      <c r="AF421" s="7" t="n">
        <f aca="false">IF(AND(E421="Closed Won",I421&gt;=Inputs!$B$6,I421&lt;=Inputs!$B$4),1,0)</f>
        <v>0</v>
      </c>
      <c r="AG421" s="7" t="n">
        <f aca="false">IF(AND(O421=0,I421&gt;Inputs!$B$4-Inputs!$B$8,I421&lt;=Inputs!$B$4),1,0)</f>
        <v>1</v>
      </c>
      <c r="AH421" s="7" t="n">
        <f aca="false">I421-H421</f>
        <v>84</v>
      </c>
    </row>
    <row r="422" customFormat="false" ht="15" hidden="false" customHeight="false" outlineLevel="0" collapsed="false">
      <c r="A422" s="16" t="s">
        <v>1533</v>
      </c>
      <c r="B422" s="16" t="s">
        <v>1534</v>
      </c>
      <c r="C422" s="16" t="s">
        <v>1535</v>
      </c>
      <c r="D422" s="16" t="s">
        <v>165</v>
      </c>
      <c r="E422" s="16" t="s">
        <v>531</v>
      </c>
      <c r="F422" s="26" t="n">
        <v>19954000</v>
      </c>
      <c r="G422" s="25" t="n">
        <v>0</v>
      </c>
      <c r="H422" s="22" t="n">
        <v>45943</v>
      </c>
      <c r="I422" s="22" t="n">
        <v>46235</v>
      </c>
      <c r="J422" s="22" t="n">
        <v>46235</v>
      </c>
      <c r="K422" s="16" t="s">
        <v>654</v>
      </c>
      <c r="L422" s="16" t="s">
        <v>609</v>
      </c>
      <c r="M422" s="16"/>
      <c r="N422" s="16" t="s">
        <v>610</v>
      </c>
      <c r="O422" s="7" t="n">
        <f aca="false">IF(OR(E422="Closed Won",E422="Closed Lost"),0,1)</f>
        <v>0</v>
      </c>
      <c r="P422" s="17" t="str">
        <f aca="false">INDEX(Accounts!$K$5:$K$336,MATCH(B422,Accounts!$A$5:$A$336,0))</f>
        <v>Real Estate &amp; Infrastructure</v>
      </c>
      <c r="Q422" s="17" t="str">
        <f aca="false">INDEX(Accounts!$D$5:$D$336,MATCH(B422,Accounts!$A$5:$A$336,0))</f>
        <v>Key</v>
      </c>
      <c r="R422" s="7" t="n">
        <f aca="false">INDEX(Inputs!$B$11:$B$16,MATCH(E422,Inputs!$A$11:$A$16,0))</f>
        <v>0</v>
      </c>
      <c r="S422" s="27" t="n">
        <f aca="false">IF(F422="",0,F422)*R422/100</f>
        <v>0</v>
      </c>
      <c r="T422" s="7" t="n">
        <f aca="false">Inputs!$B$4-J422</f>
        <v>79</v>
      </c>
      <c r="U422" s="7" t="n">
        <f aca="false">IF(OR(F422="",F422=0),1,0)</f>
        <v>0</v>
      </c>
      <c r="V422" s="7" t="n">
        <f aca="false">IF(K422="",1,0)</f>
        <v>0</v>
      </c>
      <c r="W422" s="7" t="n">
        <f aca="false">IF(AND(O422=1,K422&lt;&gt;"",COUNTIFS(Owners!$A$5:$A$32,K422,Owners!$E$5:$E$32,"No")&gt;0),1,0)</f>
        <v>0</v>
      </c>
      <c r="X422" s="7" t="n">
        <f aca="false">IF(AND(O422=1,I422&lt;Inputs!$B$4),1,0)</f>
        <v>0</v>
      </c>
      <c r="Y422" s="7" t="n">
        <f aca="false">IF(AND(O422=1,T422&gt;Inputs!$B$5),1,0)</f>
        <v>0</v>
      </c>
      <c r="Z422" s="7" t="n">
        <f aca="false">IF(AND(O422=1,G422&lt;&gt;R422),1,0)</f>
        <v>0</v>
      </c>
      <c r="AA422" s="7" t="n">
        <f aca="false">IF(AND(O422=1,M422=""),1,0)</f>
        <v>0</v>
      </c>
      <c r="AB422" s="7" t="n">
        <f aca="false">IF(AND(E422="Closed Lost",N422=""),1,0)</f>
        <v>0</v>
      </c>
      <c r="AC422" s="7" t="n">
        <f aca="false">SUM(U422:AB422)</f>
        <v>0</v>
      </c>
      <c r="AD422" s="7" t="n">
        <f aca="false">IF(AC422=0,1,0)</f>
        <v>1</v>
      </c>
      <c r="AE422" s="7" t="n">
        <f aca="false">IF(AND(O422=1,I422&gt;=Inputs!$B$6,I422&lt;=Inputs!$B$7),1,0)</f>
        <v>0</v>
      </c>
      <c r="AF422" s="7" t="n">
        <f aca="false">IF(AND(E422="Closed Won",I422&gt;=Inputs!$B$6,I422&lt;=Inputs!$B$4),1,0)</f>
        <v>0</v>
      </c>
      <c r="AG422" s="7" t="n">
        <f aca="false">IF(AND(O422=0,I422&gt;Inputs!$B$4-Inputs!$B$8,I422&lt;=Inputs!$B$4),1,0)</f>
        <v>1</v>
      </c>
      <c r="AH422" s="7" t="n">
        <f aca="false">I422-H422</f>
        <v>292</v>
      </c>
    </row>
    <row r="423" customFormat="false" ht="15" hidden="false" customHeight="false" outlineLevel="0" collapsed="false">
      <c r="A423" s="16" t="s">
        <v>1536</v>
      </c>
      <c r="B423" s="16" t="s">
        <v>571</v>
      </c>
      <c r="C423" s="16" t="s">
        <v>1537</v>
      </c>
      <c r="D423" s="16" t="s">
        <v>167</v>
      </c>
      <c r="E423" s="16" t="s">
        <v>529</v>
      </c>
      <c r="F423" s="26"/>
      <c r="G423" s="25" t="n">
        <v>75</v>
      </c>
      <c r="H423" s="22" t="n">
        <v>46206</v>
      </c>
      <c r="I423" s="22" t="n">
        <v>46280</v>
      </c>
      <c r="J423" s="22" t="n">
        <v>46281</v>
      </c>
      <c r="K423" s="16" t="s">
        <v>573</v>
      </c>
      <c r="L423" s="16" t="s">
        <v>500</v>
      </c>
      <c r="M423" s="16" t="s">
        <v>593</v>
      </c>
      <c r="N423" s="16"/>
      <c r="O423" s="7" t="n">
        <f aca="false">IF(OR(E423="Closed Won",E423="Closed Lost"),0,1)</f>
        <v>1</v>
      </c>
      <c r="P423" s="17" t="str">
        <f aca="false">INDEX(Accounts!$K$5:$K$336,MATCH(B423,Accounts!$A$5:$A$336,0))</f>
        <v>Financial Services</v>
      </c>
      <c r="Q423" s="17" t="str">
        <f aca="false">INDEX(Accounts!$D$5:$D$336,MATCH(B423,Accounts!$A$5:$A$336,0))</f>
        <v>Key</v>
      </c>
      <c r="R423" s="7" t="n">
        <f aca="false">INDEX(Inputs!$B$11:$B$16,MATCH(E423,Inputs!$A$11:$A$16,0))</f>
        <v>75</v>
      </c>
      <c r="S423" s="27" t="n">
        <f aca="false">IF(F423="",0,F423)*R423/100</f>
        <v>0</v>
      </c>
      <c r="T423" s="7" t="n">
        <f aca="false">Inputs!$B$4-J423</f>
        <v>33</v>
      </c>
      <c r="U423" s="7" t="n">
        <f aca="false">IF(OR(F423="",F423=0),1,0)</f>
        <v>1</v>
      </c>
      <c r="V423" s="7" t="n">
        <f aca="false">IF(K423="",1,0)</f>
        <v>0</v>
      </c>
      <c r="W423" s="7" t="n">
        <f aca="false">IF(AND(O423=1,K423&lt;&gt;"",COUNTIFS(Owners!$A$5:$A$32,K423,Owners!$E$5:$E$32,"No")&gt;0),1,0)</f>
        <v>0</v>
      </c>
      <c r="X423" s="7" t="n">
        <f aca="false">IF(AND(O423=1,I423&lt;Inputs!$B$4),1,0)</f>
        <v>1</v>
      </c>
      <c r="Y423" s="7" t="n">
        <f aca="false">IF(AND(O423=1,T423&gt;Inputs!$B$5),1,0)</f>
        <v>0</v>
      </c>
      <c r="Z423" s="7" t="n">
        <f aca="false">IF(AND(O423=1,G423&lt;&gt;R423),1,0)</f>
        <v>0</v>
      </c>
      <c r="AA423" s="7" t="n">
        <f aca="false">IF(AND(O423=1,M423=""),1,0)</f>
        <v>0</v>
      </c>
      <c r="AB423" s="7" t="n">
        <f aca="false">IF(AND(E423="Closed Lost",N423=""),1,0)</f>
        <v>0</v>
      </c>
      <c r="AC423" s="7" t="n">
        <f aca="false">SUM(U423:AB423)</f>
        <v>2</v>
      </c>
      <c r="AD423" s="7" t="n">
        <f aca="false">IF(AC423=0,1,0)</f>
        <v>0</v>
      </c>
      <c r="AE423" s="7" t="n">
        <f aca="false">IF(AND(O423=1,I423&gt;=Inputs!$B$6,I423&lt;=Inputs!$B$7),1,0)</f>
        <v>1</v>
      </c>
      <c r="AF423" s="7" t="n">
        <f aca="false">IF(AND(E423="Closed Won",I423&gt;=Inputs!$B$6,I423&lt;=Inputs!$B$4),1,0)</f>
        <v>0</v>
      </c>
      <c r="AG423" s="7" t="n">
        <f aca="false">IF(AND(O423=0,I423&gt;Inputs!$B$4-Inputs!$B$8,I423&lt;=Inputs!$B$4),1,0)</f>
        <v>0</v>
      </c>
      <c r="AH423" s="7" t="n">
        <f aca="false">I423-H423</f>
        <v>74</v>
      </c>
    </row>
    <row r="424" customFormat="false" ht="15" hidden="false" customHeight="false" outlineLevel="0" collapsed="false">
      <c r="A424" s="16" t="s">
        <v>1538</v>
      </c>
      <c r="B424" s="16" t="s">
        <v>363</v>
      </c>
      <c r="C424" s="16" t="s">
        <v>1539</v>
      </c>
      <c r="D424" s="16" t="s">
        <v>165</v>
      </c>
      <c r="E424" s="16" t="s">
        <v>531</v>
      </c>
      <c r="F424" s="26" t="n">
        <v>19385000</v>
      </c>
      <c r="G424" s="25" t="n">
        <v>0</v>
      </c>
      <c r="H424" s="22" t="n">
        <v>45914</v>
      </c>
      <c r="I424" s="22" t="n">
        <v>46186</v>
      </c>
      <c r="J424" s="22" t="n">
        <v>46186</v>
      </c>
      <c r="K424" s="16" t="s">
        <v>677</v>
      </c>
      <c r="L424" s="16" t="s">
        <v>500</v>
      </c>
      <c r="M424" s="16"/>
      <c r="N424" s="16" t="s">
        <v>579</v>
      </c>
      <c r="O424" s="7" t="n">
        <f aca="false">IF(OR(E424="Closed Won",E424="Closed Lost"),0,1)</f>
        <v>0</v>
      </c>
      <c r="P424" s="17" t="str">
        <f aca="false">INDEX(Accounts!$K$5:$K$336,MATCH(B424,Accounts!$A$5:$A$336,0))</f>
        <v>Technology, Media &amp; Telecom</v>
      </c>
      <c r="Q424" s="17" t="str">
        <f aca="false">INDEX(Accounts!$D$5:$D$336,MATCH(B424,Accounts!$A$5:$A$336,0))</f>
        <v>Key</v>
      </c>
      <c r="R424" s="7" t="n">
        <f aca="false">INDEX(Inputs!$B$11:$B$16,MATCH(E424,Inputs!$A$11:$A$16,0))</f>
        <v>0</v>
      </c>
      <c r="S424" s="27" t="n">
        <f aca="false">IF(F424="",0,F424)*R424/100</f>
        <v>0</v>
      </c>
      <c r="T424" s="7" t="n">
        <f aca="false">Inputs!$B$4-J424</f>
        <v>128</v>
      </c>
      <c r="U424" s="7" t="n">
        <f aca="false">IF(OR(F424="",F424=0),1,0)</f>
        <v>0</v>
      </c>
      <c r="V424" s="7" t="n">
        <f aca="false">IF(K424="",1,0)</f>
        <v>0</v>
      </c>
      <c r="W424" s="7" t="n">
        <f aca="false">IF(AND(O424=1,K424&lt;&gt;"",COUNTIFS(Owners!$A$5:$A$32,K424,Owners!$E$5:$E$32,"No")&gt;0),1,0)</f>
        <v>0</v>
      </c>
      <c r="X424" s="7" t="n">
        <f aca="false">IF(AND(O424=1,I424&lt;Inputs!$B$4),1,0)</f>
        <v>0</v>
      </c>
      <c r="Y424" s="7" t="n">
        <f aca="false">IF(AND(O424=1,T424&gt;Inputs!$B$5),1,0)</f>
        <v>0</v>
      </c>
      <c r="Z424" s="7" t="n">
        <f aca="false">IF(AND(O424=1,G424&lt;&gt;R424),1,0)</f>
        <v>0</v>
      </c>
      <c r="AA424" s="7" t="n">
        <f aca="false">IF(AND(O424=1,M424=""),1,0)</f>
        <v>0</v>
      </c>
      <c r="AB424" s="7" t="n">
        <f aca="false">IF(AND(E424="Closed Lost",N424=""),1,0)</f>
        <v>0</v>
      </c>
      <c r="AC424" s="7" t="n">
        <f aca="false">SUM(U424:AB424)</f>
        <v>0</v>
      </c>
      <c r="AD424" s="7" t="n">
        <f aca="false">IF(AC424=0,1,0)</f>
        <v>1</v>
      </c>
      <c r="AE424" s="7" t="n">
        <f aca="false">IF(AND(O424=1,I424&gt;=Inputs!$B$6,I424&lt;=Inputs!$B$7),1,0)</f>
        <v>0</v>
      </c>
      <c r="AF424" s="7" t="n">
        <f aca="false">IF(AND(E424="Closed Won",I424&gt;=Inputs!$B$6,I424&lt;=Inputs!$B$4),1,0)</f>
        <v>0</v>
      </c>
      <c r="AG424" s="7" t="n">
        <f aca="false">IF(AND(O424=0,I424&gt;Inputs!$B$4-Inputs!$B$8,I424&lt;=Inputs!$B$4),1,0)</f>
        <v>1</v>
      </c>
      <c r="AH424" s="7" t="n">
        <f aca="false">I424-H424</f>
        <v>272</v>
      </c>
    </row>
    <row r="425" customFormat="false" ht="15" hidden="false" customHeight="false" outlineLevel="0" collapsed="false">
      <c r="A425" s="16" t="s">
        <v>1540</v>
      </c>
      <c r="B425" s="16" t="s">
        <v>1253</v>
      </c>
      <c r="C425" s="16" t="s">
        <v>1541</v>
      </c>
      <c r="D425" s="16" t="s">
        <v>162</v>
      </c>
      <c r="E425" s="16" t="s">
        <v>527</v>
      </c>
      <c r="F425" s="26" t="n">
        <v>3254000</v>
      </c>
      <c r="G425" s="25" t="n">
        <v>25</v>
      </c>
      <c r="H425" s="22" t="n">
        <v>46188</v>
      </c>
      <c r="I425" s="22" t="n">
        <v>46412</v>
      </c>
      <c r="J425" s="22" t="n">
        <v>46304</v>
      </c>
      <c r="K425" s="16" t="s">
        <v>591</v>
      </c>
      <c r="L425" s="16" t="s">
        <v>584</v>
      </c>
      <c r="M425" s="16" t="s">
        <v>569</v>
      </c>
      <c r="N425" s="16"/>
      <c r="O425" s="7" t="n">
        <f aca="false">IF(OR(E425="Closed Won",E425="Closed Lost"),0,1)</f>
        <v>1</v>
      </c>
      <c r="P425" s="17" t="str">
        <f aca="false">INDEX(Accounts!$K$5:$K$336,MATCH(B425,Accounts!$A$5:$A$336,0))</f>
        <v>Technology, Media &amp; Telecom</v>
      </c>
      <c r="Q425" s="17" t="str">
        <f aca="false">INDEX(Accounts!$D$5:$D$336,MATCH(B425,Accounts!$A$5:$A$336,0))</f>
        <v>Standard</v>
      </c>
      <c r="R425" s="7" t="n">
        <f aca="false">INDEX(Inputs!$B$11:$B$16,MATCH(E425,Inputs!$A$11:$A$16,0))</f>
        <v>25</v>
      </c>
      <c r="S425" s="27" t="n">
        <f aca="false">IF(F425="",0,F425)*R425/100</f>
        <v>813500</v>
      </c>
      <c r="T425" s="7" t="n">
        <f aca="false">Inputs!$B$4-J425</f>
        <v>10</v>
      </c>
      <c r="U425" s="7" t="n">
        <f aca="false">IF(OR(F425="",F425=0),1,0)</f>
        <v>0</v>
      </c>
      <c r="V425" s="7" t="n">
        <f aca="false">IF(K425="",1,0)</f>
        <v>0</v>
      </c>
      <c r="W425" s="7" t="n">
        <f aca="false">IF(AND(O425=1,K425&lt;&gt;"",COUNTIFS(Owners!$A$5:$A$32,K425,Owners!$E$5:$E$32,"No")&gt;0),1,0)</f>
        <v>0</v>
      </c>
      <c r="X425" s="7" t="n">
        <f aca="false">IF(AND(O425=1,I425&lt;Inputs!$B$4),1,0)</f>
        <v>0</v>
      </c>
      <c r="Y425" s="7" t="n">
        <f aca="false">IF(AND(O425=1,T425&gt;Inputs!$B$5),1,0)</f>
        <v>0</v>
      </c>
      <c r="Z425" s="7" t="n">
        <f aca="false">IF(AND(O425=1,G425&lt;&gt;R425),1,0)</f>
        <v>0</v>
      </c>
      <c r="AA425" s="7" t="n">
        <f aca="false">IF(AND(O425=1,M425=""),1,0)</f>
        <v>0</v>
      </c>
      <c r="AB425" s="7" t="n">
        <f aca="false">IF(AND(E425="Closed Lost",N425=""),1,0)</f>
        <v>0</v>
      </c>
      <c r="AC425" s="7" t="n">
        <f aca="false">SUM(U425:AB425)</f>
        <v>0</v>
      </c>
      <c r="AD425" s="7" t="n">
        <f aca="false">IF(AC425=0,1,0)</f>
        <v>1</v>
      </c>
      <c r="AE425" s="7" t="n">
        <f aca="false">IF(AND(O425=1,I425&gt;=Inputs!$B$6,I425&lt;=Inputs!$B$7),1,0)</f>
        <v>1</v>
      </c>
      <c r="AF425" s="7" t="n">
        <f aca="false">IF(AND(E425="Closed Won",I425&gt;=Inputs!$B$6,I425&lt;=Inputs!$B$4),1,0)</f>
        <v>0</v>
      </c>
      <c r="AG425" s="7" t="n">
        <f aca="false">IF(AND(O425=0,I425&gt;Inputs!$B$4-Inputs!$B$8,I425&lt;=Inputs!$B$4),1,0)</f>
        <v>0</v>
      </c>
      <c r="AH425" s="7" t="n">
        <f aca="false">I425-H425</f>
        <v>224</v>
      </c>
    </row>
    <row r="426" customFormat="false" ht="15" hidden="false" customHeight="false" outlineLevel="0" collapsed="false">
      <c r="A426" s="16" t="s">
        <v>1542</v>
      </c>
      <c r="B426" s="16" t="s">
        <v>1134</v>
      </c>
      <c r="C426" s="16" t="s">
        <v>1543</v>
      </c>
      <c r="D426" s="16" t="s">
        <v>162</v>
      </c>
      <c r="E426" s="16" t="s">
        <v>530</v>
      </c>
      <c r="F426" s="26"/>
      <c r="G426" s="25" t="n">
        <v>100</v>
      </c>
      <c r="H426" s="22" t="n">
        <v>46025</v>
      </c>
      <c r="I426" s="22" t="n">
        <v>46247</v>
      </c>
      <c r="J426" s="22" t="n">
        <v>46247</v>
      </c>
      <c r="K426" s="16"/>
      <c r="L426" s="16" t="s">
        <v>574</v>
      </c>
      <c r="M426" s="16"/>
      <c r="N426" s="16"/>
      <c r="O426" s="7" t="n">
        <f aca="false">IF(OR(E426="Closed Won",E426="Closed Lost"),0,1)</f>
        <v>0</v>
      </c>
      <c r="P426" s="17" t="str">
        <f aca="false">INDEX(Accounts!$K$5:$K$336,MATCH(B426,Accounts!$A$5:$A$336,0))</f>
        <v>Agribusiness</v>
      </c>
      <c r="Q426" s="17" t="str">
        <f aca="false">INDEX(Accounts!$D$5:$D$336,MATCH(B426,Accounts!$A$5:$A$336,0))</f>
        <v>Key</v>
      </c>
      <c r="R426" s="7" t="n">
        <f aca="false">INDEX(Inputs!$B$11:$B$16,MATCH(E426,Inputs!$A$11:$A$16,0))</f>
        <v>100</v>
      </c>
      <c r="S426" s="27" t="n">
        <f aca="false">IF(F426="",0,F426)*R426/100</f>
        <v>0</v>
      </c>
      <c r="T426" s="7" t="n">
        <f aca="false">Inputs!$B$4-J426</f>
        <v>67</v>
      </c>
      <c r="U426" s="7" t="n">
        <f aca="false">IF(OR(F426="",F426=0),1,0)</f>
        <v>1</v>
      </c>
      <c r="V426" s="7" t="n">
        <f aca="false">IF(K426="",1,0)</f>
        <v>1</v>
      </c>
      <c r="W426" s="7" t="n">
        <f aca="false">IF(AND(O426=1,K426&lt;&gt;"",COUNTIFS(Owners!$A$5:$A$32,K426,Owners!$E$5:$E$32,"No")&gt;0),1,0)</f>
        <v>0</v>
      </c>
      <c r="X426" s="7" t="n">
        <f aca="false">IF(AND(O426=1,I426&lt;Inputs!$B$4),1,0)</f>
        <v>0</v>
      </c>
      <c r="Y426" s="7" t="n">
        <f aca="false">IF(AND(O426=1,T426&gt;Inputs!$B$5),1,0)</f>
        <v>0</v>
      </c>
      <c r="Z426" s="7" t="n">
        <f aca="false">IF(AND(O426=1,G426&lt;&gt;R426),1,0)</f>
        <v>0</v>
      </c>
      <c r="AA426" s="7" t="n">
        <f aca="false">IF(AND(O426=1,M426=""),1,0)</f>
        <v>0</v>
      </c>
      <c r="AB426" s="7" t="n">
        <f aca="false">IF(AND(E426="Closed Lost",N426=""),1,0)</f>
        <v>0</v>
      </c>
      <c r="AC426" s="7" t="n">
        <f aca="false">SUM(U426:AB426)</f>
        <v>2</v>
      </c>
      <c r="AD426" s="7" t="n">
        <f aca="false">IF(AC426=0,1,0)</f>
        <v>0</v>
      </c>
      <c r="AE426" s="7" t="n">
        <f aca="false">IF(AND(O426=1,I426&gt;=Inputs!$B$6,I426&lt;=Inputs!$B$7),1,0)</f>
        <v>0</v>
      </c>
      <c r="AF426" s="7" t="n">
        <f aca="false">IF(AND(E426="Closed Won",I426&gt;=Inputs!$B$6,I426&lt;=Inputs!$B$4),1,0)</f>
        <v>1</v>
      </c>
      <c r="AG426" s="7" t="n">
        <f aca="false">IF(AND(O426=0,I426&gt;Inputs!$B$4-Inputs!$B$8,I426&lt;=Inputs!$B$4),1,0)</f>
        <v>1</v>
      </c>
      <c r="AH426" s="7" t="n">
        <f aca="false">I426-H426</f>
        <v>222</v>
      </c>
    </row>
    <row r="427" customFormat="false" ht="15" hidden="false" customHeight="false" outlineLevel="0" collapsed="false">
      <c r="A427" s="16" t="s">
        <v>1544</v>
      </c>
      <c r="B427" s="16" t="s">
        <v>1196</v>
      </c>
      <c r="C427" s="16" t="s">
        <v>1197</v>
      </c>
      <c r="D427" s="16" t="s">
        <v>167</v>
      </c>
      <c r="E427" s="16" t="s">
        <v>531</v>
      </c>
      <c r="F427" s="26" t="n">
        <v>4574000</v>
      </c>
      <c r="G427" s="25" t="n">
        <v>0</v>
      </c>
      <c r="H427" s="22" t="n">
        <v>46022</v>
      </c>
      <c r="I427" s="22" t="n">
        <v>46151</v>
      </c>
      <c r="J427" s="22" t="n">
        <v>46151</v>
      </c>
      <c r="K427" s="16" t="s">
        <v>677</v>
      </c>
      <c r="L427" s="16" t="s">
        <v>584</v>
      </c>
      <c r="M427" s="16"/>
      <c r="N427" s="16" t="s">
        <v>722</v>
      </c>
      <c r="O427" s="7" t="n">
        <f aca="false">IF(OR(E427="Closed Won",E427="Closed Lost"),0,1)</f>
        <v>0</v>
      </c>
      <c r="P427" s="17" t="str">
        <f aca="false">INDEX(Accounts!$K$5:$K$336,MATCH(B427,Accounts!$A$5:$A$336,0))</f>
        <v>Consumer &amp; Retail</v>
      </c>
      <c r="Q427" s="17" t="str">
        <f aca="false">INDEX(Accounts!$D$5:$D$336,MATCH(B427,Accounts!$A$5:$A$336,0))</f>
        <v>Key</v>
      </c>
      <c r="R427" s="7" t="n">
        <f aca="false">INDEX(Inputs!$B$11:$B$16,MATCH(E427,Inputs!$A$11:$A$16,0))</f>
        <v>0</v>
      </c>
      <c r="S427" s="27" t="n">
        <f aca="false">IF(F427="",0,F427)*R427/100</f>
        <v>0</v>
      </c>
      <c r="T427" s="7" t="n">
        <f aca="false">Inputs!$B$4-J427</f>
        <v>163</v>
      </c>
      <c r="U427" s="7" t="n">
        <f aca="false">IF(OR(F427="",F427=0),1,0)</f>
        <v>0</v>
      </c>
      <c r="V427" s="7" t="n">
        <f aca="false">IF(K427="",1,0)</f>
        <v>0</v>
      </c>
      <c r="W427" s="7" t="n">
        <f aca="false">IF(AND(O427=1,K427&lt;&gt;"",COUNTIFS(Owners!$A$5:$A$32,K427,Owners!$E$5:$E$32,"No")&gt;0),1,0)</f>
        <v>0</v>
      </c>
      <c r="X427" s="7" t="n">
        <f aca="false">IF(AND(O427=1,I427&lt;Inputs!$B$4),1,0)</f>
        <v>0</v>
      </c>
      <c r="Y427" s="7" t="n">
        <f aca="false">IF(AND(O427=1,T427&gt;Inputs!$B$5),1,0)</f>
        <v>0</v>
      </c>
      <c r="Z427" s="7" t="n">
        <f aca="false">IF(AND(O427=1,G427&lt;&gt;R427),1,0)</f>
        <v>0</v>
      </c>
      <c r="AA427" s="7" t="n">
        <f aca="false">IF(AND(O427=1,M427=""),1,0)</f>
        <v>0</v>
      </c>
      <c r="AB427" s="7" t="n">
        <f aca="false">IF(AND(E427="Closed Lost",N427=""),1,0)</f>
        <v>0</v>
      </c>
      <c r="AC427" s="7" t="n">
        <f aca="false">SUM(U427:AB427)</f>
        <v>0</v>
      </c>
      <c r="AD427" s="7" t="n">
        <f aca="false">IF(AC427=0,1,0)</f>
        <v>1</v>
      </c>
      <c r="AE427" s="7" t="n">
        <f aca="false">IF(AND(O427=1,I427&gt;=Inputs!$B$6,I427&lt;=Inputs!$B$7),1,0)</f>
        <v>0</v>
      </c>
      <c r="AF427" s="7" t="n">
        <f aca="false">IF(AND(E427="Closed Won",I427&gt;=Inputs!$B$6,I427&lt;=Inputs!$B$4),1,0)</f>
        <v>0</v>
      </c>
      <c r="AG427" s="7" t="n">
        <f aca="false">IF(AND(O427=0,I427&gt;Inputs!$B$4-Inputs!$B$8,I427&lt;=Inputs!$B$4),1,0)</f>
        <v>1</v>
      </c>
      <c r="AH427" s="7" t="n">
        <f aca="false">I427-H427</f>
        <v>129</v>
      </c>
    </row>
    <row r="428" customFormat="false" ht="15" hidden="false" customHeight="false" outlineLevel="0" collapsed="false">
      <c r="A428" s="16" t="s">
        <v>1545</v>
      </c>
      <c r="B428" s="16" t="s">
        <v>306</v>
      </c>
      <c r="C428" s="16" t="s">
        <v>1546</v>
      </c>
      <c r="D428" s="16" t="s">
        <v>162</v>
      </c>
      <c r="E428" s="16" t="s">
        <v>531</v>
      </c>
      <c r="F428" s="26" t="n">
        <v>4869000</v>
      </c>
      <c r="G428" s="25" t="n">
        <v>0</v>
      </c>
      <c r="H428" s="22" t="n">
        <v>46053</v>
      </c>
      <c r="I428" s="22" t="n">
        <v>46294</v>
      </c>
      <c r="J428" s="22" t="n">
        <v>46294</v>
      </c>
      <c r="K428" s="16" t="s">
        <v>578</v>
      </c>
      <c r="L428" s="16" t="s">
        <v>609</v>
      </c>
      <c r="M428" s="16"/>
      <c r="N428" s="16" t="s">
        <v>697</v>
      </c>
      <c r="O428" s="7" t="n">
        <f aca="false">IF(OR(E428="Closed Won",E428="Closed Lost"),0,1)</f>
        <v>0</v>
      </c>
      <c r="P428" s="17" t="str">
        <f aca="false">INDEX(Accounts!$K$5:$K$336,MATCH(B428,Accounts!$A$5:$A$336,0))</f>
        <v>Public Sector &amp; Development</v>
      </c>
      <c r="Q428" s="17" t="str">
        <f aca="false">INDEX(Accounts!$D$5:$D$336,MATCH(B428,Accounts!$A$5:$A$336,0))</f>
        <v>Standard</v>
      </c>
      <c r="R428" s="7" t="n">
        <f aca="false">INDEX(Inputs!$B$11:$B$16,MATCH(E428,Inputs!$A$11:$A$16,0))</f>
        <v>0</v>
      </c>
      <c r="S428" s="27" t="n">
        <f aca="false">IF(F428="",0,F428)*R428/100</f>
        <v>0</v>
      </c>
      <c r="T428" s="7" t="n">
        <f aca="false">Inputs!$B$4-J428</f>
        <v>20</v>
      </c>
      <c r="U428" s="7" t="n">
        <f aca="false">IF(OR(F428="",F428=0),1,0)</f>
        <v>0</v>
      </c>
      <c r="V428" s="7" t="n">
        <f aca="false">IF(K428="",1,0)</f>
        <v>0</v>
      </c>
      <c r="W428" s="7" t="n">
        <f aca="false">IF(AND(O428=1,K428&lt;&gt;"",COUNTIFS(Owners!$A$5:$A$32,K428,Owners!$E$5:$E$32,"No")&gt;0),1,0)</f>
        <v>0</v>
      </c>
      <c r="X428" s="7" t="n">
        <f aca="false">IF(AND(O428=1,I428&lt;Inputs!$B$4),1,0)</f>
        <v>0</v>
      </c>
      <c r="Y428" s="7" t="n">
        <f aca="false">IF(AND(O428=1,T428&gt;Inputs!$B$5),1,0)</f>
        <v>0</v>
      </c>
      <c r="Z428" s="7" t="n">
        <f aca="false">IF(AND(O428=1,G428&lt;&gt;R428),1,0)</f>
        <v>0</v>
      </c>
      <c r="AA428" s="7" t="n">
        <f aca="false">IF(AND(O428=1,M428=""),1,0)</f>
        <v>0</v>
      </c>
      <c r="AB428" s="7" t="n">
        <f aca="false">IF(AND(E428="Closed Lost",N428=""),1,0)</f>
        <v>0</v>
      </c>
      <c r="AC428" s="7" t="n">
        <f aca="false">SUM(U428:AB428)</f>
        <v>0</v>
      </c>
      <c r="AD428" s="7" t="n">
        <f aca="false">IF(AC428=0,1,0)</f>
        <v>1</v>
      </c>
      <c r="AE428" s="7" t="n">
        <f aca="false">IF(AND(O428=1,I428&gt;=Inputs!$B$6,I428&lt;=Inputs!$B$7),1,0)</f>
        <v>0</v>
      </c>
      <c r="AF428" s="7" t="n">
        <f aca="false">IF(AND(E428="Closed Won",I428&gt;=Inputs!$B$6,I428&lt;=Inputs!$B$4),1,0)</f>
        <v>0</v>
      </c>
      <c r="AG428" s="7" t="n">
        <f aca="false">IF(AND(O428=0,I428&gt;Inputs!$B$4-Inputs!$B$8,I428&lt;=Inputs!$B$4),1,0)</f>
        <v>1</v>
      </c>
      <c r="AH428" s="7" t="n">
        <f aca="false">I428-H428</f>
        <v>241</v>
      </c>
    </row>
    <row r="429" customFormat="false" ht="15" hidden="false" customHeight="false" outlineLevel="0" collapsed="false">
      <c r="A429" s="16" t="s">
        <v>1547</v>
      </c>
      <c r="B429" s="16" t="s">
        <v>66</v>
      </c>
      <c r="C429" s="16" t="s">
        <v>1548</v>
      </c>
      <c r="D429" s="16" t="s">
        <v>158</v>
      </c>
      <c r="E429" s="16" t="s">
        <v>528</v>
      </c>
      <c r="F429" s="26" t="n">
        <v>19945000</v>
      </c>
      <c r="G429" s="25" t="n">
        <v>50</v>
      </c>
      <c r="H429" s="22" t="n">
        <v>46233</v>
      </c>
      <c r="I429" s="22" t="n">
        <v>46562</v>
      </c>
      <c r="J429" s="22" t="n">
        <v>46296</v>
      </c>
      <c r="K429" s="16" t="s">
        <v>640</v>
      </c>
      <c r="L429" s="16" t="s">
        <v>584</v>
      </c>
      <c r="M429" s="16" t="s">
        <v>601</v>
      </c>
      <c r="N429" s="16"/>
      <c r="O429" s="7" t="n">
        <f aca="false">IF(OR(E429="Closed Won",E429="Closed Lost"),0,1)</f>
        <v>1</v>
      </c>
      <c r="P429" s="17" t="str">
        <f aca="false">INDEX(Accounts!$K$5:$K$336,MATCH(B429,Accounts!$A$5:$A$336,0))</f>
        <v>Financial Services</v>
      </c>
      <c r="Q429" s="17" t="str">
        <f aca="false">INDEX(Accounts!$D$5:$D$336,MATCH(B429,Accounts!$A$5:$A$336,0))</f>
        <v>Priority</v>
      </c>
      <c r="R429" s="7" t="n">
        <f aca="false">INDEX(Inputs!$B$11:$B$16,MATCH(E429,Inputs!$A$11:$A$16,0))</f>
        <v>50</v>
      </c>
      <c r="S429" s="27" t="n">
        <f aca="false">IF(F429="",0,F429)*R429/100</f>
        <v>9972500</v>
      </c>
      <c r="T429" s="7" t="n">
        <f aca="false">Inputs!$B$4-J429</f>
        <v>18</v>
      </c>
      <c r="U429" s="7" t="n">
        <f aca="false">IF(OR(F429="",F429=0),1,0)</f>
        <v>0</v>
      </c>
      <c r="V429" s="7" t="n">
        <f aca="false">IF(K429="",1,0)</f>
        <v>0</v>
      </c>
      <c r="W429" s="7" t="n">
        <f aca="false">IF(AND(O429=1,K429&lt;&gt;"",COUNTIFS(Owners!$A$5:$A$32,K429,Owners!$E$5:$E$32,"No")&gt;0),1,0)</f>
        <v>0</v>
      </c>
      <c r="X429" s="7" t="n">
        <f aca="false">IF(AND(O429=1,I429&lt;Inputs!$B$4),1,0)</f>
        <v>0</v>
      </c>
      <c r="Y429" s="7" t="n">
        <f aca="false">IF(AND(O429=1,T429&gt;Inputs!$B$5),1,0)</f>
        <v>0</v>
      </c>
      <c r="Z429" s="7" t="n">
        <f aca="false">IF(AND(O429=1,G429&lt;&gt;R429),1,0)</f>
        <v>0</v>
      </c>
      <c r="AA429" s="7" t="n">
        <f aca="false">IF(AND(O429=1,M429=""),1,0)</f>
        <v>0</v>
      </c>
      <c r="AB429" s="7" t="n">
        <f aca="false">IF(AND(E429="Closed Lost",N429=""),1,0)</f>
        <v>0</v>
      </c>
      <c r="AC429" s="7" t="n">
        <f aca="false">SUM(U429:AB429)</f>
        <v>0</v>
      </c>
      <c r="AD429" s="7" t="n">
        <f aca="false">IF(AC429=0,1,0)</f>
        <v>1</v>
      </c>
      <c r="AE429" s="7" t="n">
        <f aca="false">IF(AND(O429=1,I429&gt;=Inputs!$B$6,I429&lt;=Inputs!$B$7),1,0)</f>
        <v>1</v>
      </c>
      <c r="AF429" s="7" t="n">
        <f aca="false">IF(AND(E429="Closed Won",I429&gt;=Inputs!$B$6,I429&lt;=Inputs!$B$4),1,0)</f>
        <v>0</v>
      </c>
      <c r="AG429" s="7" t="n">
        <f aca="false">IF(AND(O429=0,I429&gt;Inputs!$B$4-Inputs!$B$8,I429&lt;=Inputs!$B$4),1,0)</f>
        <v>0</v>
      </c>
      <c r="AH429" s="7" t="n">
        <f aca="false">I429-H429</f>
        <v>329</v>
      </c>
    </row>
    <row r="430" customFormat="false" ht="15" hidden="false" customHeight="false" outlineLevel="0" collapsed="false">
      <c r="A430" s="16" t="s">
        <v>1549</v>
      </c>
      <c r="B430" s="16" t="s">
        <v>363</v>
      </c>
      <c r="C430" s="16" t="s">
        <v>1550</v>
      </c>
      <c r="D430" s="16" t="s">
        <v>167</v>
      </c>
      <c r="E430" s="16" t="s">
        <v>527</v>
      </c>
      <c r="F430" s="26" t="n">
        <v>8567000</v>
      </c>
      <c r="G430" s="25" t="n">
        <v>25</v>
      </c>
      <c r="H430" s="22" t="n">
        <v>46134</v>
      </c>
      <c r="I430" s="22" t="n">
        <v>46322</v>
      </c>
      <c r="J430" s="22" t="n">
        <v>46178</v>
      </c>
      <c r="K430" s="16" t="s">
        <v>677</v>
      </c>
      <c r="L430" s="16" t="s">
        <v>584</v>
      </c>
      <c r="M430" s="16" t="s">
        <v>569</v>
      </c>
      <c r="N430" s="16"/>
      <c r="O430" s="7" t="n">
        <f aca="false">IF(OR(E430="Closed Won",E430="Closed Lost"),0,1)</f>
        <v>1</v>
      </c>
      <c r="P430" s="17" t="str">
        <f aca="false">INDEX(Accounts!$K$5:$K$336,MATCH(B430,Accounts!$A$5:$A$336,0))</f>
        <v>Technology, Media &amp; Telecom</v>
      </c>
      <c r="Q430" s="17" t="str">
        <f aca="false">INDEX(Accounts!$D$5:$D$336,MATCH(B430,Accounts!$A$5:$A$336,0))</f>
        <v>Key</v>
      </c>
      <c r="R430" s="7" t="n">
        <f aca="false">INDEX(Inputs!$B$11:$B$16,MATCH(E430,Inputs!$A$11:$A$16,0))</f>
        <v>25</v>
      </c>
      <c r="S430" s="27" t="n">
        <f aca="false">IF(F430="",0,F430)*R430/100</f>
        <v>2141750</v>
      </c>
      <c r="T430" s="7" t="n">
        <f aca="false">Inputs!$B$4-J430</f>
        <v>136</v>
      </c>
      <c r="U430" s="7" t="n">
        <f aca="false">IF(OR(F430="",F430=0),1,0)</f>
        <v>0</v>
      </c>
      <c r="V430" s="7" t="n">
        <f aca="false">IF(K430="",1,0)</f>
        <v>0</v>
      </c>
      <c r="W430" s="7" t="n">
        <f aca="false">IF(AND(O430=1,K430&lt;&gt;"",COUNTIFS(Owners!$A$5:$A$32,K430,Owners!$E$5:$E$32,"No")&gt;0),1,0)</f>
        <v>0</v>
      </c>
      <c r="X430" s="7" t="n">
        <f aca="false">IF(AND(O430=1,I430&lt;Inputs!$B$4),1,0)</f>
        <v>0</v>
      </c>
      <c r="Y430" s="7" t="n">
        <f aca="false">IF(AND(O430=1,T430&gt;Inputs!$B$5),1,0)</f>
        <v>1</v>
      </c>
      <c r="Z430" s="7" t="n">
        <f aca="false">IF(AND(O430=1,G430&lt;&gt;R430),1,0)</f>
        <v>0</v>
      </c>
      <c r="AA430" s="7" t="n">
        <f aca="false">IF(AND(O430=1,M430=""),1,0)</f>
        <v>0</v>
      </c>
      <c r="AB430" s="7" t="n">
        <f aca="false">IF(AND(E430="Closed Lost",N430=""),1,0)</f>
        <v>0</v>
      </c>
      <c r="AC430" s="7" t="n">
        <f aca="false">SUM(U430:AB430)</f>
        <v>1</v>
      </c>
      <c r="AD430" s="7" t="n">
        <f aca="false">IF(AC430=0,1,0)</f>
        <v>0</v>
      </c>
      <c r="AE430" s="7" t="n">
        <f aca="false">IF(AND(O430=1,I430&gt;=Inputs!$B$6,I430&lt;=Inputs!$B$7),1,0)</f>
        <v>1</v>
      </c>
      <c r="AF430" s="7" t="n">
        <f aca="false">IF(AND(E430="Closed Won",I430&gt;=Inputs!$B$6,I430&lt;=Inputs!$B$4),1,0)</f>
        <v>0</v>
      </c>
      <c r="AG430" s="7" t="n">
        <f aca="false">IF(AND(O430=0,I430&gt;Inputs!$B$4-Inputs!$B$8,I430&lt;=Inputs!$B$4),1,0)</f>
        <v>0</v>
      </c>
      <c r="AH430" s="7" t="n">
        <f aca="false">I430-H430</f>
        <v>188</v>
      </c>
    </row>
    <row r="431" customFormat="false" ht="15" hidden="false" customHeight="false" outlineLevel="0" collapsed="false">
      <c r="A431" s="16" t="s">
        <v>1551</v>
      </c>
      <c r="B431" s="16" t="s">
        <v>57</v>
      </c>
      <c r="C431" s="16" t="s">
        <v>1552</v>
      </c>
      <c r="D431" s="16" t="s">
        <v>158</v>
      </c>
      <c r="E431" s="16" t="s">
        <v>531</v>
      </c>
      <c r="F431" s="26" t="n">
        <v>21792000</v>
      </c>
      <c r="G431" s="25" t="n">
        <v>0</v>
      </c>
      <c r="H431" s="22" t="n">
        <v>46138</v>
      </c>
      <c r="I431" s="22" t="n">
        <v>46281</v>
      </c>
      <c r="J431" s="22" t="n">
        <v>46281</v>
      </c>
      <c r="K431" s="16" t="s">
        <v>691</v>
      </c>
      <c r="L431" s="16" t="s">
        <v>584</v>
      </c>
      <c r="M431" s="16"/>
      <c r="N431" s="16"/>
      <c r="O431" s="7" t="n">
        <f aca="false">IF(OR(E431="Closed Won",E431="Closed Lost"),0,1)</f>
        <v>0</v>
      </c>
      <c r="P431" s="17" t="str">
        <f aca="false">INDEX(Accounts!$K$5:$K$336,MATCH(B431,Accounts!$A$5:$A$336,0))</f>
        <v>Financial Services</v>
      </c>
      <c r="Q431" s="17" t="str">
        <f aca="false">INDEX(Accounts!$D$5:$D$336,MATCH(B431,Accounts!$A$5:$A$336,0))</f>
        <v>Priority</v>
      </c>
      <c r="R431" s="7" t="n">
        <f aca="false">INDEX(Inputs!$B$11:$B$16,MATCH(E431,Inputs!$A$11:$A$16,0))</f>
        <v>0</v>
      </c>
      <c r="S431" s="27" t="n">
        <f aca="false">IF(F431="",0,F431)*R431/100</f>
        <v>0</v>
      </c>
      <c r="T431" s="7" t="n">
        <f aca="false">Inputs!$B$4-J431</f>
        <v>33</v>
      </c>
      <c r="U431" s="7" t="n">
        <f aca="false">IF(OR(F431="",F431=0),1,0)</f>
        <v>0</v>
      </c>
      <c r="V431" s="7" t="n">
        <f aca="false">IF(K431="",1,0)</f>
        <v>0</v>
      </c>
      <c r="W431" s="7" t="n">
        <f aca="false">IF(AND(O431=1,K431&lt;&gt;"",COUNTIFS(Owners!$A$5:$A$32,K431,Owners!$E$5:$E$32,"No")&gt;0),1,0)</f>
        <v>0</v>
      </c>
      <c r="X431" s="7" t="n">
        <f aca="false">IF(AND(O431=1,I431&lt;Inputs!$B$4),1,0)</f>
        <v>0</v>
      </c>
      <c r="Y431" s="7" t="n">
        <f aca="false">IF(AND(O431=1,T431&gt;Inputs!$B$5),1,0)</f>
        <v>0</v>
      </c>
      <c r="Z431" s="7" t="n">
        <f aca="false">IF(AND(O431=1,G431&lt;&gt;R431),1,0)</f>
        <v>0</v>
      </c>
      <c r="AA431" s="7" t="n">
        <f aca="false">IF(AND(O431=1,M431=""),1,0)</f>
        <v>0</v>
      </c>
      <c r="AB431" s="7" t="n">
        <f aca="false">IF(AND(E431="Closed Lost",N431=""),1,0)</f>
        <v>1</v>
      </c>
      <c r="AC431" s="7" t="n">
        <f aca="false">SUM(U431:AB431)</f>
        <v>1</v>
      </c>
      <c r="AD431" s="7" t="n">
        <f aca="false">IF(AC431=0,1,0)</f>
        <v>0</v>
      </c>
      <c r="AE431" s="7" t="n">
        <f aca="false">IF(AND(O431=1,I431&gt;=Inputs!$B$6,I431&lt;=Inputs!$B$7),1,0)</f>
        <v>0</v>
      </c>
      <c r="AF431" s="7" t="n">
        <f aca="false">IF(AND(E431="Closed Won",I431&gt;=Inputs!$B$6,I431&lt;=Inputs!$B$4),1,0)</f>
        <v>0</v>
      </c>
      <c r="AG431" s="7" t="n">
        <f aca="false">IF(AND(O431=0,I431&gt;Inputs!$B$4-Inputs!$B$8,I431&lt;=Inputs!$B$4),1,0)</f>
        <v>1</v>
      </c>
      <c r="AH431" s="7" t="n">
        <f aca="false">I431-H431</f>
        <v>143</v>
      </c>
    </row>
    <row r="432" customFormat="false" ht="15" hidden="false" customHeight="false" outlineLevel="0" collapsed="false">
      <c r="A432" s="16" t="s">
        <v>1553</v>
      </c>
      <c r="B432" s="16" t="s">
        <v>92</v>
      </c>
      <c r="C432" s="16" t="s">
        <v>1554</v>
      </c>
      <c r="D432" s="16" t="s">
        <v>162</v>
      </c>
      <c r="E432" s="16" t="s">
        <v>527</v>
      </c>
      <c r="F432" s="26" t="n">
        <v>5182000</v>
      </c>
      <c r="G432" s="25" t="n">
        <v>25</v>
      </c>
      <c r="H432" s="22" t="n">
        <v>46168</v>
      </c>
      <c r="I432" s="22" t="n">
        <v>46404</v>
      </c>
      <c r="J432" s="22" t="n">
        <v>46164</v>
      </c>
      <c r="K432" s="16" t="s">
        <v>880</v>
      </c>
      <c r="L432" s="16" t="s">
        <v>584</v>
      </c>
      <c r="M432" s="16" t="s">
        <v>613</v>
      </c>
      <c r="N432" s="16"/>
      <c r="O432" s="7" t="n">
        <f aca="false">IF(OR(E432="Closed Won",E432="Closed Lost"),0,1)</f>
        <v>1</v>
      </c>
      <c r="P432" s="17" t="str">
        <f aca="false">INDEX(Accounts!$K$5:$K$336,MATCH(B432,Accounts!$A$5:$A$336,0))</f>
        <v>Public Sector &amp; Development</v>
      </c>
      <c r="Q432" s="17" t="str">
        <f aca="false">INDEX(Accounts!$D$5:$D$336,MATCH(B432,Accounts!$A$5:$A$336,0))</f>
        <v>Priority</v>
      </c>
      <c r="R432" s="7" t="n">
        <f aca="false">INDEX(Inputs!$B$11:$B$16,MATCH(E432,Inputs!$A$11:$A$16,0))</f>
        <v>25</v>
      </c>
      <c r="S432" s="27" t="n">
        <f aca="false">IF(F432="",0,F432)*R432/100</f>
        <v>1295500</v>
      </c>
      <c r="T432" s="7" t="n">
        <f aca="false">Inputs!$B$4-J432</f>
        <v>150</v>
      </c>
      <c r="U432" s="7" t="n">
        <f aca="false">IF(OR(F432="",F432=0),1,0)</f>
        <v>0</v>
      </c>
      <c r="V432" s="7" t="n">
        <f aca="false">IF(K432="",1,0)</f>
        <v>0</v>
      </c>
      <c r="W432" s="7" t="n">
        <f aca="false">IF(AND(O432=1,K432&lt;&gt;"",COUNTIFS(Owners!$A$5:$A$32,K432,Owners!$E$5:$E$32,"No")&gt;0),1,0)</f>
        <v>1</v>
      </c>
      <c r="X432" s="7" t="n">
        <f aca="false">IF(AND(O432=1,I432&lt;Inputs!$B$4),1,0)</f>
        <v>0</v>
      </c>
      <c r="Y432" s="7" t="n">
        <f aca="false">IF(AND(O432=1,T432&gt;Inputs!$B$5),1,0)</f>
        <v>1</v>
      </c>
      <c r="Z432" s="7" t="n">
        <f aca="false">IF(AND(O432=1,G432&lt;&gt;R432),1,0)</f>
        <v>0</v>
      </c>
      <c r="AA432" s="7" t="n">
        <f aca="false">IF(AND(O432=1,M432=""),1,0)</f>
        <v>0</v>
      </c>
      <c r="AB432" s="7" t="n">
        <f aca="false">IF(AND(E432="Closed Lost",N432=""),1,0)</f>
        <v>0</v>
      </c>
      <c r="AC432" s="7" t="n">
        <f aca="false">SUM(U432:AB432)</f>
        <v>2</v>
      </c>
      <c r="AD432" s="7" t="n">
        <f aca="false">IF(AC432=0,1,0)</f>
        <v>0</v>
      </c>
      <c r="AE432" s="7" t="n">
        <f aca="false">IF(AND(O432=1,I432&gt;=Inputs!$B$6,I432&lt;=Inputs!$B$7),1,0)</f>
        <v>1</v>
      </c>
      <c r="AF432" s="7" t="n">
        <f aca="false">IF(AND(E432="Closed Won",I432&gt;=Inputs!$B$6,I432&lt;=Inputs!$B$4),1,0)</f>
        <v>0</v>
      </c>
      <c r="AG432" s="7" t="n">
        <f aca="false">IF(AND(O432=0,I432&gt;Inputs!$B$4-Inputs!$B$8,I432&lt;=Inputs!$B$4),1,0)</f>
        <v>0</v>
      </c>
      <c r="AH432" s="7" t="n">
        <f aca="false">I432-H432</f>
        <v>236</v>
      </c>
    </row>
    <row r="433" customFormat="false" ht="15" hidden="false" customHeight="false" outlineLevel="0" collapsed="false">
      <c r="A433" s="16" t="s">
        <v>1555</v>
      </c>
      <c r="B433" s="16" t="s">
        <v>1556</v>
      </c>
      <c r="C433" s="16" t="s">
        <v>1557</v>
      </c>
      <c r="D433" s="16" t="s">
        <v>158</v>
      </c>
      <c r="E433" s="16" t="s">
        <v>531</v>
      </c>
      <c r="F433" s="26" t="n">
        <v>62994000</v>
      </c>
      <c r="G433" s="25" t="n">
        <v>0</v>
      </c>
      <c r="H433" s="22" t="n">
        <v>45963</v>
      </c>
      <c r="I433" s="22" t="n">
        <v>46052</v>
      </c>
      <c r="J433" s="22" t="n">
        <v>46052</v>
      </c>
      <c r="K433" s="16" t="s">
        <v>604</v>
      </c>
      <c r="L433" s="16" t="s">
        <v>500</v>
      </c>
      <c r="M433" s="16"/>
      <c r="N433" s="16" t="s">
        <v>713</v>
      </c>
      <c r="O433" s="7" t="n">
        <f aca="false">IF(OR(E433="Closed Won",E433="Closed Lost"),0,1)</f>
        <v>0</v>
      </c>
      <c r="P433" s="17" t="str">
        <f aca="false">INDEX(Accounts!$K$5:$K$336,MATCH(B433,Accounts!$A$5:$A$336,0))</f>
        <v>Technology, Media &amp; Telecom</v>
      </c>
      <c r="Q433" s="17" t="str">
        <f aca="false">INDEX(Accounts!$D$5:$D$336,MATCH(B433,Accounts!$A$5:$A$336,0))</f>
        <v>Standard</v>
      </c>
      <c r="R433" s="7" t="n">
        <f aca="false">INDEX(Inputs!$B$11:$B$16,MATCH(E433,Inputs!$A$11:$A$16,0))</f>
        <v>0</v>
      </c>
      <c r="S433" s="27" t="n">
        <f aca="false">IF(F433="",0,F433)*R433/100</f>
        <v>0</v>
      </c>
      <c r="T433" s="7" t="n">
        <f aca="false">Inputs!$B$4-J433</f>
        <v>262</v>
      </c>
      <c r="U433" s="7" t="n">
        <f aca="false">IF(OR(F433="",F433=0),1,0)</f>
        <v>0</v>
      </c>
      <c r="V433" s="7" t="n">
        <f aca="false">IF(K433="",1,0)</f>
        <v>0</v>
      </c>
      <c r="W433" s="7" t="n">
        <f aca="false">IF(AND(O433=1,K433&lt;&gt;"",COUNTIFS(Owners!$A$5:$A$32,K433,Owners!$E$5:$E$32,"No")&gt;0),1,0)</f>
        <v>0</v>
      </c>
      <c r="X433" s="7" t="n">
        <f aca="false">IF(AND(O433=1,I433&lt;Inputs!$B$4),1,0)</f>
        <v>0</v>
      </c>
      <c r="Y433" s="7" t="n">
        <f aca="false">IF(AND(O433=1,T433&gt;Inputs!$B$5),1,0)</f>
        <v>0</v>
      </c>
      <c r="Z433" s="7" t="n">
        <f aca="false">IF(AND(O433=1,G433&lt;&gt;R433),1,0)</f>
        <v>0</v>
      </c>
      <c r="AA433" s="7" t="n">
        <f aca="false">IF(AND(O433=1,M433=""),1,0)</f>
        <v>0</v>
      </c>
      <c r="AB433" s="7" t="n">
        <f aca="false">IF(AND(E433="Closed Lost",N433=""),1,0)</f>
        <v>0</v>
      </c>
      <c r="AC433" s="7" t="n">
        <f aca="false">SUM(U433:AB433)</f>
        <v>0</v>
      </c>
      <c r="AD433" s="7" t="n">
        <f aca="false">IF(AC433=0,1,0)</f>
        <v>1</v>
      </c>
      <c r="AE433" s="7" t="n">
        <f aca="false">IF(AND(O433=1,I433&gt;=Inputs!$B$6,I433&lt;=Inputs!$B$7),1,0)</f>
        <v>0</v>
      </c>
      <c r="AF433" s="7" t="n">
        <f aca="false">IF(AND(E433="Closed Won",I433&gt;=Inputs!$B$6,I433&lt;=Inputs!$B$4),1,0)</f>
        <v>0</v>
      </c>
      <c r="AG433" s="7" t="n">
        <f aca="false">IF(AND(O433=0,I433&gt;Inputs!$B$4-Inputs!$B$8,I433&lt;=Inputs!$B$4),1,0)</f>
        <v>1</v>
      </c>
      <c r="AH433" s="7" t="n">
        <f aca="false">I433-H433</f>
        <v>89</v>
      </c>
    </row>
    <row r="434" customFormat="false" ht="15" hidden="false" customHeight="false" outlineLevel="0" collapsed="false">
      <c r="A434" s="16" t="s">
        <v>1558</v>
      </c>
      <c r="B434" s="16" t="s">
        <v>57</v>
      </c>
      <c r="C434" s="16" t="s">
        <v>1559</v>
      </c>
      <c r="D434" s="16" t="s">
        <v>165</v>
      </c>
      <c r="E434" s="16" t="s">
        <v>528</v>
      </c>
      <c r="F434" s="26" t="n">
        <v>16156000</v>
      </c>
      <c r="G434" s="25" t="n">
        <v>50</v>
      </c>
      <c r="H434" s="22" t="n">
        <v>46171</v>
      </c>
      <c r="I434" s="22" t="n">
        <v>46382</v>
      </c>
      <c r="J434" s="22" t="n">
        <v>46293</v>
      </c>
      <c r="K434" s="16" t="s">
        <v>691</v>
      </c>
      <c r="L434" s="16" t="s">
        <v>574</v>
      </c>
      <c r="M434" s="16" t="s">
        <v>619</v>
      </c>
      <c r="N434" s="16"/>
      <c r="O434" s="7" t="n">
        <f aca="false">IF(OR(E434="Closed Won",E434="Closed Lost"),0,1)</f>
        <v>1</v>
      </c>
      <c r="P434" s="17" t="str">
        <f aca="false">INDEX(Accounts!$K$5:$K$336,MATCH(B434,Accounts!$A$5:$A$336,0))</f>
        <v>Financial Services</v>
      </c>
      <c r="Q434" s="17" t="str">
        <f aca="false">INDEX(Accounts!$D$5:$D$336,MATCH(B434,Accounts!$A$5:$A$336,0))</f>
        <v>Priority</v>
      </c>
      <c r="R434" s="7" t="n">
        <f aca="false">INDEX(Inputs!$B$11:$B$16,MATCH(E434,Inputs!$A$11:$A$16,0))</f>
        <v>50</v>
      </c>
      <c r="S434" s="27" t="n">
        <f aca="false">IF(F434="",0,F434)*R434/100</f>
        <v>8078000</v>
      </c>
      <c r="T434" s="7" t="n">
        <f aca="false">Inputs!$B$4-J434</f>
        <v>21</v>
      </c>
      <c r="U434" s="7" t="n">
        <f aca="false">IF(OR(F434="",F434=0),1,0)</f>
        <v>0</v>
      </c>
      <c r="V434" s="7" t="n">
        <f aca="false">IF(K434="",1,0)</f>
        <v>0</v>
      </c>
      <c r="W434" s="7" t="n">
        <f aca="false">IF(AND(O434=1,K434&lt;&gt;"",COUNTIFS(Owners!$A$5:$A$32,K434,Owners!$E$5:$E$32,"No")&gt;0),1,0)</f>
        <v>0</v>
      </c>
      <c r="X434" s="7" t="n">
        <f aca="false">IF(AND(O434=1,I434&lt;Inputs!$B$4),1,0)</f>
        <v>0</v>
      </c>
      <c r="Y434" s="7" t="n">
        <f aca="false">IF(AND(O434=1,T434&gt;Inputs!$B$5),1,0)</f>
        <v>0</v>
      </c>
      <c r="Z434" s="7" t="n">
        <f aca="false">IF(AND(O434=1,G434&lt;&gt;R434),1,0)</f>
        <v>0</v>
      </c>
      <c r="AA434" s="7" t="n">
        <f aca="false">IF(AND(O434=1,M434=""),1,0)</f>
        <v>0</v>
      </c>
      <c r="AB434" s="7" t="n">
        <f aca="false">IF(AND(E434="Closed Lost",N434=""),1,0)</f>
        <v>0</v>
      </c>
      <c r="AC434" s="7" t="n">
        <f aca="false">SUM(U434:AB434)</f>
        <v>0</v>
      </c>
      <c r="AD434" s="7" t="n">
        <f aca="false">IF(AC434=0,1,0)</f>
        <v>1</v>
      </c>
      <c r="AE434" s="7" t="n">
        <f aca="false">IF(AND(O434=1,I434&gt;=Inputs!$B$6,I434&lt;=Inputs!$B$7),1,0)</f>
        <v>1</v>
      </c>
      <c r="AF434" s="7" t="n">
        <f aca="false">IF(AND(E434="Closed Won",I434&gt;=Inputs!$B$6,I434&lt;=Inputs!$B$4),1,0)</f>
        <v>0</v>
      </c>
      <c r="AG434" s="7" t="n">
        <f aca="false">IF(AND(O434=0,I434&gt;Inputs!$B$4-Inputs!$B$8,I434&lt;=Inputs!$B$4),1,0)</f>
        <v>0</v>
      </c>
      <c r="AH434" s="7" t="n">
        <f aca="false">I434-H434</f>
        <v>211</v>
      </c>
    </row>
    <row r="435" customFormat="false" ht="15" hidden="false" customHeight="false" outlineLevel="0" collapsed="false">
      <c r="A435" s="16" t="s">
        <v>1560</v>
      </c>
      <c r="B435" s="16" t="s">
        <v>422</v>
      </c>
      <c r="C435" s="16" t="s">
        <v>1561</v>
      </c>
      <c r="D435" s="16" t="s">
        <v>158</v>
      </c>
      <c r="E435" s="16" t="s">
        <v>531</v>
      </c>
      <c r="F435" s="26" t="n">
        <v>74557000</v>
      </c>
      <c r="G435" s="25" t="n">
        <v>0</v>
      </c>
      <c r="H435" s="22" t="n">
        <v>45957</v>
      </c>
      <c r="I435" s="22" t="n">
        <v>46108</v>
      </c>
      <c r="J435" s="22" t="n">
        <v>46108</v>
      </c>
      <c r="K435" s="16" t="s">
        <v>729</v>
      </c>
      <c r="L435" s="16" t="s">
        <v>568</v>
      </c>
      <c r="M435" s="16"/>
      <c r="N435" s="16" t="s">
        <v>610</v>
      </c>
      <c r="O435" s="7" t="n">
        <f aca="false">IF(OR(E435="Closed Won",E435="Closed Lost"),0,1)</f>
        <v>0</v>
      </c>
      <c r="P435" s="17" t="str">
        <f aca="false">INDEX(Accounts!$K$5:$K$336,MATCH(B435,Accounts!$A$5:$A$336,0))</f>
        <v>Real Estate &amp; Infrastructure</v>
      </c>
      <c r="Q435" s="17" t="str">
        <f aca="false">INDEX(Accounts!$D$5:$D$336,MATCH(B435,Accounts!$A$5:$A$336,0))</f>
        <v>Standard</v>
      </c>
      <c r="R435" s="7" t="n">
        <f aca="false">INDEX(Inputs!$B$11:$B$16,MATCH(E435,Inputs!$A$11:$A$16,0))</f>
        <v>0</v>
      </c>
      <c r="S435" s="27" t="n">
        <f aca="false">IF(F435="",0,F435)*R435/100</f>
        <v>0</v>
      </c>
      <c r="T435" s="7" t="n">
        <f aca="false">Inputs!$B$4-J435</f>
        <v>206</v>
      </c>
      <c r="U435" s="7" t="n">
        <f aca="false">IF(OR(F435="",F435=0),1,0)</f>
        <v>0</v>
      </c>
      <c r="V435" s="7" t="n">
        <f aca="false">IF(K435="",1,0)</f>
        <v>0</v>
      </c>
      <c r="W435" s="7" t="n">
        <f aca="false">IF(AND(O435=1,K435&lt;&gt;"",COUNTIFS(Owners!$A$5:$A$32,K435,Owners!$E$5:$E$32,"No")&gt;0),1,0)</f>
        <v>0</v>
      </c>
      <c r="X435" s="7" t="n">
        <f aca="false">IF(AND(O435=1,I435&lt;Inputs!$B$4),1,0)</f>
        <v>0</v>
      </c>
      <c r="Y435" s="7" t="n">
        <f aca="false">IF(AND(O435=1,T435&gt;Inputs!$B$5),1,0)</f>
        <v>0</v>
      </c>
      <c r="Z435" s="7" t="n">
        <f aca="false">IF(AND(O435=1,G435&lt;&gt;R435),1,0)</f>
        <v>0</v>
      </c>
      <c r="AA435" s="7" t="n">
        <f aca="false">IF(AND(O435=1,M435=""),1,0)</f>
        <v>0</v>
      </c>
      <c r="AB435" s="7" t="n">
        <f aca="false">IF(AND(E435="Closed Lost",N435=""),1,0)</f>
        <v>0</v>
      </c>
      <c r="AC435" s="7" t="n">
        <f aca="false">SUM(U435:AB435)</f>
        <v>0</v>
      </c>
      <c r="AD435" s="7" t="n">
        <f aca="false">IF(AC435=0,1,0)</f>
        <v>1</v>
      </c>
      <c r="AE435" s="7" t="n">
        <f aca="false">IF(AND(O435=1,I435&gt;=Inputs!$B$6,I435&lt;=Inputs!$B$7),1,0)</f>
        <v>0</v>
      </c>
      <c r="AF435" s="7" t="n">
        <f aca="false">IF(AND(E435="Closed Won",I435&gt;=Inputs!$B$6,I435&lt;=Inputs!$B$4),1,0)</f>
        <v>0</v>
      </c>
      <c r="AG435" s="7" t="n">
        <f aca="false">IF(AND(O435=0,I435&gt;Inputs!$B$4-Inputs!$B$8,I435&lt;=Inputs!$B$4),1,0)</f>
        <v>1</v>
      </c>
      <c r="AH435" s="7" t="n">
        <f aca="false">I435-H435</f>
        <v>151</v>
      </c>
    </row>
    <row r="436" customFormat="false" ht="15" hidden="false" customHeight="false" outlineLevel="0" collapsed="false">
      <c r="A436" s="16" t="s">
        <v>1562</v>
      </c>
      <c r="B436" s="16" t="s">
        <v>60</v>
      </c>
      <c r="C436" s="16" t="s">
        <v>1563</v>
      </c>
      <c r="D436" s="16" t="s">
        <v>165</v>
      </c>
      <c r="E436" s="16" t="s">
        <v>531</v>
      </c>
      <c r="F436" s="26" t="n">
        <v>2621000</v>
      </c>
      <c r="G436" s="25" t="n">
        <v>0</v>
      </c>
      <c r="H436" s="22" t="n">
        <v>45954</v>
      </c>
      <c r="I436" s="22" t="n">
        <v>46156</v>
      </c>
      <c r="J436" s="22" t="n">
        <v>46156</v>
      </c>
      <c r="K436" s="16" t="s">
        <v>600</v>
      </c>
      <c r="L436" s="16" t="s">
        <v>592</v>
      </c>
      <c r="M436" s="16"/>
      <c r="N436" s="16"/>
      <c r="O436" s="7" t="n">
        <f aca="false">IF(OR(E436="Closed Won",E436="Closed Lost"),0,1)</f>
        <v>0</v>
      </c>
      <c r="P436" s="17" t="str">
        <f aca="false">INDEX(Accounts!$K$5:$K$336,MATCH(B436,Accounts!$A$5:$A$336,0))</f>
        <v>Financial Services</v>
      </c>
      <c r="Q436" s="17" t="str">
        <f aca="false">INDEX(Accounts!$D$5:$D$336,MATCH(B436,Accounts!$A$5:$A$336,0))</f>
        <v>Priority</v>
      </c>
      <c r="R436" s="7" t="n">
        <f aca="false">INDEX(Inputs!$B$11:$B$16,MATCH(E436,Inputs!$A$11:$A$16,0))</f>
        <v>0</v>
      </c>
      <c r="S436" s="27" t="n">
        <f aca="false">IF(F436="",0,F436)*R436/100</f>
        <v>0</v>
      </c>
      <c r="T436" s="7" t="n">
        <f aca="false">Inputs!$B$4-J436</f>
        <v>158</v>
      </c>
      <c r="U436" s="7" t="n">
        <f aca="false">IF(OR(F436="",F436=0),1,0)</f>
        <v>0</v>
      </c>
      <c r="V436" s="7" t="n">
        <f aca="false">IF(K436="",1,0)</f>
        <v>0</v>
      </c>
      <c r="W436" s="7" t="n">
        <f aca="false">IF(AND(O436=1,K436&lt;&gt;"",COUNTIFS(Owners!$A$5:$A$32,K436,Owners!$E$5:$E$32,"No")&gt;0),1,0)</f>
        <v>0</v>
      </c>
      <c r="X436" s="7" t="n">
        <f aca="false">IF(AND(O436=1,I436&lt;Inputs!$B$4),1,0)</f>
        <v>0</v>
      </c>
      <c r="Y436" s="7" t="n">
        <f aca="false">IF(AND(O436=1,T436&gt;Inputs!$B$5),1,0)</f>
        <v>0</v>
      </c>
      <c r="Z436" s="7" t="n">
        <f aca="false">IF(AND(O436=1,G436&lt;&gt;R436),1,0)</f>
        <v>0</v>
      </c>
      <c r="AA436" s="7" t="n">
        <f aca="false">IF(AND(O436=1,M436=""),1,0)</f>
        <v>0</v>
      </c>
      <c r="AB436" s="7" t="n">
        <f aca="false">IF(AND(E436="Closed Lost",N436=""),1,0)</f>
        <v>1</v>
      </c>
      <c r="AC436" s="7" t="n">
        <f aca="false">SUM(U436:AB436)</f>
        <v>1</v>
      </c>
      <c r="AD436" s="7" t="n">
        <f aca="false">IF(AC436=0,1,0)</f>
        <v>0</v>
      </c>
      <c r="AE436" s="7" t="n">
        <f aca="false">IF(AND(O436=1,I436&gt;=Inputs!$B$6,I436&lt;=Inputs!$B$7),1,0)</f>
        <v>0</v>
      </c>
      <c r="AF436" s="7" t="n">
        <f aca="false">IF(AND(E436="Closed Won",I436&gt;=Inputs!$B$6,I436&lt;=Inputs!$B$4),1,0)</f>
        <v>0</v>
      </c>
      <c r="AG436" s="7" t="n">
        <f aca="false">IF(AND(O436=0,I436&gt;Inputs!$B$4-Inputs!$B$8,I436&lt;=Inputs!$B$4),1,0)</f>
        <v>1</v>
      </c>
      <c r="AH436" s="7" t="n">
        <f aca="false">I436-H436</f>
        <v>202</v>
      </c>
    </row>
    <row r="437" customFormat="false" ht="15" hidden="false" customHeight="false" outlineLevel="0" collapsed="false">
      <c r="A437" s="16" t="s">
        <v>1564</v>
      </c>
      <c r="B437" s="16" t="s">
        <v>804</v>
      </c>
      <c r="C437" s="16" t="s">
        <v>1565</v>
      </c>
      <c r="D437" s="16" t="s">
        <v>167</v>
      </c>
      <c r="E437" s="16" t="s">
        <v>527</v>
      </c>
      <c r="F437" s="26" t="n">
        <v>6971000</v>
      </c>
      <c r="G437" s="25" t="n">
        <v>25</v>
      </c>
      <c r="H437" s="22" t="n">
        <v>46288</v>
      </c>
      <c r="I437" s="22" t="n">
        <v>46567</v>
      </c>
      <c r="J437" s="22" t="n">
        <v>46187</v>
      </c>
      <c r="K437" s="16" t="s">
        <v>604</v>
      </c>
      <c r="L437" s="16" t="s">
        <v>584</v>
      </c>
      <c r="M437" s="16" t="s">
        <v>613</v>
      </c>
      <c r="N437" s="16"/>
      <c r="O437" s="7" t="n">
        <f aca="false">IF(OR(E437="Closed Won",E437="Closed Lost"),0,1)</f>
        <v>1</v>
      </c>
      <c r="P437" s="17" t="str">
        <f aca="false">INDEX(Accounts!$K$5:$K$336,MATCH(B437,Accounts!$A$5:$A$336,0))</f>
        <v>Health</v>
      </c>
      <c r="Q437" s="17" t="str">
        <f aca="false">INDEX(Accounts!$D$5:$D$336,MATCH(B437,Accounts!$A$5:$A$336,0))</f>
        <v>Key</v>
      </c>
      <c r="R437" s="7" t="n">
        <f aca="false">INDEX(Inputs!$B$11:$B$16,MATCH(E437,Inputs!$A$11:$A$16,0))</f>
        <v>25</v>
      </c>
      <c r="S437" s="27" t="n">
        <f aca="false">IF(F437="",0,F437)*R437/100</f>
        <v>1742750</v>
      </c>
      <c r="T437" s="7" t="n">
        <f aca="false">Inputs!$B$4-J437</f>
        <v>127</v>
      </c>
      <c r="U437" s="7" t="n">
        <f aca="false">IF(OR(F437="",F437=0),1,0)</f>
        <v>0</v>
      </c>
      <c r="V437" s="7" t="n">
        <f aca="false">IF(K437="",1,0)</f>
        <v>0</v>
      </c>
      <c r="W437" s="7" t="n">
        <f aca="false">IF(AND(O437=1,K437&lt;&gt;"",COUNTIFS(Owners!$A$5:$A$32,K437,Owners!$E$5:$E$32,"No")&gt;0),1,0)</f>
        <v>0</v>
      </c>
      <c r="X437" s="7" t="n">
        <f aca="false">IF(AND(O437=1,I437&lt;Inputs!$B$4),1,0)</f>
        <v>0</v>
      </c>
      <c r="Y437" s="7" t="n">
        <f aca="false">IF(AND(O437=1,T437&gt;Inputs!$B$5),1,0)</f>
        <v>1</v>
      </c>
      <c r="Z437" s="7" t="n">
        <f aca="false">IF(AND(O437=1,G437&lt;&gt;R437),1,0)</f>
        <v>0</v>
      </c>
      <c r="AA437" s="7" t="n">
        <f aca="false">IF(AND(O437=1,M437=""),1,0)</f>
        <v>0</v>
      </c>
      <c r="AB437" s="7" t="n">
        <f aca="false">IF(AND(E437="Closed Lost",N437=""),1,0)</f>
        <v>0</v>
      </c>
      <c r="AC437" s="7" t="n">
        <f aca="false">SUM(U437:AB437)</f>
        <v>1</v>
      </c>
      <c r="AD437" s="7" t="n">
        <f aca="false">IF(AC437=0,1,0)</f>
        <v>0</v>
      </c>
      <c r="AE437" s="7" t="n">
        <f aca="false">IF(AND(O437=1,I437&gt;=Inputs!$B$6,I437&lt;=Inputs!$B$7),1,0)</f>
        <v>1</v>
      </c>
      <c r="AF437" s="7" t="n">
        <f aca="false">IF(AND(E437="Closed Won",I437&gt;=Inputs!$B$6,I437&lt;=Inputs!$B$4),1,0)</f>
        <v>0</v>
      </c>
      <c r="AG437" s="7" t="n">
        <f aca="false">IF(AND(O437=0,I437&gt;Inputs!$B$4-Inputs!$B$8,I437&lt;=Inputs!$B$4),1,0)</f>
        <v>0</v>
      </c>
      <c r="AH437" s="7" t="n">
        <f aca="false">I437-H437</f>
        <v>279</v>
      </c>
    </row>
    <row r="438" customFormat="false" ht="15" hidden="false" customHeight="false" outlineLevel="0" collapsed="false">
      <c r="A438" s="16" t="s">
        <v>1566</v>
      </c>
      <c r="B438" s="16" t="s">
        <v>92</v>
      </c>
      <c r="C438" s="16" t="s">
        <v>1567</v>
      </c>
      <c r="D438" s="16" t="s">
        <v>162</v>
      </c>
      <c r="E438" s="16" t="s">
        <v>529</v>
      </c>
      <c r="F438" s="26" t="n">
        <v>0</v>
      </c>
      <c r="G438" s="25" t="n">
        <v>5</v>
      </c>
      <c r="H438" s="22" t="n">
        <v>46133</v>
      </c>
      <c r="I438" s="22" t="n">
        <v>46278</v>
      </c>
      <c r="J438" s="22" t="n">
        <v>46202</v>
      </c>
      <c r="K438" s="16" t="s">
        <v>691</v>
      </c>
      <c r="L438" s="16" t="s">
        <v>609</v>
      </c>
      <c r="M438" s="16" t="s">
        <v>575</v>
      </c>
      <c r="N438" s="16"/>
      <c r="O438" s="7" t="n">
        <f aca="false">IF(OR(E438="Closed Won",E438="Closed Lost"),0,1)</f>
        <v>1</v>
      </c>
      <c r="P438" s="17" t="str">
        <f aca="false">INDEX(Accounts!$K$5:$K$336,MATCH(B438,Accounts!$A$5:$A$336,0))</f>
        <v>Public Sector &amp; Development</v>
      </c>
      <c r="Q438" s="17" t="str">
        <f aca="false">INDEX(Accounts!$D$5:$D$336,MATCH(B438,Accounts!$A$5:$A$336,0))</f>
        <v>Priority</v>
      </c>
      <c r="R438" s="7" t="n">
        <f aca="false">INDEX(Inputs!$B$11:$B$16,MATCH(E438,Inputs!$A$11:$A$16,0))</f>
        <v>75</v>
      </c>
      <c r="S438" s="27" t="n">
        <f aca="false">IF(F438="",0,F438)*R438/100</f>
        <v>0</v>
      </c>
      <c r="T438" s="7" t="n">
        <f aca="false">Inputs!$B$4-J438</f>
        <v>112</v>
      </c>
      <c r="U438" s="7" t="n">
        <f aca="false">IF(OR(F438="",F438=0),1,0)</f>
        <v>1</v>
      </c>
      <c r="V438" s="7" t="n">
        <f aca="false">IF(K438="",1,0)</f>
        <v>0</v>
      </c>
      <c r="W438" s="7" t="n">
        <f aca="false">IF(AND(O438=1,K438&lt;&gt;"",COUNTIFS(Owners!$A$5:$A$32,K438,Owners!$E$5:$E$32,"No")&gt;0),1,0)</f>
        <v>0</v>
      </c>
      <c r="X438" s="7" t="n">
        <f aca="false">IF(AND(O438=1,I438&lt;Inputs!$B$4),1,0)</f>
        <v>1</v>
      </c>
      <c r="Y438" s="7" t="n">
        <f aca="false">IF(AND(O438=1,T438&gt;Inputs!$B$5),1,0)</f>
        <v>1</v>
      </c>
      <c r="Z438" s="7" t="n">
        <f aca="false">IF(AND(O438=1,G438&lt;&gt;R438),1,0)</f>
        <v>1</v>
      </c>
      <c r="AA438" s="7" t="n">
        <f aca="false">IF(AND(O438=1,M438=""),1,0)</f>
        <v>0</v>
      </c>
      <c r="AB438" s="7" t="n">
        <f aca="false">IF(AND(E438="Closed Lost",N438=""),1,0)</f>
        <v>0</v>
      </c>
      <c r="AC438" s="7" t="n">
        <f aca="false">SUM(U438:AB438)</f>
        <v>4</v>
      </c>
      <c r="AD438" s="7" t="n">
        <f aca="false">IF(AC438=0,1,0)</f>
        <v>0</v>
      </c>
      <c r="AE438" s="7" t="n">
        <f aca="false">IF(AND(O438=1,I438&gt;=Inputs!$B$6,I438&lt;=Inputs!$B$7),1,0)</f>
        <v>1</v>
      </c>
      <c r="AF438" s="7" t="n">
        <f aca="false">IF(AND(E438="Closed Won",I438&gt;=Inputs!$B$6,I438&lt;=Inputs!$B$4),1,0)</f>
        <v>0</v>
      </c>
      <c r="AG438" s="7" t="n">
        <f aca="false">IF(AND(O438=0,I438&gt;Inputs!$B$4-Inputs!$B$8,I438&lt;=Inputs!$B$4),1,0)</f>
        <v>0</v>
      </c>
      <c r="AH438" s="7" t="n">
        <f aca="false">I438-H438</f>
        <v>145</v>
      </c>
    </row>
    <row r="439" customFormat="false" ht="15" hidden="false" customHeight="false" outlineLevel="0" collapsed="false">
      <c r="A439" s="16" t="s">
        <v>1568</v>
      </c>
      <c r="B439" s="16" t="s">
        <v>86</v>
      </c>
      <c r="C439" s="16" t="s">
        <v>1569</v>
      </c>
      <c r="D439" s="16" t="s">
        <v>162</v>
      </c>
      <c r="E439" s="16" t="s">
        <v>531</v>
      </c>
      <c r="F439" s="26"/>
      <c r="G439" s="25" t="n">
        <v>0</v>
      </c>
      <c r="H439" s="22" t="n">
        <v>46142</v>
      </c>
      <c r="I439" s="22" t="n">
        <v>46259</v>
      </c>
      <c r="J439" s="22" t="n">
        <v>46259</v>
      </c>
      <c r="K439" s="16" t="s">
        <v>633</v>
      </c>
      <c r="L439" s="16" t="s">
        <v>568</v>
      </c>
      <c r="M439" s="16"/>
      <c r="N439" s="16" t="s">
        <v>610</v>
      </c>
      <c r="O439" s="7" t="n">
        <f aca="false">IF(OR(E439="Closed Won",E439="Closed Lost"),0,1)</f>
        <v>0</v>
      </c>
      <c r="P439" s="17" t="str">
        <f aca="false">INDEX(Accounts!$K$5:$K$336,MATCH(B439,Accounts!$A$5:$A$336,0))</f>
        <v>Technology, Media &amp; Telecom</v>
      </c>
      <c r="Q439" s="17" t="str">
        <f aca="false">INDEX(Accounts!$D$5:$D$336,MATCH(B439,Accounts!$A$5:$A$336,0))</f>
        <v>Priority</v>
      </c>
      <c r="R439" s="7" t="n">
        <f aca="false">INDEX(Inputs!$B$11:$B$16,MATCH(E439,Inputs!$A$11:$A$16,0))</f>
        <v>0</v>
      </c>
      <c r="S439" s="27" t="n">
        <f aca="false">IF(F439="",0,F439)*R439/100</f>
        <v>0</v>
      </c>
      <c r="T439" s="7" t="n">
        <f aca="false">Inputs!$B$4-J439</f>
        <v>55</v>
      </c>
      <c r="U439" s="7" t="n">
        <f aca="false">IF(OR(F439="",F439=0),1,0)</f>
        <v>1</v>
      </c>
      <c r="V439" s="7" t="n">
        <f aca="false">IF(K439="",1,0)</f>
        <v>0</v>
      </c>
      <c r="W439" s="7" t="n">
        <f aca="false">IF(AND(O439=1,K439&lt;&gt;"",COUNTIFS(Owners!$A$5:$A$32,K439,Owners!$E$5:$E$32,"No")&gt;0),1,0)</f>
        <v>0</v>
      </c>
      <c r="X439" s="7" t="n">
        <f aca="false">IF(AND(O439=1,I439&lt;Inputs!$B$4),1,0)</f>
        <v>0</v>
      </c>
      <c r="Y439" s="7" t="n">
        <f aca="false">IF(AND(O439=1,T439&gt;Inputs!$B$5),1,0)</f>
        <v>0</v>
      </c>
      <c r="Z439" s="7" t="n">
        <f aca="false">IF(AND(O439=1,G439&lt;&gt;R439),1,0)</f>
        <v>0</v>
      </c>
      <c r="AA439" s="7" t="n">
        <f aca="false">IF(AND(O439=1,M439=""),1,0)</f>
        <v>0</v>
      </c>
      <c r="AB439" s="7" t="n">
        <f aca="false">IF(AND(E439="Closed Lost",N439=""),1,0)</f>
        <v>0</v>
      </c>
      <c r="AC439" s="7" t="n">
        <f aca="false">SUM(U439:AB439)</f>
        <v>1</v>
      </c>
      <c r="AD439" s="7" t="n">
        <f aca="false">IF(AC439=0,1,0)</f>
        <v>0</v>
      </c>
      <c r="AE439" s="7" t="n">
        <f aca="false">IF(AND(O439=1,I439&gt;=Inputs!$B$6,I439&lt;=Inputs!$B$7),1,0)</f>
        <v>0</v>
      </c>
      <c r="AF439" s="7" t="n">
        <f aca="false">IF(AND(E439="Closed Won",I439&gt;=Inputs!$B$6,I439&lt;=Inputs!$B$4),1,0)</f>
        <v>0</v>
      </c>
      <c r="AG439" s="7" t="n">
        <f aca="false">IF(AND(O439=0,I439&gt;Inputs!$B$4-Inputs!$B$8,I439&lt;=Inputs!$B$4),1,0)</f>
        <v>1</v>
      </c>
      <c r="AH439" s="7" t="n">
        <f aca="false">I439-H439</f>
        <v>117</v>
      </c>
    </row>
    <row r="440" customFormat="false" ht="15" hidden="false" customHeight="false" outlineLevel="0" collapsed="false">
      <c r="A440" s="16" t="s">
        <v>1570</v>
      </c>
      <c r="B440" s="16" t="s">
        <v>1571</v>
      </c>
      <c r="C440" s="16" t="s">
        <v>1572</v>
      </c>
      <c r="D440" s="16" t="s">
        <v>165</v>
      </c>
      <c r="E440" s="16" t="s">
        <v>527</v>
      </c>
      <c r="F440" s="26" t="n">
        <v>1653000</v>
      </c>
      <c r="G440" s="25" t="n">
        <v>25</v>
      </c>
      <c r="H440" s="22" t="n">
        <v>46257</v>
      </c>
      <c r="I440" s="22" t="n">
        <v>46568</v>
      </c>
      <c r="J440" s="22" t="n">
        <v>46273</v>
      </c>
      <c r="K440" s="16" t="s">
        <v>717</v>
      </c>
      <c r="L440" s="16" t="s">
        <v>568</v>
      </c>
      <c r="M440" s="16" t="s">
        <v>569</v>
      </c>
      <c r="N440" s="16"/>
      <c r="O440" s="7" t="n">
        <f aca="false">IF(OR(E440="Closed Won",E440="Closed Lost"),0,1)</f>
        <v>1</v>
      </c>
      <c r="P440" s="17" t="str">
        <f aca="false">INDEX(Accounts!$K$5:$K$336,MATCH(B440,Accounts!$A$5:$A$336,0))</f>
        <v>Public Sector &amp; Development</v>
      </c>
      <c r="Q440" s="17" t="str">
        <f aca="false">INDEX(Accounts!$D$5:$D$336,MATCH(B440,Accounts!$A$5:$A$336,0))</f>
        <v>Standard</v>
      </c>
      <c r="R440" s="7" t="n">
        <f aca="false">INDEX(Inputs!$B$11:$B$16,MATCH(E440,Inputs!$A$11:$A$16,0))</f>
        <v>25</v>
      </c>
      <c r="S440" s="27" t="n">
        <f aca="false">IF(F440="",0,F440)*R440/100</f>
        <v>413250</v>
      </c>
      <c r="T440" s="7" t="n">
        <f aca="false">Inputs!$B$4-J440</f>
        <v>41</v>
      </c>
      <c r="U440" s="7" t="n">
        <f aca="false">IF(OR(F440="",F440=0),1,0)</f>
        <v>0</v>
      </c>
      <c r="V440" s="7" t="n">
        <f aca="false">IF(K440="",1,0)</f>
        <v>0</v>
      </c>
      <c r="W440" s="7" t="n">
        <f aca="false">IF(AND(O440=1,K440&lt;&gt;"",COUNTIFS(Owners!$A$5:$A$32,K440,Owners!$E$5:$E$32,"No")&gt;0),1,0)</f>
        <v>0</v>
      </c>
      <c r="X440" s="7" t="n">
        <f aca="false">IF(AND(O440=1,I440&lt;Inputs!$B$4),1,0)</f>
        <v>0</v>
      </c>
      <c r="Y440" s="7" t="n">
        <f aca="false">IF(AND(O440=1,T440&gt;Inputs!$B$5),1,0)</f>
        <v>0</v>
      </c>
      <c r="Z440" s="7" t="n">
        <f aca="false">IF(AND(O440=1,G440&lt;&gt;R440),1,0)</f>
        <v>0</v>
      </c>
      <c r="AA440" s="7" t="n">
        <f aca="false">IF(AND(O440=1,M440=""),1,0)</f>
        <v>0</v>
      </c>
      <c r="AB440" s="7" t="n">
        <f aca="false">IF(AND(E440="Closed Lost",N440=""),1,0)</f>
        <v>0</v>
      </c>
      <c r="AC440" s="7" t="n">
        <f aca="false">SUM(U440:AB440)</f>
        <v>0</v>
      </c>
      <c r="AD440" s="7" t="n">
        <f aca="false">IF(AC440=0,1,0)</f>
        <v>1</v>
      </c>
      <c r="AE440" s="7" t="n">
        <f aca="false">IF(AND(O440=1,I440&gt;=Inputs!$B$6,I440&lt;=Inputs!$B$7),1,0)</f>
        <v>1</v>
      </c>
      <c r="AF440" s="7" t="n">
        <f aca="false">IF(AND(E440="Closed Won",I440&gt;=Inputs!$B$6,I440&lt;=Inputs!$B$4),1,0)</f>
        <v>0</v>
      </c>
      <c r="AG440" s="7" t="n">
        <f aca="false">IF(AND(O440=0,I440&gt;Inputs!$B$4-Inputs!$B$8,I440&lt;=Inputs!$B$4),1,0)</f>
        <v>0</v>
      </c>
      <c r="AH440" s="7" t="n">
        <f aca="false">I440-H440</f>
        <v>311</v>
      </c>
    </row>
    <row r="441" customFormat="false" ht="15" hidden="false" customHeight="false" outlineLevel="0" collapsed="false">
      <c r="A441" s="16" t="s">
        <v>1573</v>
      </c>
      <c r="B441" s="16" t="s">
        <v>448</v>
      </c>
      <c r="C441" s="16" t="s">
        <v>1574</v>
      </c>
      <c r="D441" s="16" t="s">
        <v>162</v>
      </c>
      <c r="E441" s="16" t="s">
        <v>529</v>
      </c>
      <c r="F441" s="26" t="n">
        <v>4326000</v>
      </c>
      <c r="G441" s="25" t="n">
        <v>75</v>
      </c>
      <c r="H441" s="22" t="n">
        <v>46232</v>
      </c>
      <c r="I441" s="22" t="n">
        <v>46474</v>
      </c>
      <c r="J441" s="22" t="n">
        <v>46297</v>
      </c>
      <c r="K441" s="16" t="s">
        <v>646</v>
      </c>
      <c r="L441" s="16" t="s">
        <v>500</v>
      </c>
      <c r="M441" s="16" t="s">
        <v>619</v>
      </c>
      <c r="N441" s="16"/>
      <c r="O441" s="7" t="n">
        <f aca="false">IF(OR(E441="Closed Won",E441="Closed Lost"),0,1)</f>
        <v>1</v>
      </c>
      <c r="P441" s="17" t="str">
        <f aca="false">INDEX(Accounts!$K$5:$K$336,MATCH(B441,Accounts!$A$5:$A$336,0))</f>
        <v>Technology, Media &amp; Telecom</v>
      </c>
      <c r="Q441" s="17" t="str">
        <f aca="false">INDEX(Accounts!$D$5:$D$336,MATCH(B441,Accounts!$A$5:$A$336,0))</f>
        <v>Key</v>
      </c>
      <c r="R441" s="7" t="n">
        <f aca="false">INDEX(Inputs!$B$11:$B$16,MATCH(E441,Inputs!$A$11:$A$16,0))</f>
        <v>75</v>
      </c>
      <c r="S441" s="27" t="n">
        <f aca="false">IF(F441="",0,F441)*R441/100</f>
        <v>3244500</v>
      </c>
      <c r="T441" s="7" t="n">
        <f aca="false">Inputs!$B$4-J441</f>
        <v>17</v>
      </c>
      <c r="U441" s="7" t="n">
        <f aca="false">IF(OR(F441="",F441=0),1,0)</f>
        <v>0</v>
      </c>
      <c r="V441" s="7" t="n">
        <f aca="false">IF(K441="",1,0)</f>
        <v>0</v>
      </c>
      <c r="W441" s="7" t="n">
        <f aca="false">IF(AND(O441=1,K441&lt;&gt;"",COUNTIFS(Owners!$A$5:$A$32,K441,Owners!$E$5:$E$32,"No")&gt;0),1,0)</f>
        <v>0</v>
      </c>
      <c r="X441" s="7" t="n">
        <f aca="false">IF(AND(O441=1,I441&lt;Inputs!$B$4),1,0)</f>
        <v>0</v>
      </c>
      <c r="Y441" s="7" t="n">
        <f aca="false">IF(AND(O441=1,T441&gt;Inputs!$B$5),1,0)</f>
        <v>0</v>
      </c>
      <c r="Z441" s="7" t="n">
        <f aca="false">IF(AND(O441=1,G441&lt;&gt;R441),1,0)</f>
        <v>0</v>
      </c>
      <c r="AA441" s="7" t="n">
        <f aca="false">IF(AND(O441=1,M441=""),1,0)</f>
        <v>0</v>
      </c>
      <c r="AB441" s="7" t="n">
        <f aca="false">IF(AND(E441="Closed Lost",N441=""),1,0)</f>
        <v>0</v>
      </c>
      <c r="AC441" s="7" t="n">
        <f aca="false">SUM(U441:AB441)</f>
        <v>0</v>
      </c>
      <c r="AD441" s="7" t="n">
        <f aca="false">IF(AC441=0,1,0)</f>
        <v>1</v>
      </c>
      <c r="AE441" s="7" t="n">
        <f aca="false">IF(AND(O441=1,I441&gt;=Inputs!$B$6,I441&lt;=Inputs!$B$7),1,0)</f>
        <v>1</v>
      </c>
      <c r="AF441" s="7" t="n">
        <f aca="false">IF(AND(E441="Closed Won",I441&gt;=Inputs!$B$6,I441&lt;=Inputs!$B$4),1,0)</f>
        <v>0</v>
      </c>
      <c r="AG441" s="7" t="n">
        <f aca="false">IF(AND(O441=0,I441&gt;Inputs!$B$4-Inputs!$B$8,I441&lt;=Inputs!$B$4),1,0)</f>
        <v>0</v>
      </c>
      <c r="AH441" s="7" t="n">
        <f aca="false">I441-H441</f>
        <v>242</v>
      </c>
    </row>
    <row r="442" customFormat="false" ht="15" hidden="false" customHeight="false" outlineLevel="0" collapsed="false">
      <c r="A442" s="16" t="s">
        <v>1575</v>
      </c>
      <c r="B442" s="16" t="s">
        <v>1309</v>
      </c>
      <c r="C442" s="16" t="s">
        <v>1576</v>
      </c>
      <c r="D442" s="16" t="s">
        <v>167</v>
      </c>
      <c r="E442" s="16" t="s">
        <v>531</v>
      </c>
      <c r="F442" s="26" t="n">
        <v>1584000</v>
      </c>
      <c r="G442" s="25" t="n">
        <v>0</v>
      </c>
      <c r="H442" s="22" t="n">
        <v>45949</v>
      </c>
      <c r="I442" s="22" t="n">
        <v>46094</v>
      </c>
      <c r="J442" s="22" t="n">
        <v>46094</v>
      </c>
      <c r="K442" s="16" t="s">
        <v>596</v>
      </c>
      <c r="L442" s="16" t="s">
        <v>609</v>
      </c>
      <c r="M442" s="16"/>
      <c r="N442" s="16" t="s">
        <v>697</v>
      </c>
      <c r="O442" s="7" t="n">
        <f aca="false">IF(OR(E442="Closed Won",E442="Closed Lost"),0,1)</f>
        <v>0</v>
      </c>
      <c r="P442" s="17" t="str">
        <f aca="false">INDEX(Accounts!$K$5:$K$336,MATCH(B442,Accounts!$A$5:$A$336,0))</f>
        <v>Financial Services</v>
      </c>
      <c r="Q442" s="17" t="str">
        <f aca="false">INDEX(Accounts!$D$5:$D$336,MATCH(B442,Accounts!$A$5:$A$336,0))</f>
        <v>Standard</v>
      </c>
      <c r="R442" s="7" t="n">
        <f aca="false">INDEX(Inputs!$B$11:$B$16,MATCH(E442,Inputs!$A$11:$A$16,0))</f>
        <v>0</v>
      </c>
      <c r="S442" s="27" t="n">
        <f aca="false">IF(F442="",0,F442)*R442/100</f>
        <v>0</v>
      </c>
      <c r="T442" s="7" t="n">
        <f aca="false">Inputs!$B$4-J442</f>
        <v>220</v>
      </c>
      <c r="U442" s="7" t="n">
        <f aca="false">IF(OR(F442="",F442=0),1,0)</f>
        <v>0</v>
      </c>
      <c r="V442" s="7" t="n">
        <f aca="false">IF(K442="",1,0)</f>
        <v>0</v>
      </c>
      <c r="W442" s="7" t="n">
        <f aca="false">IF(AND(O442=1,K442&lt;&gt;"",COUNTIFS(Owners!$A$5:$A$32,K442,Owners!$E$5:$E$32,"No")&gt;0),1,0)</f>
        <v>0</v>
      </c>
      <c r="X442" s="7" t="n">
        <f aca="false">IF(AND(O442=1,I442&lt;Inputs!$B$4),1,0)</f>
        <v>0</v>
      </c>
      <c r="Y442" s="7" t="n">
        <f aca="false">IF(AND(O442=1,T442&gt;Inputs!$B$5),1,0)</f>
        <v>0</v>
      </c>
      <c r="Z442" s="7" t="n">
        <f aca="false">IF(AND(O442=1,G442&lt;&gt;R442),1,0)</f>
        <v>0</v>
      </c>
      <c r="AA442" s="7" t="n">
        <f aca="false">IF(AND(O442=1,M442=""),1,0)</f>
        <v>0</v>
      </c>
      <c r="AB442" s="7" t="n">
        <f aca="false">IF(AND(E442="Closed Lost",N442=""),1,0)</f>
        <v>0</v>
      </c>
      <c r="AC442" s="7" t="n">
        <f aca="false">SUM(U442:AB442)</f>
        <v>0</v>
      </c>
      <c r="AD442" s="7" t="n">
        <f aca="false">IF(AC442=0,1,0)</f>
        <v>1</v>
      </c>
      <c r="AE442" s="7" t="n">
        <f aca="false">IF(AND(O442=1,I442&gt;=Inputs!$B$6,I442&lt;=Inputs!$B$7),1,0)</f>
        <v>0</v>
      </c>
      <c r="AF442" s="7" t="n">
        <f aca="false">IF(AND(E442="Closed Won",I442&gt;=Inputs!$B$6,I442&lt;=Inputs!$B$4),1,0)</f>
        <v>0</v>
      </c>
      <c r="AG442" s="7" t="n">
        <f aca="false">IF(AND(O442=0,I442&gt;Inputs!$B$4-Inputs!$B$8,I442&lt;=Inputs!$B$4),1,0)</f>
        <v>1</v>
      </c>
      <c r="AH442" s="7" t="n">
        <f aca="false">I442-H442</f>
        <v>145</v>
      </c>
    </row>
    <row r="443" customFormat="false" ht="15" hidden="false" customHeight="false" outlineLevel="0" collapsed="false">
      <c r="A443" s="16" t="s">
        <v>1577</v>
      </c>
      <c r="B443" s="16" t="s">
        <v>185</v>
      </c>
      <c r="C443" s="16" t="s">
        <v>1578</v>
      </c>
      <c r="D443" s="16" t="s">
        <v>158</v>
      </c>
      <c r="E443" s="16" t="s">
        <v>526</v>
      </c>
      <c r="F443" s="26"/>
      <c r="G443" s="25" t="n">
        <v>10</v>
      </c>
      <c r="H443" s="22" t="n">
        <v>46261</v>
      </c>
      <c r="I443" s="22" t="n">
        <v>46367</v>
      </c>
      <c r="J443" s="22" t="n">
        <v>46134</v>
      </c>
      <c r="K443" s="16" t="s">
        <v>604</v>
      </c>
      <c r="L443" s="16" t="s">
        <v>584</v>
      </c>
      <c r="M443" s="16" t="s">
        <v>593</v>
      </c>
      <c r="N443" s="16"/>
      <c r="O443" s="7" t="n">
        <f aca="false">IF(OR(E443="Closed Won",E443="Closed Lost"),0,1)</f>
        <v>1</v>
      </c>
      <c r="P443" s="17" t="str">
        <f aca="false">INDEX(Accounts!$K$5:$K$336,MATCH(B443,Accounts!$A$5:$A$336,0))</f>
        <v>Consumer &amp; Retail</v>
      </c>
      <c r="Q443" s="17" t="str">
        <f aca="false">INDEX(Accounts!$D$5:$D$336,MATCH(B443,Accounts!$A$5:$A$336,0))</f>
        <v>Standard</v>
      </c>
      <c r="R443" s="7" t="n">
        <f aca="false">INDEX(Inputs!$B$11:$B$16,MATCH(E443,Inputs!$A$11:$A$16,0))</f>
        <v>10</v>
      </c>
      <c r="S443" s="27" t="n">
        <f aca="false">IF(F443="",0,F443)*R443/100</f>
        <v>0</v>
      </c>
      <c r="T443" s="7" t="n">
        <f aca="false">Inputs!$B$4-J443</f>
        <v>180</v>
      </c>
      <c r="U443" s="7" t="n">
        <f aca="false">IF(OR(F443="",F443=0),1,0)</f>
        <v>1</v>
      </c>
      <c r="V443" s="7" t="n">
        <f aca="false">IF(K443="",1,0)</f>
        <v>0</v>
      </c>
      <c r="W443" s="7" t="n">
        <f aca="false">IF(AND(O443=1,K443&lt;&gt;"",COUNTIFS(Owners!$A$5:$A$32,K443,Owners!$E$5:$E$32,"No")&gt;0),1,0)</f>
        <v>0</v>
      </c>
      <c r="X443" s="7" t="n">
        <f aca="false">IF(AND(O443=1,I443&lt;Inputs!$B$4),1,0)</f>
        <v>0</v>
      </c>
      <c r="Y443" s="7" t="n">
        <f aca="false">IF(AND(O443=1,T443&gt;Inputs!$B$5),1,0)</f>
        <v>1</v>
      </c>
      <c r="Z443" s="7" t="n">
        <f aca="false">IF(AND(O443=1,G443&lt;&gt;R443),1,0)</f>
        <v>0</v>
      </c>
      <c r="AA443" s="7" t="n">
        <f aca="false">IF(AND(O443=1,M443=""),1,0)</f>
        <v>0</v>
      </c>
      <c r="AB443" s="7" t="n">
        <f aca="false">IF(AND(E443="Closed Lost",N443=""),1,0)</f>
        <v>0</v>
      </c>
      <c r="AC443" s="7" t="n">
        <f aca="false">SUM(U443:AB443)</f>
        <v>2</v>
      </c>
      <c r="AD443" s="7" t="n">
        <f aca="false">IF(AC443=0,1,0)</f>
        <v>0</v>
      </c>
      <c r="AE443" s="7" t="n">
        <f aca="false">IF(AND(O443=1,I443&gt;=Inputs!$B$6,I443&lt;=Inputs!$B$7),1,0)</f>
        <v>1</v>
      </c>
      <c r="AF443" s="7" t="n">
        <f aca="false">IF(AND(E443="Closed Won",I443&gt;=Inputs!$B$6,I443&lt;=Inputs!$B$4),1,0)</f>
        <v>0</v>
      </c>
      <c r="AG443" s="7" t="n">
        <f aca="false">IF(AND(O443=0,I443&gt;Inputs!$B$4-Inputs!$B$8,I443&lt;=Inputs!$B$4),1,0)</f>
        <v>0</v>
      </c>
      <c r="AH443" s="7" t="n">
        <f aca="false">I443-H443</f>
        <v>106</v>
      </c>
    </row>
    <row r="444" customFormat="false" ht="15" hidden="false" customHeight="false" outlineLevel="0" collapsed="false">
      <c r="A444" s="16" t="s">
        <v>1579</v>
      </c>
      <c r="B444" s="16" t="s">
        <v>59</v>
      </c>
      <c r="C444" s="16" t="s">
        <v>1580</v>
      </c>
      <c r="D444" s="16" t="s">
        <v>177</v>
      </c>
      <c r="E444" s="16" t="s">
        <v>530</v>
      </c>
      <c r="F444" s="26" t="n">
        <v>12264000</v>
      </c>
      <c r="G444" s="25" t="n">
        <v>100</v>
      </c>
      <c r="H444" s="22" t="n">
        <v>46030</v>
      </c>
      <c r="I444" s="22" t="n">
        <v>46305</v>
      </c>
      <c r="J444" s="22" t="n">
        <v>46305</v>
      </c>
      <c r="K444" s="16" t="s">
        <v>717</v>
      </c>
      <c r="L444" s="16" t="s">
        <v>592</v>
      </c>
      <c r="M444" s="16"/>
      <c r="N444" s="16"/>
      <c r="O444" s="7" t="n">
        <f aca="false">IF(OR(E444="Closed Won",E444="Closed Lost"),0,1)</f>
        <v>0</v>
      </c>
      <c r="P444" s="17" t="str">
        <f aca="false">INDEX(Accounts!$K$5:$K$336,MATCH(B444,Accounts!$A$5:$A$336,0))</f>
        <v>Financial Services</v>
      </c>
      <c r="Q444" s="17" t="str">
        <f aca="false">INDEX(Accounts!$D$5:$D$336,MATCH(B444,Accounts!$A$5:$A$336,0))</f>
        <v>Priority</v>
      </c>
      <c r="R444" s="7" t="n">
        <f aca="false">INDEX(Inputs!$B$11:$B$16,MATCH(E444,Inputs!$A$11:$A$16,0))</f>
        <v>100</v>
      </c>
      <c r="S444" s="27" t="n">
        <f aca="false">IF(F444="",0,F444)*R444/100</f>
        <v>12264000</v>
      </c>
      <c r="T444" s="7" t="n">
        <f aca="false">Inputs!$B$4-J444</f>
        <v>9</v>
      </c>
      <c r="U444" s="7" t="n">
        <f aca="false">IF(OR(F444="",F444=0),1,0)</f>
        <v>0</v>
      </c>
      <c r="V444" s="7" t="n">
        <f aca="false">IF(K444="",1,0)</f>
        <v>0</v>
      </c>
      <c r="W444" s="7" t="n">
        <f aca="false">IF(AND(O444=1,K444&lt;&gt;"",COUNTIFS(Owners!$A$5:$A$32,K444,Owners!$E$5:$E$32,"No")&gt;0),1,0)</f>
        <v>0</v>
      </c>
      <c r="X444" s="7" t="n">
        <f aca="false">IF(AND(O444=1,I444&lt;Inputs!$B$4),1,0)</f>
        <v>0</v>
      </c>
      <c r="Y444" s="7" t="n">
        <f aca="false">IF(AND(O444=1,T444&gt;Inputs!$B$5),1,0)</f>
        <v>0</v>
      </c>
      <c r="Z444" s="7" t="n">
        <f aca="false">IF(AND(O444=1,G444&lt;&gt;R444),1,0)</f>
        <v>0</v>
      </c>
      <c r="AA444" s="7" t="n">
        <f aca="false">IF(AND(O444=1,M444=""),1,0)</f>
        <v>0</v>
      </c>
      <c r="AB444" s="7" t="n">
        <f aca="false">IF(AND(E444="Closed Lost",N444=""),1,0)</f>
        <v>0</v>
      </c>
      <c r="AC444" s="7" t="n">
        <f aca="false">SUM(U444:AB444)</f>
        <v>0</v>
      </c>
      <c r="AD444" s="7" t="n">
        <f aca="false">IF(AC444=0,1,0)</f>
        <v>1</v>
      </c>
      <c r="AE444" s="7" t="n">
        <f aca="false">IF(AND(O444=1,I444&gt;=Inputs!$B$6,I444&lt;=Inputs!$B$7),1,0)</f>
        <v>0</v>
      </c>
      <c r="AF444" s="7" t="n">
        <f aca="false">IF(AND(E444="Closed Won",I444&gt;=Inputs!$B$6,I444&lt;=Inputs!$B$4),1,0)</f>
        <v>1</v>
      </c>
      <c r="AG444" s="7" t="n">
        <f aca="false">IF(AND(O444=0,I444&gt;Inputs!$B$4-Inputs!$B$8,I444&lt;=Inputs!$B$4),1,0)</f>
        <v>1</v>
      </c>
      <c r="AH444" s="7" t="n">
        <f aca="false">I444-H444</f>
        <v>275</v>
      </c>
    </row>
    <row r="445" customFormat="false" ht="15" hidden="false" customHeight="false" outlineLevel="0" collapsed="false">
      <c r="A445" s="16" t="s">
        <v>1581</v>
      </c>
      <c r="B445" s="16" t="s">
        <v>373</v>
      </c>
      <c r="C445" s="16" t="s">
        <v>1582</v>
      </c>
      <c r="D445" s="16" t="s">
        <v>165</v>
      </c>
      <c r="E445" s="16" t="s">
        <v>531</v>
      </c>
      <c r="F445" s="26" t="n">
        <v>137946000</v>
      </c>
      <c r="G445" s="25" t="n">
        <v>0</v>
      </c>
      <c r="H445" s="22" t="n">
        <v>45993</v>
      </c>
      <c r="I445" s="22" t="n">
        <v>46182</v>
      </c>
      <c r="J445" s="22" t="n">
        <v>46182</v>
      </c>
      <c r="K445" s="16" t="s">
        <v>596</v>
      </c>
      <c r="L445" s="16" t="s">
        <v>574</v>
      </c>
      <c r="M445" s="16"/>
      <c r="N445" s="16" t="s">
        <v>722</v>
      </c>
      <c r="O445" s="7" t="n">
        <f aca="false">IF(OR(E445="Closed Won",E445="Closed Lost"),0,1)</f>
        <v>0</v>
      </c>
      <c r="P445" s="17" t="str">
        <f aca="false">INDEX(Accounts!$K$5:$K$336,MATCH(B445,Accounts!$A$5:$A$336,0))</f>
        <v>Agribusiness</v>
      </c>
      <c r="Q445" s="17" t="str">
        <f aca="false">INDEX(Accounts!$D$5:$D$336,MATCH(B445,Accounts!$A$5:$A$336,0))</f>
        <v>Standard</v>
      </c>
      <c r="R445" s="7" t="n">
        <f aca="false">INDEX(Inputs!$B$11:$B$16,MATCH(E445,Inputs!$A$11:$A$16,0))</f>
        <v>0</v>
      </c>
      <c r="S445" s="27" t="n">
        <f aca="false">IF(F445="",0,F445)*R445/100</f>
        <v>0</v>
      </c>
      <c r="T445" s="7" t="n">
        <f aca="false">Inputs!$B$4-J445</f>
        <v>132</v>
      </c>
      <c r="U445" s="7" t="n">
        <f aca="false">IF(OR(F445="",F445=0),1,0)</f>
        <v>0</v>
      </c>
      <c r="V445" s="7" t="n">
        <f aca="false">IF(K445="",1,0)</f>
        <v>0</v>
      </c>
      <c r="W445" s="7" t="n">
        <f aca="false">IF(AND(O445=1,K445&lt;&gt;"",COUNTIFS(Owners!$A$5:$A$32,K445,Owners!$E$5:$E$32,"No")&gt;0),1,0)</f>
        <v>0</v>
      </c>
      <c r="X445" s="7" t="n">
        <f aca="false">IF(AND(O445=1,I445&lt;Inputs!$B$4),1,0)</f>
        <v>0</v>
      </c>
      <c r="Y445" s="7" t="n">
        <f aca="false">IF(AND(O445=1,T445&gt;Inputs!$B$5),1,0)</f>
        <v>0</v>
      </c>
      <c r="Z445" s="7" t="n">
        <f aca="false">IF(AND(O445=1,G445&lt;&gt;R445),1,0)</f>
        <v>0</v>
      </c>
      <c r="AA445" s="7" t="n">
        <f aca="false">IF(AND(O445=1,M445=""),1,0)</f>
        <v>0</v>
      </c>
      <c r="AB445" s="7" t="n">
        <f aca="false">IF(AND(E445="Closed Lost",N445=""),1,0)</f>
        <v>0</v>
      </c>
      <c r="AC445" s="7" t="n">
        <f aca="false">SUM(U445:AB445)</f>
        <v>0</v>
      </c>
      <c r="AD445" s="7" t="n">
        <f aca="false">IF(AC445=0,1,0)</f>
        <v>1</v>
      </c>
      <c r="AE445" s="7" t="n">
        <f aca="false">IF(AND(O445=1,I445&gt;=Inputs!$B$6,I445&lt;=Inputs!$B$7),1,0)</f>
        <v>0</v>
      </c>
      <c r="AF445" s="7" t="n">
        <f aca="false">IF(AND(E445="Closed Won",I445&gt;=Inputs!$B$6,I445&lt;=Inputs!$B$4),1,0)</f>
        <v>0</v>
      </c>
      <c r="AG445" s="7" t="n">
        <f aca="false">IF(AND(O445=0,I445&gt;Inputs!$B$4-Inputs!$B$8,I445&lt;=Inputs!$B$4),1,0)</f>
        <v>1</v>
      </c>
      <c r="AH445" s="7" t="n">
        <f aca="false">I445-H445</f>
        <v>189</v>
      </c>
    </row>
    <row r="446" customFormat="false" ht="15" hidden="false" customHeight="false" outlineLevel="0" collapsed="false">
      <c r="A446" s="16" t="s">
        <v>1583</v>
      </c>
      <c r="B446" s="16" t="s">
        <v>81</v>
      </c>
      <c r="C446" s="16" t="s">
        <v>1584</v>
      </c>
      <c r="D446" s="16" t="s">
        <v>162</v>
      </c>
      <c r="E446" s="16" t="s">
        <v>531</v>
      </c>
      <c r="F446" s="26" t="n">
        <v>20653000</v>
      </c>
      <c r="G446" s="25" t="n">
        <v>0</v>
      </c>
      <c r="H446" s="22" t="n">
        <v>46069</v>
      </c>
      <c r="I446" s="22" t="n">
        <v>46303</v>
      </c>
      <c r="J446" s="22" t="n">
        <v>46303</v>
      </c>
      <c r="K446" s="16" t="s">
        <v>596</v>
      </c>
      <c r="L446" s="16" t="s">
        <v>574</v>
      </c>
      <c r="M446" s="16"/>
      <c r="N446" s="16" t="s">
        <v>597</v>
      </c>
      <c r="O446" s="7" t="n">
        <f aca="false">IF(OR(E446="Closed Won",E446="Closed Lost"),0,1)</f>
        <v>0</v>
      </c>
      <c r="P446" s="17" t="str">
        <f aca="false">INDEX(Accounts!$K$5:$K$336,MATCH(B446,Accounts!$A$5:$A$336,0))</f>
        <v>Financial Services</v>
      </c>
      <c r="Q446" s="17" t="str">
        <f aca="false">INDEX(Accounts!$D$5:$D$336,MATCH(B446,Accounts!$A$5:$A$336,0))</f>
        <v>Priority</v>
      </c>
      <c r="R446" s="7" t="n">
        <f aca="false">INDEX(Inputs!$B$11:$B$16,MATCH(E446,Inputs!$A$11:$A$16,0))</f>
        <v>0</v>
      </c>
      <c r="S446" s="27" t="n">
        <f aca="false">IF(F446="",0,F446)*R446/100</f>
        <v>0</v>
      </c>
      <c r="T446" s="7" t="n">
        <f aca="false">Inputs!$B$4-J446</f>
        <v>11</v>
      </c>
      <c r="U446" s="7" t="n">
        <f aca="false">IF(OR(F446="",F446=0),1,0)</f>
        <v>0</v>
      </c>
      <c r="V446" s="7" t="n">
        <f aca="false">IF(K446="",1,0)</f>
        <v>0</v>
      </c>
      <c r="W446" s="7" t="n">
        <f aca="false">IF(AND(O446=1,K446&lt;&gt;"",COUNTIFS(Owners!$A$5:$A$32,K446,Owners!$E$5:$E$32,"No")&gt;0),1,0)</f>
        <v>0</v>
      </c>
      <c r="X446" s="7" t="n">
        <f aca="false">IF(AND(O446=1,I446&lt;Inputs!$B$4),1,0)</f>
        <v>0</v>
      </c>
      <c r="Y446" s="7" t="n">
        <f aca="false">IF(AND(O446=1,T446&gt;Inputs!$B$5),1,0)</f>
        <v>0</v>
      </c>
      <c r="Z446" s="7" t="n">
        <f aca="false">IF(AND(O446=1,G446&lt;&gt;R446),1,0)</f>
        <v>0</v>
      </c>
      <c r="AA446" s="7" t="n">
        <f aca="false">IF(AND(O446=1,M446=""),1,0)</f>
        <v>0</v>
      </c>
      <c r="AB446" s="7" t="n">
        <f aca="false">IF(AND(E446="Closed Lost",N446=""),1,0)</f>
        <v>0</v>
      </c>
      <c r="AC446" s="7" t="n">
        <f aca="false">SUM(U446:AB446)</f>
        <v>0</v>
      </c>
      <c r="AD446" s="7" t="n">
        <f aca="false">IF(AC446=0,1,0)</f>
        <v>1</v>
      </c>
      <c r="AE446" s="7" t="n">
        <f aca="false">IF(AND(O446=1,I446&gt;=Inputs!$B$6,I446&lt;=Inputs!$B$7),1,0)</f>
        <v>0</v>
      </c>
      <c r="AF446" s="7" t="n">
        <f aca="false">IF(AND(E446="Closed Won",I446&gt;=Inputs!$B$6,I446&lt;=Inputs!$B$4),1,0)</f>
        <v>0</v>
      </c>
      <c r="AG446" s="7" t="n">
        <f aca="false">IF(AND(O446=0,I446&gt;Inputs!$B$4-Inputs!$B$8,I446&lt;=Inputs!$B$4),1,0)</f>
        <v>1</v>
      </c>
      <c r="AH446" s="7" t="n">
        <f aca="false">I446-H446</f>
        <v>234</v>
      </c>
    </row>
    <row r="447" customFormat="false" ht="15" hidden="false" customHeight="false" outlineLevel="0" collapsed="false">
      <c r="A447" s="16" t="s">
        <v>1585</v>
      </c>
      <c r="B447" s="16" t="s">
        <v>70</v>
      </c>
      <c r="C447" s="16" t="s">
        <v>1586</v>
      </c>
      <c r="D447" s="16" t="s">
        <v>162</v>
      </c>
      <c r="E447" s="16" t="s">
        <v>531</v>
      </c>
      <c r="F447" s="26" t="n">
        <v>1845000</v>
      </c>
      <c r="G447" s="25" t="n">
        <v>0</v>
      </c>
      <c r="H447" s="22" t="n">
        <v>45937</v>
      </c>
      <c r="I447" s="22" t="n">
        <v>46084</v>
      </c>
      <c r="J447" s="22" t="n">
        <v>46084</v>
      </c>
      <c r="K447" s="16" t="s">
        <v>666</v>
      </c>
      <c r="L447" s="16" t="s">
        <v>592</v>
      </c>
      <c r="M447" s="16"/>
      <c r="N447" s="16" t="s">
        <v>713</v>
      </c>
      <c r="O447" s="7" t="n">
        <f aca="false">IF(OR(E447="Closed Won",E447="Closed Lost"),0,1)</f>
        <v>0</v>
      </c>
      <c r="P447" s="17" t="str">
        <f aca="false">INDEX(Accounts!$K$5:$K$336,MATCH(B447,Accounts!$A$5:$A$336,0))</f>
        <v>Consumer &amp; Retail</v>
      </c>
      <c r="Q447" s="17" t="str">
        <f aca="false">INDEX(Accounts!$D$5:$D$336,MATCH(B447,Accounts!$A$5:$A$336,0))</f>
        <v>Priority</v>
      </c>
      <c r="R447" s="7" t="n">
        <f aca="false">INDEX(Inputs!$B$11:$B$16,MATCH(E447,Inputs!$A$11:$A$16,0))</f>
        <v>0</v>
      </c>
      <c r="S447" s="27" t="n">
        <f aca="false">IF(F447="",0,F447)*R447/100</f>
        <v>0</v>
      </c>
      <c r="T447" s="7" t="n">
        <f aca="false">Inputs!$B$4-J447</f>
        <v>230</v>
      </c>
      <c r="U447" s="7" t="n">
        <f aca="false">IF(OR(F447="",F447=0),1,0)</f>
        <v>0</v>
      </c>
      <c r="V447" s="7" t="n">
        <f aca="false">IF(K447="",1,0)</f>
        <v>0</v>
      </c>
      <c r="W447" s="7" t="n">
        <f aca="false">IF(AND(O447=1,K447&lt;&gt;"",COUNTIFS(Owners!$A$5:$A$32,K447,Owners!$E$5:$E$32,"No")&gt;0),1,0)</f>
        <v>0</v>
      </c>
      <c r="X447" s="7" t="n">
        <f aca="false">IF(AND(O447=1,I447&lt;Inputs!$B$4),1,0)</f>
        <v>0</v>
      </c>
      <c r="Y447" s="7" t="n">
        <f aca="false">IF(AND(O447=1,T447&gt;Inputs!$B$5),1,0)</f>
        <v>0</v>
      </c>
      <c r="Z447" s="7" t="n">
        <f aca="false">IF(AND(O447=1,G447&lt;&gt;R447),1,0)</f>
        <v>0</v>
      </c>
      <c r="AA447" s="7" t="n">
        <f aca="false">IF(AND(O447=1,M447=""),1,0)</f>
        <v>0</v>
      </c>
      <c r="AB447" s="7" t="n">
        <f aca="false">IF(AND(E447="Closed Lost",N447=""),1,0)</f>
        <v>0</v>
      </c>
      <c r="AC447" s="7" t="n">
        <f aca="false">SUM(U447:AB447)</f>
        <v>0</v>
      </c>
      <c r="AD447" s="7" t="n">
        <f aca="false">IF(AC447=0,1,0)</f>
        <v>1</v>
      </c>
      <c r="AE447" s="7" t="n">
        <f aca="false">IF(AND(O447=1,I447&gt;=Inputs!$B$6,I447&lt;=Inputs!$B$7),1,0)</f>
        <v>0</v>
      </c>
      <c r="AF447" s="7" t="n">
        <f aca="false">IF(AND(E447="Closed Won",I447&gt;=Inputs!$B$6,I447&lt;=Inputs!$B$4),1,0)</f>
        <v>0</v>
      </c>
      <c r="AG447" s="7" t="n">
        <f aca="false">IF(AND(O447=0,I447&gt;Inputs!$B$4-Inputs!$B$8,I447&lt;=Inputs!$B$4),1,0)</f>
        <v>1</v>
      </c>
      <c r="AH447" s="7" t="n">
        <f aca="false">I447-H447</f>
        <v>147</v>
      </c>
    </row>
    <row r="448" customFormat="false" ht="15" hidden="false" customHeight="false" outlineLevel="0" collapsed="false">
      <c r="A448" s="16" t="s">
        <v>1587</v>
      </c>
      <c r="B448" s="16" t="s">
        <v>1253</v>
      </c>
      <c r="C448" s="16" t="s">
        <v>1588</v>
      </c>
      <c r="D448" s="16" t="s">
        <v>162</v>
      </c>
      <c r="E448" s="16" t="s">
        <v>526</v>
      </c>
      <c r="F448" s="26" t="n">
        <v>3341000</v>
      </c>
      <c r="G448" s="25" t="n">
        <v>100</v>
      </c>
      <c r="H448" s="22" t="n">
        <v>46134</v>
      </c>
      <c r="I448" s="22" t="n">
        <v>46553</v>
      </c>
      <c r="J448" s="22" t="n">
        <v>46197</v>
      </c>
      <c r="K448" s="16" t="s">
        <v>646</v>
      </c>
      <c r="L448" s="16" t="s">
        <v>592</v>
      </c>
      <c r="M448" s="16"/>
      <c r="N448" s="16"/>
      <c r="O448" s="7" t="n">
        <f aca="false">IF(OR(E448="Closed Won",E448="Closed Lost"),0,1)</f>
        <v>1</v>
      </c>
      <c r="P448" s="17" t="str">
        <f aca="false">INDEX(Accounts!$K$5:$K$336,MATCH(B448,Accounts!$A$5:$A$336,0))</f>
        <v>Technology, Media &amp; Telecom</v>
      </c>
      <c r="Q448" s="17" t="str">
        <f aca="false">INDEX(Accounts!$D$5:$D$336,MATCH(B448,Accounts!$A$5:$A$336,0))</f>
        <v>Standard</v>
      </c>
      <c r="R448" s="7" t="n">
        <f aca="false">INDEX(Inputs!$B$11:$B$16,MATCH(E448,Inputs!$A$11:$A$16,0))</f>
        <v>10</v>
      </c>
      <c r="S448" s="27" t="n">
        <f aca="false">IF(F448="",0,F448)*R448/100</f>
        <v>334100</v>
      </c>
      <c r="T448" s="7" t="n">
        <f aca="false">Inputs!$B$4-J448</f>
        <v>117</v>
      </c>
      <c r="U448" s="7" t="n">
        <f aca="false">IF(OR(F448="",F448=0),1,0)</f>
        <v>0</v>
      </c>
      <c r="V448" s="7" t="n">
        <f aca="false">IF(K448="",1,0)</f>
        <v>0</v>
      </c>
      <c r="W448" s="7" t="n">
        <f aca="false">IF(AND(O448=1,K448&lt;&gt;"",COUNTIFS(Owners!$A$5:$A$32,K448,Owners!$E$5:$E$32,"No")&gt;0),1,0)</f>
        <v>0</v>
      </c>
      <c r="X448" s="7" t="n">
        <f aca="false">IF(AND(O448=1,I448&lt;Inputs!$B$4),1,0)</f>
        <v>0</v>
      </c>
      <c r="Y448" s="7" t="n">
        <f aca="false">IF(AND(O448=1,T448&gt;Inputs!$B$5),1,0)</f>
        <v>1</v>
      </c>
      <c r="Z448" s="7" t="n">
        <f aca="false">IF(AND(O448=1,G448&lt;&gt;R448),1,0)</f>
        <v>1</v>
      </c>
      <c r="AA448" s="7" t="n">
        <f aca="false">IF(AND(O448=1,M448=""),1,0)</f>
        <v>1</v>
      </c>
      <c r="AB448" s="7" t="n">
        <f aca="false">IF(AND(E448="Closed Lost",N448=""),1,0)</f>
        <v>0</v>
      </c>
      <c r="AC448" s="7" t="n">
        <f aca="false">SUM(U448:AB448)</f>
        <v>3</v>
      </c>
      <c r="AD448" s="7" t="n">
        <f aca="false">IF(AC448=0,1,0)</f>
        <v>0</v>
      </c>
      <c r="AE448" s="7" t="n">
        <f aca="false">IF(AND(O448=1,I448&gt;=Inputs!$B$6,I448&lt;=Inputs!$B$7),1,0)</f>
        <v>1</v>
      </c>
      <c r="AF448" s="7" t="n">
        <f aca="false">IF(AND(E448="Closed Won",I448&gt;=Inputs!$B$6,I448&lt;=Inputs!$B$4),1,0)</f>
        <v>0</v>
      </c>
      <c r="AG448" s="7" t="n">
        <f aca="false">IF(AND(O448=0,I448&gt;Inputs!$B$4-Inputs!$B$8,I448&lt;=Inputs!$B$4),1,0)</f>
        <v>0</v>
      </c>
      <c r="AH448" s="7" t="n">
        <f aca="false">I448-H448</f>
        <v>419</v>
      </c>
    </row>
    <row r="449" customFormat="false" ht="15" hidden="false" customHeight="false" outlineLevel="0" collapsed="false">
      <c r="A449" s="16" t="s">
        <v>1589</v>
      </c>
      <c r="B449" s="16" t="s">
        <v>66</v>
      </c>
      <c r="C449" s="16" t="s">
        <v>1590</v>
      </c>
      <c r="D449" s="16" t="s">
        <v>158</v>
      </c>
      <c r="E449" s="16" t="s">
        <v>530</v>
      </c>
      <c r="F449" s="26" t="n">
        <v>12910000</v>
      </c>
      <c r="G449" s="25" t="n">
        <v>100</v>
      </c>
      <c r="H449" s="22" t="n">
        <v>46055</v>
      </c>
      <c r="I449" s="22" t="n">
        <v>46168</v>
      </c>
      <c r="J449" s="22" t="n">
        <v>46168</v>
      </c>
      <c r="K449" s="16" t="s">
        <v>640</v>
      </c>
      <c r="L449" s="16" t="s">
        <v>609</v>
      </c>
      <c r="M449" s="16"/>
      <c r="N449" s="16"/>
      <c r="O449" s="7" t="n">
        <f aca="false">IF(OR(E449="Closed Won",E449="Closed Lost"),0,1)</f>
        <v>0</v>
      </c>
      <c r="P449" s="17" t="str">
        <f aca="false">INDEX(Accounts!$K$5:$K$336,MATCH(B449,Accounts!$A$5:$A$336,0))</f>
        <v>Financial Services</v>
      </c>
      <c r="Q449" s="17" t="str">
        <f aca="false">INDEX(Accounts!$D$5:$D$336,MATCH(B449,Accounts!$A$5:$A$336,0))</f>
        <v>Priority</v>
      </c>
      <c r="R449" s="7" t="n">
        <f aca="false">INDEX(Inputs!$B$11:$B$16,MATCH(E449,Inputs!$A$11:$A$16,0))</f>
        <v>100</v>
      </c>
      <c r="S449" s="27" t="n">
        <f aca="false">IF(F449="",0,F449)*R449/100</f>
        <v>12910000</v>
      </c>
      <c r="T449" s="7" t="n">
        <f aca="false">Inputs!$B$4-J449</f>
        <v>146</v>
      </c>
      <c r="U449" s="7" t="n">
        <f aca="false">IF(OR(F449="",F449=0),1,0)</f>
        <v>0</v>
      </c>
      <c r="V449" s="7" t="n">
        <f aca="false">IF(K449="",1,0)</f>
        <v>0</v>
      </c>
      <c r="W449" s="7" t="n">
        <f aca="false">IF(AND(O449=1,K449&lt;&gt;"",COUNTIFS(Owners!$A$5:$A$32,K449,Owners!$E$5:$E$32,"No")&gt;0),1,0)</f>
        <v>0</v>
      </c>
      <c r="X449" s="7" t="n">
        <f aca="false">IF(AND(O449=1,I449&lt;Inputs!$B$4),1,0)</f>
        <v>0</v>
      </c>
      <c r="Y449" s="7" t="n">
        <f aca="false">IF(AND(O449=1,T449&gt;Inputs!$B$5),1,0)</f>
        <v>0</v>
      </c>
      <c r="Z449" s="7" t="n">
        <f aca="false">IF(AND(O449=1,G449&lt;&gt;R449),1,0)</f>
        <v>0</v>
      </c>
      <c r="AA449" s="7" t="n">
        <f aca="false">IF(AND(O449=1,M449=""),1,0)</f>
        <v>0</v>
      </c>
      <c r="AB449" s="7" t="n">
        <f aca="false">IF(AND(E449="Closed Lost",N449=""),1,0)</f>
        <v>0</v>
      </c>
      <c r="AC449" s="7" t="n">
        <f aca="false">SUM(U449:AB449)</f>
        <v>0</v>
      </c>
      <c r="AD449" s="7" t="n">
        <f aca="false">IF(AC449=0,1,0)</f>
        <v>1</v>
      </c>
      <c r="AE449" s="7" t="n">
        <f aca="false">IF(AND(O449=1,I449&gt;=Inputs!$B$6,I449&lt;=Inputs!$B$7),1,0)</f>
        <v>0</v>
      </c>
      <c r="AF449" s="7" t="n">
        <f aca="false">IF(AND(E449="Closed Won",I449&gt;=Inputs!$B$6,I449&lt;=Inputs!$B$4),1,0)</f>
        <v>0</v>
      </c>
      <c r="AG449" s="7" t="n">
        <f aca="false">IF(AND(O449=0,I449&gt;Inputs!$B$4-Inputs!$B$8,I449&lt;=Inputs!$B$4),1,0)</f>
        <v>1</v>
      </c>
      <c r="AH449" s="7" t="n">
        <f aca="false">I449-H449</f>
        <v>113</v>
      </c>
    </row>
    <row r="450" customFormat="false" ht="15" hidden="false" customHeight="false" outlineLevel="0" collapsed="false">
      <c r="A450" s="16" t="s">
        <v>1591</v>
      </c>
      <c r="B450" s="16" t="s">
        <v>418</v>
      </c>
      <c r="C450" s="16" t="s">
        <v>1592</v>
      </c>
      <c r="D450" s="16" t="s">
        <v>162</v>
      </c>
      <c r="E450" s="16" t="s">
        <v>526</v>
      </c>
      <c r="F450" s="26" t="n">
        <v>28945000</v>
      </c>
      <c r="G450" s="25" t="n">
        <v>10</v>
      </c>
      <c r="H450" s="22" t="n">
        <v>46275</v>
      </c>
      <c r="I450" s="22" t="n">
        <v>46498</v>
      </c>
      <c r="J450" s="22" t="n">
        <v>46231</v>
      </c>
      <c r="K450" s="16" t="s">
        <v>880</v>
      </c>
      <c r="L450" s="16" t="s">
        <v>500</v>
      </c>
      <c r="M450" s="16"/>
      <c r="N450" s="16"/>
      <c r="O450" s="7" t="n">
        <f aca="false">IF(OR(E450="Closed Won",E450="Closed Lost"),0,1)</f>
        <v>1</v>
      </c>
      <c r="P450" s="17" t="str">
        <f aca="false">INDEX(Accounts!$K$5:$K$336,MATCH(B450,Accounts!$A$5:$A$336,0))</f>
        <v>Public Sector &amp; Development</v>
      </c>
      <c r="Q450" s="17" t="str">
        <f aca="false">INDEX(Accounts!$D$5:$D$336,MATCH(B450,Accounts!$A$5:$A$336,0))</f>
        <v>Standard</v>
      </c>
      <c r="R450" s="7" t="n">
        <f aca="false">INDEX(Inputs!$B$11:$B$16,MATCH(E450,Inputs!$A$11:$A$16,0))</f>
        <v>10</v>
      </c>
      <c r="S450" s="27" t="n">
        <f aca="false">IF(F450="",0,F450)*R450/100</f>
        <v>2894500</v>
      </c>
      <c r="T450" s="7" t="n">
        <f aca="false">Inputs!$B$4-J450</f>
        <v>83</v>
      </c>
      <c r="U450" s="7" t="n">
        <f aca="false">IF(OR(F450="",F450=0),1,0)</f>
        <v>0</v>
      </c>
      <c r="V450" s="7" t="n">
        <f aca="false">IF(K450="",1,0)</f>
        <v>0</v>
      </c>
      <c r="W450" s="7" t="n">
        <f aca="false">IF(AND(O450=1,K450&lt;&gt;"",COUNTIFS(Owners!$A$5:$A$32,K450,Owners!$E$5:$E$32,"No")&gt;0),1,0)</f>
        <v>1</v>
      </c>
      <c r="X450" s="7" t="n">
        <f aca="false">IF(AND(O450=1,I450&lt;Inputs!$B$4),1,0)</f>
        <v>0</v>
      </c>
      <c r="Y450" s="7" t="n">
        <f aca="false">IF(AND(O450=1,T450&gt;Inputs!$B$5),1,0)</f>
        <v>1</v>
      </c>
      <c r="Z450" s="7" t="n">
        <f aca="false">IF(AND(O450=1,G450&lt;&gt;R450),1,0)</f>
        <v>0</v>
      </c>
      <c r="AA450" s="7" t="n">
        <f aca="false">IF(AND(O450=1,M450=""),1,0)</f>
        <v>1</v>
      </c>
      <c r="AB450" s="7" t="n">
        <f aca="false">IF(AND(E450="Closed Lost",N450=""),1,0)</f>
        <v>0</v>
      </c>
      <c r="AC450" s="7" t="n">
        <f aca="false">SUM(U450:AB450)</f>
        <v>3</v>
      </c>
      <c r="AD450" s="7" t="n">
        <f aca="false">IF(AC450=0,1,0)</f>
        <v>0</v>
      </c>
      <c r="AE450" s="7" t="n">
        <f aca="false">IF(AND(O450=1,I450&gt;=Inputs!$B$6,I450&lt;=Inputs!$B$7),1,0)</f>
        <v>1</v>
      </c>
      <c r="AF450" s="7" t="n">
        <f aca="false">IF(AND(E450="Closed Won",I450&gt;=Inputs!$B$6,I450&lt;=Inputs!$B$4),1,0)</f>
        <v>0</v>
      </c>
      <c r="AG450" s="7" t="n">
        <f aca="false">IF(AND(O450=0,I450&gt;Inputs!$B$4-Inputs!$B$8,I450&lt;=Inputs!$B$4),1,0)</f>
        <v>0</v>
      </c>
      <c r="AH450" s="7" t="n">
        <f aca="false">I450-H450</f>
        <v>223</v>
      </c>
    </row>
    <row r="451" customFormat="false" ht="15" hidden="false" customHeight="false" outlineLevel="0" collapsed="false">
      <c r="A451" s="16" t="s">
        <v>1593</v>
      </c>
      <c r="B451" s="16" t="s">
        <v>472</v>
      </c>
      <c r="C451" s="16" t="s">
        <v>1594</v>
      </c>
      <c r="D451" s="16" t="s">
        <v>162</v>
      </c>
      <c r="E451" s="16" t="s">
        <v>526</v>
      </c>
      <c r="F451" s="26" t="n">
        <v>0</v>
      </c>
      <c r="G451" s="25" t="n">
        <v>10</v>
      </c>
      <c r="H451" s="22" t="n">
        <v>46083</v>
      </c>
      <c r="I451" s="22" t="n">
        <v>46404</v>
      </c>
      <c r="J451" s="22" t="n">
        <v>46263</v>
      </c>
      <c r="K451" s="16" t="s">
        <v>666</v>
      </c>
      <c r="L451" s="16" t="s">
        <v>574</v>
      </c>
      <c r="M451" s="16" t="s">
        <v>593</v>
      </c>
      <c r="N451" s="16"/>
      <c r="O451" s="7" t="n">
        <f aca="false">IF(OR(E451="Closed Won",E451="Closed Lost"),0,1)</f>
        <v>1</v>
      </c>
      <c r="P451" s="17" t="str">
        <f aca="false">INDEX(Accounts!$K$5:$K$336,MATCH(B451,Accounts!$A$5:$A$336,0))</f>
        <v>Health</v>
      </c>
      <c r="Q451" s="17" t="str">
        <f aca="false">INDEX(Accounts!$D$5:$D$336,MATCH(B451,Accounts!$A$5:$A$336,0))</f>
        <v>Standard</v>
      </c>
      <c r="R451" s="7" t="n">
        <f aca="false">INDEX(Inputs!$B$11:$B$16,MATCH(E451,Inputs!$A$11:$A$16,0))</f>
        <v>10</v>
      </c>
      <c r="S451" s="27" t="n">
        <f aca="false">IF(F451="",0,F451)*R451/100</f>
        <v>0</v>
      </c>
      <c r="T451" s="7" t="n">
        <f aca="false">Inputs!$B$4-J451</f>
        <v>51</v>
      </c>
      <c r="U451" s="7" t="n">
        <f aca="false">IF(OR(F451="",F451=0),1,0)</f>
        <v>1</v>
      </c>
      <c r="V451" s="7" t="n">
        <f aca="false">IF(K451="",1,0)</f>
        <v>0</v>
      </c>
      <c r="W451" s="7" t="n">
        <f aca="false">IF(AND(O451=1,K451&lt;&gt;"",COUNTIFS(Owners!$A$5:$A$32,K451,Owners!$E$5:$E$32,"No")&gt;0),1,0)</f>
        <v>0</v>
      </c>
      <c r="X451" s="7" t="n">
        <f aca="false">IF(AND(O451=1,I451&lt;Inputs!$B$4),1,0)</f>
        <v>0</v>
      </c>
      <c r="Y451" s="7" t="n">
        <f aca="false">IF(AND(O451=1,T451&gt;Inputs!$B$5),1,0)</f>
        <v>0</v>
      </c>
      <c r="Z451" s="7" t="n">
        <f aca="false">IF(AND(O451=1,G451&lt;&gt;R451),1,0)</f>
        <v>0</v>
      </c>
      <c r="AA451" s="7" t="n">
        <f aca="false">IF(AND(O451=1,M451=""),1,0)</f>
        <v>0</v>
      </c>
      <c r="AB451" s="7" t="n">
        <f aca="false">IF(AND(E451="Closed Lost",N451=""),1,0)</f>
        <v>0</v>
      </c>
      <c r="AC451" s="7" t="n">
        <f aca="false">SUM(U451:AB451)</f>
        <v>1</v>
      </c>
      <c r="AD451" s="7" t="n">
        <f aca="false">IF(AC451=0,1,0)</f>
        <v>0</v>
      </c>
      <c r="AE451" s="7" t="n">
        <f aca="false">IF(AND(O451=1,I451&gt;=Inputs!$B$6,I451&lt;=Inputs!$B$7),1,0)</f>
        <v>1</v>
      </c>
      <c r="AF451" s="7" t="n">
        <f aca="false">IF(AND(E451="Closed Won",I451&gt;=Inputs!$B$6,I451&lt;=Inputs!$B$4),1,0)</f>
        <v>0</v>
      </c>
      <c r="AG451" s="7" t="n">
        <f aca="false">IF(AND(O451=0,I451&gt;Inputs!$B$4-Inputs!$B$8,I451&lt;=Inputs!$B$4),1,0)</f>
        <v>0</v>
      </c>
      <c r="AH451" s="7" t="n">
        <f aca="false">I451-H451</f>
        <v>321</v>
      </c>
    </row>
    <row r="452" customFormat="false" ht="15" hidden="false" customHeight="false" outlineLevel="0" collapsed="false">
      <c r="A452" s="16" t="s">
        <v>1595</v>
      </c>
      <c r="B452" s="16" t="s">
        <v>60</v>
      </c>
      <c r="C452" s="16" t="s">
        <v>1596</v>
      </c>
      <c r="D452" s="16" t="s">
        <v>162</v>
      </c>
      <c r="E452" s="16" t="s">
        <v>531</v>
      </c>
      <c r="F452" s="26" t="n">
        <v>13123000</v>
      </c>
      <c r="G452" s="25" t="n">
        <v>0</v>
      </c>
      <c r="H452" s="22" t="n">
        <v>45932</v>
      </c>
      <c r="I452" s="22" t="n">
        <v>46162</v>
      </c>
      <c r="J452" s="22" t="n">
        <v>46162</v>
      </c>
      <c r="K452" s="16" t="s">
        <v>596</v>
      </c>
      <c r="L452" s="16" t="s">
        <v>609</v>
      </c>
      <c r="M452" s="16"/>
      <c r="N452" s="16" t="s">
        <v>713</v>
      </c>
      <c r="O452" s="7" t="n">
        <f aca="false">IF(OR(E452="Closed Won",E452="Closed Lost"),0,1)</f>
        <v>0</v>
      </c>
      <c r="P452" s="17" t="str">
        <f aca="false">INDEX(Accounts!$K$5:$K$336,MATCH(B452,Accounts!$A$5:$A$336,0))</f>
        <v>Financial Services</v>
      </c>
      <c r="Q452" s="17" t="str">
        <f aca="false">INDEX(Accounts!$D$5:$D$336,MATCH(B452,Accounts!$A$5:$A$336,0))</f>
        <v>Priority</v>
      </c>
      <c r="R452" s="7" t="n">
        <f aca="false">INDEX(Inputs!$B$11:$B$16,MATCH(E452,Inputs!$A$11:$A$16,0))</f>
        <v>0</v>
      </c>
      <c r="S452" s="27" t="n">
        <f aca="false">IF(F452="",0,F452)*R452/100</f>
        <v>0</v>
      </c>
      <c r="T452" s="7" t="n">
        <f aca="false">Inputs!$B$4-J452</f>
        <v>152</v>
      </c>
      <c r="U452" s="7" t="n">
        <f aca="false">IF(OR(F452="",F452=0),1,0)</f>
        <v>0</v>
      </c>
      <c r="V452" s="7" t="n">
        <f aca="false">IF(K452="",1,0)</f>
        <v>0</v>
      </c>
      <c r="W452" s="7" t="n">
        <f aca="false">IF(AND(O452=1,K452&lt;&gt;"",COUNTIFS(Owners!$A$5:$A$32,K452,Owners!$E$5:$E$32,"No")&gt;0),1,0)</f>
        <v>0</v>
      </c>
      <c r="X452" s="7" t="n">
        <f aca="false">IF(AND(O452=1,I452&lt;Inputs!$B$4),1,0)</f>
        <v>0</v>
      </c>
      <c r="Y452" s="7" t="n">
        <f aca="false">IF(AND(O452=1,T452&gt;Inputs!$B$5),1,0)</f>
        <v>0</v>
      </c>
      <c r="Z452" s="7" t="n">
        <f aca="false">IF(AND(O452=1,G452&lt;&gt;R452),1,0)</f>
        <v>0</v>
      </c>
      <c r="AA452" s="7" t="n">
        <f aca="false">IF(AND(O452=1,M452=""),1,0)</f>
        <v>0</v>
      </c>
      <c r="AB452" s="7" t="n">
        <f aca="false">IF(AND(E452="Closed Lost",N452=""),1,0)</f>
        <v>0</v>
      </c>
      <c r="AC452" s="7" t="n">
        <f aca="false">SUM(U452:AB452)</f>
        <v>0</v>
      </c>
      <c r="AD452" s="7" t="n">
        <f aca="false">IF(AC452=0,1,0)</f>
        <v>1</v>
      </c>
      <c r="AE452" s="7" t="n">
        <f aca="false">IF(AND(O452=1,I452&gt;=Inputs!$B$6,I452&lt;=Inputs!$B$7),1,0)</f>
        <v>0</v>
      </c>
      <c r="AF452" s="7" t="n">
        <f aca="false">IF(AND(E452="Closed Won",I452&gt;=Inputs!$B$6,I452&lt;=Inputs!$B$4),1,0)</f>
        <v>0</v>
      </c>
      <c r="AG452" s="7" t="n">
        <f aca="false">IF(AND(O452=0,I452&gt;Inputs!$B$4-Inputs!$B$8,I452&lt;=Inputs!$B$4),1,0)</f>
        <v>1</v>
      </c>
      <c r="AH452" s="7" t="n">
        <f aca="false">I452-H452</f>
        <v>230</v>
      </c>
    </row>
    <row r="453" customFormat="false" ht="15" hidden="false" customHeight="false" outlineLevel="0" collapsed="false">
      <c r="A453" s="16" t="s">
        <v>1597</v>
      </c>
      <c r="B453" s="16" t="s">
        <v>796</v>
      </c>
      <c r="C453" s="16" t="s">
        <v>1598</v>
      </c>
      <c r="D453" s="16" t="s">
        <v>162</v>
      </c>
      <c r="E453" s="16" t="s">
        <v>526</v>
      </c>
      <c r="F453" s="26" t="n">
        <v>26889000</v>
      </c>
      <c r="G453" s="25" t="n">
        <v>10</v>
      </c>
      <c r="H453" s="22" t="n">
        <v>46167</v>
      </c>
      <c r="I453" s="22" t="n">
        <v>46510</v>
      </c>
      <c r="J453" s="22" t="n">
        <v>46217</v>
      </c>
      <c r="K453" s="16" t="s">
        <v>573</v>
      </c>
      <c r="L453" s="16" t="s">
        <v>592</v>
      </c>
      <c r="M453" s="16" t="s">
        <v>619</v>
      </c>
      <c r="N453" s="16"/>
      <c r="O453" s="7" t="n">
        <f aca="false">IF(OR(E453="Closed Won",E453="Closed Lost"),0,1)</f>
        <v>1</v>
      </c>
      <c r="P453" s="17" t="str">
        <f aca="false">INDEX(Accounts!$K$5:$K$336,MATCH(B453,Accounts!$A$5:$A$336,0))</f>
        <v>Technology, Media &amp; Telecom</v>
      </c>
      <c r="Q453" s="17" t="str">
        <f aca="false">INDEX(Accounts!$D$5:$D$336,MATCH(B453,Accounts!$A$5:$A$336,0))</f>
        <v>Key</v>
      </c>
      <c r="R453" s="7" t="n">
        <f aca="false">INDEX(Inputs!$B$11:$B$16,MATCH(E453,Inputs!$A$11:$A$16,0))</f>
        <v>10</v>
      </c>
      <c r="S453" s="27" t="n">
        <f aca="false">IF(F453="",0,F453)*R453/100</f>
        <v>2688900</v>
      </c>
      <c r="T453" s="7" t="n">
        <f aca="false">Inputs!$B$4-J453</f>
        <v>97</v>
      </c>
      <c r="U453" s="7" t="n">
        <f aca="false">IF(OR(F453="",F453=0),1,0)</f>
        <v>0</v>
      </c>
      <c r="V453" s="7" t="n">
        <f aca="false">IF(K453="",1,0)</f>
        <v>0</v>
      </c>
      <c r="W453" s="7" t="n">
        <f aca="false">IF(AND(O453=1,K453&lt;&gt;"",COUNTIFS(Owners!$A$5:$A$32,K453,Owners!$E$5:$E$32,"No")&gt;0),1,0)</f>
        <v>0</v>
      </c>
      <c r="X453" s="7" t="n">
        <f aca="false">IF(AND(O453=1,I453&lt;Inputs!$B$4),1,0)</f>
        <v>0</v>
      </c>
      <c r="Y453" s="7" t="n">
        <f aca="false">IF(AND(O453=1,T453&gt;Inputs!$B$5),1,0)</f>
        <v>1</v>
      </c>
      <c r="Z453" s="7" t="n">
        <f aca="false">IF(AND(O453=1,G453&lt;&gt;R453),1,0)</f>
        <v>0</v>
      </c>
      <c r="AA453" s="7" t="n">
        <f aca="false">IF(AND(O453=1,M453=""),1,0)</f>
        <v>0</v>
      </c>
      <c r="AB453" s="7" t="n">
        <f aca="false">IF(AND(E453="Closed Lost",N453=""),1,0)</f>
        <v>0</v>
      </c>
      <c r="AC453" s="7" t="n">
        <f aca="false">SUM(U453:AB453)</f>
        <v>1</v>
      </c>
      <c r="AD453" s="7" t="n">
        <f aca="false">IF(AC453=0,1,0)</f>
        <v>0</v>
      </c>
      <c r="AE453" s="7" t="n">
        <f aca="false">IF(AND(O453=1,I453&gt;=Inputs!$B$6,I453&lt;=Inputs!$B$7),1,0)</f>
        <v>1</v>
      </c>
      <c r="AF453" s="7" t="n">
        <f aca="false">IF(AND(E453="Closed Won",I453&gt;=Inputs!$B$6,I453&lt;=Inputs!$B$4),1,0)</f>
        <v>0</v>
      </c>
      <c r="AG453" s="7" t="n">
        <f aca="false">IF(AND(O453=0,I453&gt;Inputs!$B$4-Inputs!$B$8,I453&lt;=Inputs!$B$4),1,0)</f>
        <v>0</v>
      </c>
      <c r="AH453" s="7" t="n">
        <f aca="false">I453-H453</f>
        <v>343</v>
      </c>
    </row>
    <row r="454" customFormat="false" ht="15" hidden="false" customHeight="false" outlineLevel="0" collapsed="false">
      <c r="A454" s="16" t="s">
        <v>1599</v>
      </c>
      <c r="B454" s="16" t="s">
        <v>1028</v>
      </c>
      <c r="C454" s="16" t="s">
        <v>1600</v>
      </c>
      <c r="D454" s="16" t="s">
        <v>162</v>
      </c>
      <c r="E454" s="16" t="s">
        <v>531</v>
      </c>
      <c r="F454" s="26" t="n">
        <v>49857000</v>
      </c>
      <c r="G454" s="25" t="n">
        <v>0</v>
      </c>
      <c r="H454" s="22" t="n">
        <v>46024</v>
      </c>
      <c r="I454" s="22" t="n">
        <v>46211</v>
      </c>
      <c r="J454" s="22" t="n">
        <v>46211</v>
      </c>
      <c r="K454" s="16" t="s">
        <v>600</v>
      </c>
      <c r="L454" s="16" t="s">
        <v>609</v>
      </c>
      <c r="M454" s="16"/>
      <c r="N454" s="16" t="s">
        <v>579</v>
      </c>
      <c r="O454" s="7" t="n">
        <f aca="false">IF(OR(E454="Closed Won",E454="Closed Lost"),0,1)</f>
        <v>0</v>
      </c>
      <c r="P454" s="17" t="str">
        <f aca="false">INDEX(Accounts!$K$5:$K$336,MATCH(B454,Accounts!$A$5:$A$336,0))</f>
        <v>Financial Services</v>
      </c>
      <c r="Q454" s="17" t="str">
        <f aca="false">INDEX(Accounts!$D$5:$D$336,MATCH(B454,Accounts!$A$5:$A$336,0))</f>
        <v>Key</v>
      </c>
      <c r="R454" s="7" t="n">
        <f aca="false">INDEX(Inputs!$B$11:$B$16,MATCH(E454,Inputs!$A$11:$A$16,0))</f>
        <v>0</v>
      </c>
      <c r="S454" s="27" t="n">
        <f aca="false">IF(F454="",0,F454)*R454/100</f>
        <v>0</v>
      </c>
      <c r="T454" s="7" t="n">
        <f aca="false">Inputs!$B$4-J454</f>
        <v>103</v>
      </c>
      <c r="U454" s="7" t="n">
        <f aca="false">IF(OR(F454="",F454=0),1,0)</f>
        <v>0</v>
      </c>
      <c r="V454" s="7" t="n">
        <f aca="false">IF(K454="",1,0)</f>
        <v>0</v>
      </c>
      <c r="W454" s="7" t="n">
        <f aca="false">IF(AND(O454=1,K454&lt;&gt;"",COUNTIFS(Owners!$A$5:$A$32,K454,Owners!$E$5:$E$32,"No")&gt;0),1,0)</f>
        <v>0</v>
      </c>
      <c r="X454" s="7" t="n">
        <f aca="false">IF(AND(O454=1,I454&lt;Inputs!$B$4),1,0)</f>
        <v>0</v>
      </c>
      <c r="Y454" s="7" t="n">
        <f aca="false">IF(AND(O454=1,T454&gt;Inputs!$B$5),1,0)</f>
        <v>0</v>
      </c>
      <c r="Z454" s="7" t="n">
        <f aca="false">IF(AND(O454=1,G454&lt;&gt;R454),1,0)</f>
        <v>0</v>
      </c>
      <c r="AA454" s="7" t="n">
        <f aca="false">IF(AND(O454=1,M454=""),1,0)</f>
        <v>0</v>
      </c>
      <c r="AB454" s="7" t="n">
        <f aca="false">IF(AND(E454="Closed Lost",N454=""),1,0)</f>
        <v>0</v>
      </c>
      <c r="AC454" s="7" t="n">
        <f aca="false">SUM(U454:AB454)</f>
        <v>0</v>
      </c>
      <c r="AD454" s="7" t="n">
        <f aca="false">IF(AC454=0,1,0)</f>
        <v>1</v>
      </c>
      <c r="AE454" s="7" t="n">
        <f aca="false">IF(AND(O454=1,I454&gt;=Inputs!$B$6,I454&lt;=Inputs!$B$7),1,0)</f>
        <v>0</v>
      </c>
      <c r="AF454" s="7" t="n">
        <f aca="false">IF(AND(E454="Closed Won",I454&gt;=Inputs!$B$6,I454&lt;=Inputs!$B$4),1,0)</f>
        <v>0</v>
      </c>
      <c r="AG454" s="7" t="n">
        <f aca="false">IF(AND(O454=0,I454&gt;Inputs!$B$4-Inputs!$B$8,I454&lt;=Inputs!$B$4),1,0)</f>
        <v>1</v>
      </c>
      <c r="AH454" s="7" t="n">
        <f aca="false">I454-H454</f>
        <v>187</v>
      </c>
    </row>
    <row r="455" customFormat="false" ht="15" hidden="false" customHeight="false" outlineLevel="0" collapsed="false">
      <c r="A455" s="16" t="s">
        <v>1601</v>
      </c>
      <c r="B455" s="16" t="s">
        <v>406</v>
      </c>
      <c r="C455" s="16" t="s">
        <v>1602</v>
      </c>
      <c r="D455" s="16" t="s">
        <v>177</v>
      </c>
      <c r="E455" s="16" t="s">
        <v>531</v>
      </c>
      <c r="F455" s="26" t="n">
        <v>29146000</v>
      </c>
      <c r="G455" s="25" t="n">
        <v>0</v>
      </c>
      <c r="H455" s="22" t="n">
        <v>45915</v>
      </c>
      <c r="I455" s="22" t="n">
        <v>46053</v>
      </c>
      <c r="J455" s="22" t="n">
        <v>46053</v>
      </c>
      <c r="K455" s="16" t="s">
        <v>637</v>
      </c>
      <c r="L455" s="16" t="s">
        <v>568</v>
      </c>
      <c r="M455" s="16"/>
      <c r="N455" s="16" t="s">
        <v>713</v>
      </c>
      <c r="O455" s="7" t="n">
        <f aca="false">IF(OR(E455="Closed Won",E455="Closed Lost"),0,1)</f>
        <v>0</v>
      </c>
      <c r="P455" s="17" t="str">
        <f aca="false">INDEX(Accounts!$K$5:$K$336,MATCH(B455,Accounts!$A$5:$A$336,0))</f>
        <v>Unassigned</v>
      </c>
      <c r="Q455" s="17" t="str">
        <f aca="false">INDEX(Accounts!$D$5:$D$336,MATCH(B455,Accounts!$A$5:$A$336,0))</f>
        <v>Standard</v>
      </c>
      <c r="R455" s="7" t="n">
        <f aca="false">INDEX(Inputs!$B$11:$B$16,MATCH(E455,Inputs!$A$11:$A$16,0))</f>
        <v>0</v>
      </c>
      <c r="S455" s="27" t="n">
        <f aca="false">IF(F455="",0,F455)*R455/100</f>
        <v>0</v>
      </c>
      <c r="T455" s="7" t="n">
        <f aca="false">Inputs!$B$4-J455</f>
        <v>261</v>
      </c>
      <c r="U455" s="7" t="n">
        <f aca="false">IF(OR(F455="",F455=0),1,0)</f>
        <v>0</v>
      </c>
      <c r="V455" s="7" t="n">
        <f aca="false">IF(K455="",1,0)</f>
        <v>0</v>
      </c>
      <c r="W455" s="7" t="n">
        <f aca="false">IF(AND(O455=1,K455&lt;&gt;"",COUNTIFS(Owners!$A$5:$A$32,K455,Owners!$E$5:$E$32,"No")&gt;0),1,0)</f>
        <v>0</v>
      </c>
      <c r="X455" s="7" t="n">
        <f aca="false">IF(AND(O455=1,I455&lt;Inputs!$B$4),1,0)</f>
        <v>0</v>
      </c>
      <c r="Y455" s="7" t="n">
        <f aca="false">IF(AND(O455=1,T455&gt;Inputs!$B$5),1,0)</f>
        <v>0</v>
      </c>
      <c r="Z455" s="7" t="n">
        <f aca="false">IF(AND(O455=1,G455&lt;&gt;R455),1,0)</f>
        <v>0</v>
      </c>
      <c r="AA455" s="7" t="n">
        <f aca="false">IF(AND(O455=1,M455=""),1,0)</f>
        <v>0</v>
      </c>
      <c r="AB455" s="7" t="n">
        <f aca="false">IF(AND(E455="Closed Lost",N455=""),1,0)</f>
        <v>0</v>
      </c>
      <c r="AC455" s="7" t="n">
        <f aca="false">SUM(U455:AB455)</f>
        <v>0</v>
      </c>
      <c r="AD455" s="7" t="n">
        <f aca="false">IF(AC455=0,1,0)</f>
        <v>1</v>
      </c>
      <c r="AE455" s="7" t="n">
        <f aca="false">IF(AND(O455=1,I455&gt;=Inputs!$B$6,I455&lt;=Inputs!$B$7),1,0)</f>
        <v>0</v>
      </c>
      <c r="AF455" s="7" t="n">
        <f aca="false">IF(AND(E455="Closed Won",I455&gt;=Inputs!$B$6,I455&lt;=Inputs!$B$4),1,0)</f>
        <v>0</v>
      </c>
      <c r="AG455" s="7" t="n">
        <f aca="false">IF(AND(O455=0,I455&gt;Inputs!$B$4-Inputs!$B$8,I455&lt;=Inputs!$B$4),1,0)</f>
        <v>1</v>
      </c>
      <c r="AH455" s="7" t="n">
        <f aca="false">I455-H455</f>
        <v>138</v>
      </c>
    </row>
    <row r="456" customFormat="false" ht="15" hidden="false" customHeight="false" outlineLevel="0" collapsed="false">
      <c r="A456" s="16" t="s">
        <v>1603</v>
      </c>
      <c r="B456" s="16" t="s">
        <v>1289</v>
      </c>
      <c r="C456" s="16" t="s">
        <v>1604</v>
      </c>
      <c r="D456" s="16" t="s">
        <v>165</v>
      </c>
      <c r="E456" s="16" t="s">
        <v>526</v>
      </c>
      <c r="F456" s="26" t="n">
        <v>12084000</v>
      </c>
      <c r="G456" s="25" t="n">
        <v>10</v>
      </c>
      <c r="H456" s="22" t="n">
        <v>46132</v>
      </c>
      <c r="I456" s="22" t="n">
        <v>46499</v>
      </c>
      <c r="J456" s="22" t="n">
        <v>46280</v>
      </c>
      <c r="K456" s="16" t="s">
        <v>880</v>
      </c>
      <c r="L456" s="16" t="s">
        <v>574</v>
      </c>
      <c r="M456" s="16" t="s">
        <v>575</v>
      </c>
      <c r="N456" s="16"/>
      <c r="O456" s="7" t="n">
        <f aca="false">IF(OR(E456="Closed Won",E456="Closed Lost"),0,1)</f>
        <v>1</v>
      </c>
      <c r="P456" s="17" t="str">
        <f aca="false">INDEX(Accounts!$K$5:$K$336,MATCH(B456,Accounts!$A$5:$A$336,0))</f>
        <v>Technology, Media &amp; Telecom</v>
      </c>
      <c r="Q456" s="17" t="str">
        <f aca="false">INDEX(Accounts!$D$5:$D$336,MATCH(B456,Accounts!$A$5:$A$336,0))</f>
        <v>Key</v>
      </c>
      <c r="R456" s="7" t="n">
        <f aca="false">INDEX(Inputs!$B$11:$B$16,MATCH(E456,Inputs!$A$11:$A$16,0))</f>
        <v>10</v>
      </c>
      <c r="S456" s="27" t="n">
        <f aca="false">IF(F456="",0,F456)*R456/100</f>
        <v>1208400</v>
      </c>
      <c r="T456" s="7" t="n">
        <f aca="false">Inputs!$B$4-J456</f>
        <v>34</v>
      </c>
      <c r="U456" s="7" t="n">
        <f aca="false">IF(OR(F456="",F456=0),1,0)</f>
        <v>0</v>
      </c>
      <c r="V456" s="7" t="n">
        <f aca="false">IF(K456="",1,0)</f>
        <v>0</v>
      </c>
      <c r="W456" s="7" t="n">
        <f aca="false">IF(AND(O456=1,K456&lt;&gt;"",COUNTIFS(Owners!$A$5:$A$32,K456,Owners!$E$5:$E$32,"No")&gt;0),1,0)</f>
        <v>1</v>
      </c>
      <c r="X456" s="7" t="n">
        <f aca="false">IF(AND(O456=1,I456&lt;Inputs!$B$4),1,0)</f>
        <v>0</v>
      </c>
      <c r="Y456" s="7" t="n">
        <f aca="false">IF(AND(O456=1,T456&gt;Inputs!$B$5),1,0)</f>
        <v>0</v>
      </c>
      <c r="Z456" s="7" t="n">
        <f aca="false">IF(AND(O456=1,G456&lt;&gt;R456),1,0)</f>
        <v>0</v>
      </c>
      <c r="AA456" s="7" t="n">
        <f aca="false">IF(AND(O456=1,M456=""),1,0)</f>
        <v>0</v>
      </c>
      <c r="AB456" s="7" t="n">
        <f aca="false">IF(AND(E456="Closed Lost",N456=""),1,0)</f>
        <v>0</v>
      </c>
      <c r="AC456" s="7" t="n">
        <f aca="false">SUM(U456:AB456)</f>
        <v>1</v>
      </c>
      <c r="AD456" s="7" t="n">
        <f aca="false">IF(AC456=0,1,0)</f>
        <v>0</v>
      </c>
      <c r="AE456" s="7" t="n">
        <f aca="false">IF(AND(O456=1,I456&gt;=Inputs!$B$6,I456&lt;=Inputs!$B$7),1,0)</f>
        <v>1</v>
      </c>
      <c r="AF456" s="7" t="n">
        <f aca="false">IF(AND(E456="Closed Won",I456&gt;=Inputs!$B$6,I456&lt;=Inputs!$B$4),1,0)</f>
        <v>0</v>
      </c>
      <c r="AG456" s="7" t="n">
        <f aca="false">IF(AND(O456=0,I456&gt;Inputs!$B$4-Inputs!$B$8,I456&lt;=Inputs!$B$4),1,0)</f>
        <v>0</v>
      </c>
      <c r="AH456" s="7" t="n">
        <f aca="false">I456-H456</f>
        <v>367</v>
      </c>
    </row>
    <row r="457" customFormat="false" ht="15" hidden="false" customHeight="false" outlineLevel="0" collapsed="false">
      <c r="A457" s="16" t="s">
        <v>1605</v>
      </c>
      <c r="B457" s="16" t="s">
        <v>408</v>
      </c>
      <c r="C457" s="16" t="s">
        <v>1606</v>
      </c>
      <c r="D457" s="16" t="s">
        <v>162</v>
      </c>
      <c r="E457" s="16" t="s">
        <v>531</v>
      </c>
      <c r="F457" s="26" t="n">
        <v>19692000</v>
      </c>
      <c r="G457" s="25" t="n">
        <v>0</v>
      </c>
      <c r="H457" s="22" t="n">
        <v>46158</v>
      </c>
      <c r="I457" s="22" t="n">
        <v>46229</v>
      </c>
      <c r="J457" s="22" t="n">
        <v>46229</v>
      </c>
      <c r="K457" s="16" t="s">
        <v>633</v>
      </c>
      <c r="L457" s="16" t="s">
        <v>574</v>
      </c>
      <c r="M457" s="16"/>
      <c r="N457" s="16" t="s">
        <v>597</v>
      </c>
      <c r="O457" s="7" t="n">
        <f aca="false">IF(OR(E457="Closed Won",E457="Closed Lost"),0,1)</f>
        <v>0</v>
      </c>
      <c r="P457" s="17" t="str">
        <f aca="false">INDEX(Accounts!$K$5:$K$336,MATCH(B457,Accounts!$A$5:$A$336,0))</f>
        <v>Unassigned</v>
      </c>
      <c r="Q457" s="17" t="str">
        <f aca="false">INDEX(Accounts!$D$5:$D$336,MATCH(B457,Accounts!$A$5:$A$336,0))</f>
        <v>Standard</v>
      </c>
      <c r="R457" s="7" t="n">
        <f aca="false">INDEX(Inputs!$B$11:$B$16,MATCH(E457,Inputs!$A$11:$A$16,0))</f>
        <v>0</v>
      </c>
      <c r="S457" s="27" t="n">
        <f aca="false">IF(F457="",0,F457)*R457/100</f>
        <v>0</v>
      </c>
      <c r="T457" s="7" t="n">
        <f aca="false">Inputs!$B$4-J457</f>
        <v>85</v>
      </c>
      <c r="U457" s="7" t="n">
        <f aca="false">IF(OR(F457="",F457=0),1,0)</f>
        <v>0</v>
      </c>
      <c r="V457" s="7" t="n">
        <f aca="false">IF(K457="",1,0)</f>
        <v>0</v>
      </c>
      <c r="W457" s="7" t="n">
        <f aca="false">IF(AND(O457=1,K457&lt;&gt;"",COUNTIFS(Owners!$A$5:$A$32,K457,Owners!$E$5:$E$32,"No")&gt;0),1,0)</f>
        <v>0</v>
      </c>
      <c r="X457" s="7" t="n">
        <f aca="false">IF(AND(O457=1,I457&lt;Inputs!$B$4),1,0)</f>
        <v>0</v>
      </c>
      <c r="Y457" s="7" t="n">
        <f aca="false">IF(AND(O457=1,T457&gt;Inputs!$B$5),1,0)</f>
        <v>0</v>
      </c>
      <c r="Z457" s="7" t="n">
        <f aca="false">IF(AND(O457=1,G457&lt;&gt;R457),1,0)</f>
        <v>0</v>
      </c>
      <c r="AA457" s="7" t="n">
        <f aca="false">IF(AND(O457=1,M457=""),1,0)</f>
        <v>0</v>
      </c>
      <c r="AB457" s="7" t="n">
        <f aca="false">IF(AND(E457="Closed Lost",N457=""),1,0)</f>
        <v>0</v>
      </c>
      <c r="AC457" s="7" t="n">
        <f aca="false">SUM(U457:AB457)</f>
        <v>0</v>
      </c>
      <c r="AD457" s="7" t="n">
        <f aca="false">IF(AC457=0,1,0)</f>
        <v>1</v>
      </c>
      <c r="AE457" s="7" t="n">
        <f aca="false">IF(AND(O457=1,I457&gt;=Inputs!$B$6,I457&lt;=Inputs!$B$7),1,0)</f>
        <v>0</v>
      </c>
      <c r="AF457" s="7" t="n">
        <f aca="false">IF(AND(E457="Closed Won",I457&gt;=Inputs!$B$6,I457&lt;=Inputs!$B$4),1,0)</f>
        <v>0</v>
      </c>
      <c r="AG457" s="7" t="n">
        <f aca="false">IF(AND(O457=0,I457&gt;Inputs!$B$4-Inputs!$B$8,I457&lt;=Inputs!$B$4),1,0)</f>
        <v>1</v>
      </c>
      <c r="AH457" s="7" t="n">
        <f aca="false">I457-H457</f>
        <v>71</v>
      </c>
    </row>
    <row r="458" customFormat="false" ht="15" hidden="false" customHeight="false" outlineLevel="0" collapsed="false">
      <c r="A458" s="16" t="s">
        <v>1607</v>
      </c>
      <c r="B458" s="16" t="s">
        <v>878</v>
      </c>
      <c r="C458" s="16" t="s">
        <v>1608</v>
      </c>
      <c r="D458" s="16" t="s">
        <v>167</v>
      </c>
      <c r="E458" s="16" t="s">
        <v>527</v>
      </c>
      <c r="F458" s="26" t="n">
        <v>24458000</v>
      </c>
      <c r="G458" s="25" t="n">
        <v>25</v>
      </c>
      <c r="H458" s="22" t="n">
        <v>46138</v>
      </c>
      <c r="I458" s="22" t="n">
        <v>46434</v>
      </c>
      <c r="J458" s="22" t="n">
        <v>46283</v>
      </c>
      <c r="K458" s="16" t="s">
        <v>831</v>
      </c>
      <c r="L458" s="16" t="s">
        <v>592</v>
      </c>
      <c r="M458" s="16" t="s">
        <v>619</v>
      </c>
      <c r="N458" s="16"/>
      <c r="O458" s="7" t="n">
        <f aca="false">IF(OR(E458="Closed Won",E458="Closed Lost"),0,1)</f>
        <v>1</v>
      </c>
      <c r="P458" s="17" t="str">
        <f aca="false">INDEX(Accounts!$K$5:$K$336,MATCH(B458,Accounts!$A$5:$A$336,0))</f>
        <v>Agribusiness</v>
      </c>
      <c r="Q458" s="17" t="str">
        <f aca="false">INDEX(Accounts!$D$5:$D$336,MATCH(B458,Accounts!$A$5:$A$336,0))</f>
        <v>Standard</v>
      </c>
      <c r="R458" s="7" t="n">
        <f aca="false">INDEX(Inputs!$B$11:$B$16,MATCH(E458,Inputs!$A$11:$A$16,0))</f>
        <v>25</v>
      </c>
      <c r="S458" s="27" t="n">
        <f aca="false">IF(F458="",0,F458)*R458/100</f>
        <v>6114500</v>
      </c>
      <c r="T458" s="7" t="n">
        <f aca="false">Inputs!$B$4-J458</f>
        <v>31</v>
      </c>
      <c r="U458" s="7" t="n">
        <f aca="false">IF(OR(F458="",F458=0),1,0)</f>
        <v>0</v>
      </c>
      <c r="V458" s="7" t="n">
        <f aca="false">IF(K458="",1,0)</f>
        <v>0</v>
      </c>
      <c r="W458" s="7" t="n">
        <f aca="false">IF(AND(O458=1,K458&lt;&gt;"",COUNTIFS(Owners!$A$5:$A$32,K458,Owners!$E$5:$E$32,"No")&gt;0),1,0)</f>
        <v>0</v>
      </c>
      <c r="X458" s="7" t="n">
        <f aca="false">IF(AND(O458=1,I458&lt;Inputs!$B$4),1,0)</f>
        <v>0</v>
      </c>
      <c r="Y458" s="7" t="n">
        <f aca="false">IF(AND(O458=1,T458&gt;Inputs!$B$5),1,0)</f>
        <v>0</v>
      </c>
      <c r="Z458" s="7" t="n">
        <f aca="false">IF(AND(O458=1,G458&lt;&gt;R458),1,0)</f>
        <v>0</v>
      </c>
      <c r="AA458" s="7" t="n">
        <f aca="false">IF(AND(O458=1,M458=""),1,0)</f>
        <v>0</v>
      </c>
      <c r="AB458" s="7" t="n">
        <f aca="false">IF(AND(E458="Closed Lost",N458=""),1,0)</f>
        <v>0</v>
      </c>
      <c r="AC458" s="7" t="n">
        <f aca="false">SUM(U458:AB458)</f>
        <v>0</v>
      </c>
      <c r="AD458" s="7" t="n">
        <f aca="false">IF(AC458=0,1,0)</f>
        <v>1</v>
      </c>
      <c r="AE458" s="7" t="n">
        <f aca="false">IF(AND(O458=1,I458&gt;=Inputs!$B$6,I458&lt;=Inputs!$B$7),1,0)</f>
        <v>1</v>
      </c>
      <c r="AF458" s="7" t="n">
        <f aca="false">IF(AND(E458="Closed Won",I458&gt;=Inputs!$B$6,I458&lt;=Inputs!$B$4),1,0)</f>
        <v>0</v>
      </c>
      <c r="AG458" s="7" t="n">
        <f aca="false">IF(AND(O458=0,I458&gt;Inputs!$B$4-Inputs!$B$8,I458&lt;=Inputs!$B$4),1,0)</f>
        <v>0</v>
      </c>
      <c r="AH458" s="7" t="n">
        <f aca="false">I458-H458</f>
        <v>296</v>
      </c>
    </row>
    <row r="459" customFormat="false" ht="15" hidden="false" customHeight="false" outlineLevel="0" collapsed="false">
      <c r="A459" s="16" t="s">
        <v>1609</v>
      </c>
      <c r="B459" s="16" t="s">
        <v>96</v>
      </c>
      <c r="C459" s="16" t="s">
        <v>1610</v>
      </c>
      <c r="D459" s="16" t="s">
        <v>165</v>
      </c>
      <c r="E459" s="16" t="s">
        <v>531</v>
      </c>
      <c r="F459" s="26" t="n">
        <v>13077000</v>
      </c>
      <c r="G459" s="25" t="n">
        <v>0</v>
      </c>
      <c r="H459" s="22" t="n">
        <v>46096</v>
      </c>
      <c r="I459" s="22" t="n">
        <v>46252</v>
      </c>
      <c r="J459" s="22" t="n">
        <v>46252</v>
      </c>
      <c r="K459" s="16"/>
      <c r="L459" s="16" t="s">
        <v>574</v>
      </c>
      <c r="M459" s="16"/>
      <c r="N459" s="16" t="s">
        <v>722</v>
      </c>
      <c r="O459" s="7" t="n">
        <f aca="false">IF(OR(E459="Closed Won",E459="Closed Lost"),0,1)</f>
        <v>0</v>
      </c>
      <c r="P459" s="17" t="str">
        <f aca="false">INDEX(Accounts!$K$5:$K$336,MATCH(B459,Accounts!$A$5:$A$336,0))</f>
        <v>Financial Services</v>
      </c>
      <c r="Q459" s="17" t="str">
        <f aca="false">INDEX(Accounts!$D$5:$D$336,MATCH(B459,Accounts!$A$5:$A$336,0))</f>
        <v>Priority</v>
      </c>
      <c r="R459" s="7" t="n">
        <f aca="false">INDEX(Inputs!$B$11:$B$16,MATCH(E459,Inputs!$A$11:$A$16,0))</f>
        <v>0</v>
      </c>
      <c r="S459" s="27" t="n">
        <f aca="false">IF(F459="",0,F459)*R459/100</f>
        <v>0</v>
      </c>
      <c r="T459" s="7" t="n">
        <f aca="false">Inputs!$B$4-J459</f>
        <v>62</v>
      </c>
      <c r="U459" s="7" t="n">
        <f aca="false">IF(OR(F459="",F459=0),1,0)</f>
        <v>0</v>
      </c>
      <c r="V459" s="7" t="n">
        <f aca="false">IF(K459="",1,0)</f>
        <v>1</v>
      </c>
      <c r="W459" s="7" t="n">
        <f aca="false">IF(AND(O459=1,K459&lt;&gt;"",COUNTIFS(Owners!$A$5:$A$32,K459,Owners!$E$5:$E$32,"No")&gt;0),1,0)</f>
        <v>0</v>
      </c>
      <c r="X459" s="7" t="n">
        <f aca="false">IF(AND(O459=1,I459&lt;Inputs!$B$4),1,0)</f>
        <v>0</v>
      </c>
      <c r="Y459" s="7" t="n">
        <f aca="false">IF(AND(O459=1,T459&gt;Inputs!$B$5),1,0)</f>
        <v>0</v>
      </c>
      <c r="Z459" s="7" t="n">
        <f aca="false">IF(AND(O459=1,G459&lt;&gt;R459),1,0)</f>
        <v>0</v>
      </c>
      <c r="AA459" s="7" t="n">
        <f aca="false">IF(AND(O459=1,M459=""),1,0)</f>
        <v>0</v>
      </c>
      <c r="AB459" s="7" t="n">
        <f aca="false">IF(AND(E459="Closed Lost",N459=""),1,0)</f>
        <v>0</v>
      </c>
      <c r="AC459" s="7" t="n">
        <f aca="false">SUM(U459:AB459)</f>
        <v>1</v>
      </c>
      <c r="AD459" s="7" t="n">
        <f aca="false">IF(AC459=0,1,0)</f>
        <v>0</v>
      </c>
      <c r="AE459" s="7" t="n">
        <f aca="false">IF(AND(O459=1,I459&gt;=Inputs!$B$6,I459&lt;=Inputs!$B$7),1,0)</f>
        <v>0</v>
      </c>
      <c r="AF459" s="7" t="n">
        <f aca="false">IF(AND(E459="Closed Won",I459&gt;=Inputs!$B$6,I459&lt;=Inputs!$B$4),1,0)</f>
        <v>0</v>
      </c>
      <c r="AG459" s="7" t="n">
        <f aca="false">IF(AND(O459=0,I459&gt;Inputs!$B$4-Inputs!$B$8,I459&lt;=Inputs!$B$4),1,0)</f>
        <v>1</v>
      </c>
      <c r="AH459" s="7" t="n">
        <f aca="false">I459-H459</f>
        <v>156</v>
      </c>
    </row>
    <row r="460" customFormat="false" ht="15" hidden="false" customHeight="false" outlineLevel="0" collapsed="false">
      <c r="A460" s="16" t="s">
        <v>1611</v>
      </c>
      <c r="B460" s="16" t="s">
        <v>1612</v>
      </c>
      <c r="C460" s="16" t="s">
        <v>1613</v>
      </c>
      <c r="D460" s="16" t="s">
        <v>158</v>
      </c>
      <c r="E460" s="16" t="s">
        <v>527</v>
      </c>
      <c r="F460" s="26" t="n">
        <v>48432000</v>
      </c>
      <c r="G460" s="25" t="n">
        <v>25</v>
      </c>
      <c r="H460" s="22" t="n">
        <v>46166</v>
      </c>
      <c r="I460" s="22" t="n">
        <v>46443</v>
      </c>
      <c r="J460" s="22" t="n">
        <v>46293</v>
      </c>
      <c r="K460" s="16" t="s">
        <v>640</v>
      </c>
      <c r="L460" s="16" t="s">
        <v>568</v>
      </c>
      <c r="M460" s="16" t="s">
        <v>575</v>
      </c>
      <c r="N460" s="16"/>
      <c r="O460" s="7" t="n">
        <f aca="false">IF(OR(E460="Closed Won",E460="Closed Lost"),0,1)</f>
        <v>1</v>
      </c>
      <c r="P460" s="17" t="str">
        <f aca="false">INDEX(Accounts!$K$5:$K$336,MATCH(B460,Accounts!$A$5:$A$336,0))</f>
        <v>Financial Services</v>
      </c>
      <c r="Q460" s="17" t="str">
        <f aca="false">INDEX(Accounts!$D$5:$D$336,MATCH(B460,Accounts!$A$5:$A$336,0))</f>
        <v>Standard</v>
      </c>
      <c r="R460" s="7" t="n">
        <f aca="false">INDEX(Inputs!$B$11:$B$16,MATCH(E460,Inputs!$A$11:$A$16,0))</f>
        <v>25</v>
      </c>
      <c r="S460" s="27" t="n">
        <f aca="false">IF(F460="",0,F460)*R460/100</f>
        <v>12108000</v>
      </c>
      <c r="T460" s="7" t="n">
        <f aca="false">Inputs!$B$4-J460</f>
        <v>21</v>
      </c>
      <c r="U460" s="7" t="n">
        <f aca="false">IF(OR(F460="",F460=0),1,0)</f>
        <v>0</v>
      </c>
      <c r="V460" s="7" t="n">
        <f aca="false">IF(K460="",1,0)</f>
        <v>0</v>
      </c>
      <c r="W460" s="7" t="n">
        <f aca="false">IF(AND(O460=1,K460&lt;&gt;"",COUNTIFS(Owners!$A$5:$A$32,K460,Owners!$E$5:$E$32,"No")&gt;0),1,0)</f>
        <v>0</v>
      </c>
      <c r="X460" s="7" t="n">
        <f aca="false">IF(AND(O460=1,I460&lt;Inputs!$B$4),1,0)</f>
        <v>0</v>
      </c>
      <c r="Y460" s="7" t="n">
        <f aca="false">IF(AND(O460=1,T460&gt;Inputs!$B$5),1,0)</f>
        <v>0</v>
      </c>
      <c r="Z460" s="7" t="n">
        <f aca="false">IF(AND(O460=1,G460&lt;&gt;R460),1,0)</f>
        <v>0</v>
      </c>
      <c r="AA460" s="7" t="n">
        <f aca="false">IF(AND(O460=1,M460=""),1,0)</f>
        <v>0</v>
      </c>
      <c r="AB460" s="7" t="n">
        <f aca="false">IF(AND(E460="Closed Lost",N460=""),1,0)</f>
        <v>0</v>
      </c>
      <c r="AC460" s="7" t="n">
        <f aca="false">SUM(U460:AB460)</f>
        <v>0</v>
      </c>
      <c r="AD460" s="7" t="n">
        <f aca="false">IF(AC460=0,1,0)</f>
        <v>1</v>
      </c>
      <c r="AE460" s="7" t="n">
        <f aca="false">IF(AND(O460=1,I460&gt;=Inputs!$B$6,I460&lt;=Inputs!$B$7),1,0)</f>
        <v>1</v>
      </c>
      <c r="AF460" s="7" t="n">
        <f aca="false">IF(AND(E460="Closed Won",I460&gt;=Inputs!$B$6,I460&lt;=Inputs!$B$4),1,0)</f>
        <v>0</v>
      </c>
      <c r="AG460" s="7" t="n">
        <f aca="false">IF(AND(O460=0,I460&gt;Inputs!$B$4-Inputs!$B$8,I460&lt;=Inputs!$B$4),1,0)</f>
        <v>0</v>
      </c>
      <c r="AH460" s="7" t="n">
        <f aca="false">I460-H460</f>
        <v>277</v>
      </c>
    </row>
    <row r="461" customFormat="false" ht="15" hidden="false" customHeight="false" outlineLevel="0" collapsed="false">
      <c r="A461" s="16" t="s">
        <v>1614</v>
      </c>
      <c r="B461" s="16" t="s">
        <v>71</v>
      </c>
      <c r="C461" s="16" t="s">
        <v>1615</v>
      </c>
      <c r="D461" s="16" t="s">
        <v>167</v>
      </c>
      <c r="E461" s="16" t="s">
        <v>531</v>
      </c>
      <c r="F461" s="26" t="n">
        <v>2714000</v>
      </c>
      <c r="G461" s="25" t="n">
        <v>0</v>
      </c>
      <c r="H461" s="22" t="n">
        <v>45965</v>
      </c>
      <c r="I461" s="22" t="n">
        <v>46044</v>
      </c>
      <c r="J461" s="22" t="n">
        <v>46044</v>
      </c>
      <c r="K461" s="16" t="s">
        <v>588</v>
      </c>
      <c r="L461" s="16" t="s">
        <v>500</v>
      </c>
      <c r="M461" s="16"/>
      <c r="N461" s="16"/>
      <c r="O461" s="7" t="n">
        <f aca="false">IF(OR(E461="Closed Won",E461="Closed Lost"),0,1)</f>
        <v>0</v>
      </c>
      <c r="P461" s="17" t="str">
        <f aca="false">INDEX(Accounts!$K$5:$K$336,MATCH(B461,Accounts!$A$5:$A$336,0))</f>
        <v>Energy &amp; Resources</v>
      </c>
      <c r="Q461" s="17" t="str">
        <f aca="false">INDEX(Accounts!$D$5:$D$336,MATCH(B461,Accounts!$A$5:$A$336,0))</f>
        <v>Priority</v>
      </c>
      <c r="R461" s="7" t="n">
        <f aca="false">INDEX(Inputs!$B$11:$B$16,MATCH(E461,Inputs!$A$11:$A$16,0))</f>
        <v>0</v>
      </c>
      <c r="S461" s="27" t="n">
        <f aca="false">IF(F461="",0,F461)*R461/100</f>
        <v>0</v>
      </c>
      <c r="T461" s="7" t="n">
        <f aca="false">Inputs!$B$4-J461</f>
        <v>270</v>
      </c>
      <c r="U461" s="7" t="n">
        <f aca="false">IF(OR(F461="",F461=0),1,0)</f>
        <v>0</v>
      </c>
      <c r="V461" s="7" t="n">
        <f aca="false">IF(K461="",1,0)</f>
        <v>0</v>
      </c>
      <c r="W461" s="7" t="n">
        <f aca="false">IF(AND(O461=1,K461&lt;&gt;"",COUNTIFS(Owners!$A$5:$A$32,K461,Owners!$E$5:$E$32,"No")&gt;0),1,0)</f>
        <v>0</v>
      </c>
      <c r="X461" s="7" t="n">
        <f aca="false">IF(AND(O461=1,I461&lt;Inputs!$B$4),1,0)</f>
        <v>0</v>
      </c>
      <c r="Y461" s="7" t="n">
        <f aca="false">IF(AND(O461=1,T461&gt;Inputs!$B$5),1,0)</f>
        <v>0</v>
      </c>
      <c r="Z461" s="7" t="n">
        <f aca="false">IF(AND(O461=1,G461&lt;&gt;R461),1,0)</f>
        <v>0</v>
      </c>
      <c r="AA461" s="7" t="n">
        <f aca="false">IF(AND(O461=1,M461=""),1,0)</f>
        <v>0</v>
      </c>
      <c r="AB461" s="7" t="n">
        <f aca="false">IF(AND(E461="Closed Lost",N461=""),1,0)</f>
        <v>1</v>
      </c>
      <c r="AC461" s="7" t="n">
        <f aca="false">SUM(U461:AB461)</f>
        <v>1</v>
      </c>
      <c r="AD461" s="7" t="n">
        <f aca="false">IF(AC461=0,1,0)</f>
        <v>0</v>
      </c>
      <c r="AE461" s="7" t="n">
        <f aca="false">IF(AND(O461=1,I461&gt;=Inputs!$B$6,I461&lt;=Inputs!$B$7),1,0)</f>
        <v>0</v>
      </c>
      <c r="AF461" s="7" t="n">
        <f aca="false">IF(AND(E461="Closed Won",I461&gt;=Inputs!$B$6,I461&lt;=Inputs!$B$4),1,0)</f>
        <v>0</v>
      </c>
      <c r="AG461" s="7" t="n">
        <f aca="false">IF(AND(O461=0,I461&gt;Inputs!$B$4-Inputs!$B$8,I461&lt;=Inputs!$B$4),1,0)</f>
        <v>1</v>
      </c>
      <c r="AH461" s="7" t="n">
        <f aca="false">I461-H461</f>
        <v>79</v>
      </c>
    </row>
    <row r="462" customFormat="false" ht="15" hidden="false" customHeight="false" outlineLevel="0" collapsed="false">
      <c r="A462" s="16" t="s">
        <v>1616</v>
      </c>
      <c r="B462" s="16" t="s">
        <v>71</v>
      </c>
      <c r="C462" s="16" t="s">
        <v>1617</v>
      </c>
      <c r="D462" s="16" t="s">
        <v>165</v>
      </c>
      <c r="E462" s="16" t="s">
        <v>530</v>
      </c>
      <c r="F462" s="26" t="n">
        <v>13193000</v>
      </c>
      <c r="G462" s="25" t="n">
        <v>100</v>
      </c>
      <c r="H462" s="22" t="n">
        <v>46055</v>
      </c>
      <c r="I462" s="22" t="n">
        <v>46264</v>
      </c>
      <c r="J462" s="22" t="n">
        <v>46264</v>
      </c>
      <c r="K462" s="16" t="s">
        <v>651</v>
      </c>
      <c r="L462" s="16" t="s">
        <v>609</v>
      </c>
      <c r="M462" s="16"/>
      <c r="N462" s="16"/>
      <c r="O462" s="7" t="n">
        <f aca="false">IF(OR(E462="Closed Won",E462="Closed Lost"),0,1)</f>
        <v>0</v>
      </c>
      <c r="P462" s="17" t="str">
        <f aca="false">INDEX(Accounts!$K$5:$K$336,MATCH(B462,Accounts!$A$5:$A$336,0))</f>
        <v>Energy &amp; Resources</v>
      </c>
      <c r="Q462" s="17" t="str">
        <f aca="false">INDEX(Accounts!$D$5:$D$336,MATCH(B462,Accounts!$A$5:$A$336,0))</f>
        <v>Priority</v>
      </c>
      <c r="R462" s="7" t="n">
        <f aca="false">INDEX(Inputs!$B$11:$B$16,MATCH(E462,Inputs!$A$11:$A$16,0))</f>
        <v>100</v>
      </c>
      <c r="S462" s="27" t="n">
        <f aca="false">IF(F462="",0,F462)*R462/100</f>
        <v>13193000</v>
      </c>
      <c r="T462" s="7" t="n">
        <f aca="false">Inputs!$B$4-J462</f>
        <v>50</v>
      </c>
      <c r="U462" s="7" t="n">
        <f aca="false">IF(OR(F462="",F462=0),1,0)</f>
        <v>0</v>
      </c>
      <c r="V462" s="7" t="n">
        <f aca="false">IF(K462="",1,0)</f>
        <v>0</v>
      </c>
      <c r="W462" s="7" t="n">
        <f aca="false">IF(AND(O462=1,K462&lt;&gt;"",COUNTIFS(Owners!$A$5:$A$32,K462,Owners!$E$5:$E$32,"No")&gt;0),1,0)</f>
        <v>0</v>
      </c>
      <c r="X462" s="7" t="n">
        <f aca="false">IF(AND(O462=1,I462&lt;Inputs!$B$4),1,0)</f>
        <v>0</v>
      </c>
      <c r="Y462" s="7" t="n">
        <f aca="false">IF(AND(O462=1,T462&gt;Inputs!$B$5),1,0)</f>
        <v>0</v>
      </c>
      <c r="Z462" s="7" t="n">
        <f aca="false">IF(AND(O462=1,G462&lt;&gt;R462),1,0)</f>
        <v>0</v>
      </c>
      <c r="AA462" s="7" t="n">
        <f aca="false">IF(AND(O462=1,M462=""),1,0)</f>
        <v>0</v>
      </c>
      <c r="AB462" s="7" t="n">
        <f aca="false">IF(AND(E462="Closed Lost",N462=""),1,0)</f>
        <v>0</v>
      </c>
      <c r="AC462" s="7" t="n">
        <f aca="false">SUM(U462:AB462)</f>
        <v>0</v>
      </c>
      <c r="AD462" s="7" t="n">
        <f aca="false">IF(AC462=0,1,0)</f>
        <v>1</v>
      </c>
      <c r="AE462" s="7" t="n">
        <f aca="false">IF(AND(O462=1,I462&gt;=Inputs!$B$6,I462&lt;=Inputs!$B$7),1,0)</f>
        <v>0</v>
      </c>
      <c r="AF462" s="7" t="n">
        <f aca="false">IF(AND(E462="Closed Won",I462&gt;=Inputs!$B$6,I462&lt;=Inputs!$B$4),1,0)</f>
        <v>1</v>
      </c>
      <c r="AG462" s="7" t="n">
        <f aca="false">IF(AND(O462=0,I462&gt;Inputs!$B$4-Inputs!$B$8,I462&lt;=Inputs!$B$4),1,0)</f>
        <v>1</v>
      </c>
      <c r="AH462" s="7" t="n">
        <f aca="false">I462-H462</f>
        <v>209</v>
      </c>
    </row>
    <row r="463" customFormat="false" ht="15" hidden="false" customHeight="false" outlineLevel="0" collapsed="false">
      <c r="A463" s="16" t="s">
        <v>1618</v>
      </c>
      <c r="B463" s="16" t="s">
        <v>311</v>
      </c>
      <c r="C463" s="16" t="s">
        <v>1619</v>
      </c>
      <c r="D463" s="16" t="s">
        <v>158</v>
      </c>
      <c r="E463" s="16" t="s">
        <v>529</v>
      </c>
      <c r="F463" s="26" t="n">
        <v>20054000</v>
      </c>
      <c r="G463" s="25" t="n">
        <v>75</v>
      </c>
      <c r="H463" s="22" t="n">
        <v>46229</v>
      </c>
      <c r="I463" s="22" t="n">
        <v>46437</v>
      </c>
      <c r="J463" s="22" t="n">
        <v>46299</v>
      </c>
      <c r="K463" s="16" t="s">
        <v>604</v>
      </c>
      <c r="L463" s="16" t="s">
        <v>584</v>
      </c>
      <c r="M463" s="16" t="s">
        <v>575</v>
      </c>
      <c r="N463" s="16"/>
      <c r="O463" s="7" t="n">
        <f aca="false">IF(OR(E463="Closed Won",E463="Closed Lost"),0,1)</f>
        <v>1</v>
      </c>
      <c r="P463" s="17" t="str">
        <f aca="false">INDEX(Accounts!$K$5:$K$336,MATCH(B463,Accounts!$A$5:$A$336,0))</f>
        <v>Consumer &amp; Retail</v>
      </c>
      <c r="Q463" s="17" t="str">
        <f aca="false">INDEX(Accounts!$D$5:$D$336,MATCH(B463,Accounts!$A$5:$A$336,0))</f>
        <v>Standard</v>
      </c>
      <c r="R463" s="7" t="n">
        <f aca="false">INDEX(Inputs!$B$11:$B$16,MATCH(E463,Inputs!$A$11:$A$16,0))</f>
        <v>75</v>
      </c>
      <c r="S463" s="27" t="n">
        <f aca="false">IF(F463="",0,F463)*R463/100</f>
        <v>15040500</v>
      </c>
      <c r="T463" s="7" t="n">
        <f aca="false">Inputs!$B$4-J463</f>
        <v>15</v>
      </c>
      <c r="U463" s="7" t="n">
        <f aca="false">IF(OR(F463="",F463=0),1,0)</f>
        <v>0</v>
      </c>
      <c r="V463" s="7" t="n">
        <f aca="false">IF(K463="",1,0)</f>
        <v>0</v>
      </c>
      <c r="W463" s="7" t="n">
        <f aca="false">IF(AND(O463=1,K463&lt;&gt;"",COUNTIFS(Owners!$A$5:$A$32,K463,Owners!$E$5:$E$32,"No")&gt;0),1,0)</f>
        <v>0</v>
      </c>
      <c r="X463" s="7" t="n">
        <f aca="false">IF(AND(O463=1,I463&lt;Inputs!$B$4),1,0)</f>
        <v>0</v>
      </c>
      <c r="Y463" s="7" t="n">
        <f aca="false">IF(AND(O463=1,T463&gt;Inputs!$B$5),1,0)</f>
        <v>0</v>
      </c>
      <c r="Z463" s="7" t="n">
        <f aca="false">IF(AND(O463=1,G463&lt;&gt;R463),1,0)</f>
        <v>0</v>
      </c>
      <c r="AA463" s="7" t="n">
        <f aca="false">IF(AND(O463=1,M463=""),1,0)</f>
        <v>0</v>
      </c>
      <c r="AB463" s="7" t="n">
        <f aca="false">IF(AND(E463="Closed Lost",N463=""),1,0)</f>
        <v>0</v>
      </c>
      <c r="AC463" s="7" t="n">
        <f aca="false">SUM(U463:AB463)</f>
        <v>0</v>
      </c>
      <c r="AD463" s="7" t="n">
        <f aca="false">IF(AC463=0,1,0)</f>
        <v>1</v>
      </c>
      <c r="AE463" s="7" t="n">
        <f aca="false">IF(AND(O463=1,I463&gt;=Inputs!$B$6,I463&lt;=Inputs!$B$7),1,0)</f>
        <v>1</v>
      </c>
      <c r="AF463" s="7" t="n">
        <f aca="false">IF(AND(E463="Closed Won",I463&gt;=Inputs!$B$6,I463&lt;=Inputs!$B$4),1,0)</f>
        <v>0</v>
      </c>
      <c r="AG463" s="7" t="n">
        <f aca="false">IF(AND(O463=0,I463&gt;Inputs!$B$4-Inputs!$B$8,I463&lt;=Inputs!$B$4),1,0)</f>
        <v>0</v>
      </c>
      <c r="AH463" s="7" t="n">
        <f aca="false">I463-H463</f>
        <v>208</v>
      </c>
    </row>
    <row r="464" customFormat="false" ht="15" hidden="false" customHeight="false" outlineLevel="0" collapsed="false">
      <c r="A464" s="16" t="s">
        <v>1620</v>
      </c>
      <c r="B464" s="16" t="s">
        <v>1144</v>
      </c>
      <c r="C464" s="16" t="s">
        <v>1621</v>
      </c>
      <c r="D464" s="16" t="s">
        <v>167</v>
      </c>
      <c r="E464" s="16" t="s">
        <v>526</v>
      </c>
      <c r="F464" s="26" t="n">
        <v>4304000</v>
      </c>
      <c r="G464" s="25" t="n">
        <v>10</v>
      </c>
      <c r="H464" s="22" t="n">
        <v>46232</v>
      </c>
      <c r="I464" s="22" t="n">
        <v>46550</v>
      </c>
      <c r="J464" s="22" t="n">
        <v>46274</v>
      </c>
      <c r="K464" s="16" t="s">
        <v>729</v>
      </c>
      <c r="L464" s="16" t="s">
        <v>574</v>
      </c>
      <c r="M464" s="16" t="s">
        <v>601</v>
      </c>
      <c r="N464" s="16"/>
      <c r="O464" s="7" t="n">
        <f aca="false">IF(OR(E464="Closed Won",E464="Closed Lost"),0,1)</f>
        <v>1</v>
      </c>
      <c r="P464" s="17" t="str">
        <f aca="false">INDEX(Accounts!$K$5:$K$336,MATCH(B464,Accounts!$A$5:$A$336,0))</f>
        <v>Financial Services</v>
      </c>
      <c r="Q464" s="17" t="str">
        <f aca="false">INDEX(Accounts!$D$5:$D$336,MATCH(B464,Accounts!$A$5:$A$336,0))</f>
        <v>Standard</v>
      </c>
      <c r="R464" s="7" t="n">
        <f aca="false">INDEX(Inputs!$B$11:$B$16,MATCH(E464,Inputs!$A$11:$A$16,0))</f>
        <v>10</v>
      </c>
      <c r="S464" s="27" t="n">
        <f aca="false">IF(F464="",0,F464)*R464/100</f>
        <v>430400</v>
      </c>
      <c r="T464" s="7" t="n">
        <f aca="false">Inputs!$B$4-J464</f>
        <v>40</v>
      </c>
      <c r="U464" s="7" t="n">
        <f aca="false">IF(OR(F464="",F464=0),1,0)</f>
        <v>0</v>
      </c>
      <c r="V464" s="7" t="n">
        <f aca="false">IF(K464="",1,0)</f>
        <v>0</v>
      </c>
      <c r="W464" s="7" t="n">
        <f aca="false">IF(AND(O464=1,K464&lt;&gt;"",COUNTIFS(Owners!$A$5:$A$32,K464,Owners!$E$5:$E$32,"No")&gt;0),1,0)</f>
        <v>0</v>
      </c>
      <c r="X464" s="7" t="n">
        <f aca="false">IF(AND(O464=1,I464&lt;Inputs!$B$4),1,0)</f>
        <v>0</v>
      </c>
      <c r="Y464" s="7" t="n">
        <f aca="false">IF(AND(O464=1,T464&gt;Inputs!$B$5),1,0)</f>
        <v>0</v>
      </c>
      <c r="Z464" s="7" t="n">
        <f aca="false">IF(AND(O464=1,G464&lt;&gt;R464),1,0)</f>
        <v>0</v>
      </c>
      <c r="AA464" s="7" t="n">
        <f aca="false">IF(AND(O464=1,M464=""),1,0)</f>
        <v>0</v>
      </c>
      <c r="AB464" s="7" t="n">
        <f aca="false">IF(AND(E464="Closed Lost",N464=""),1,0)</f>
        <v>0</v>
      </c>
      <c r="AC464" s="7" t="n">
        <f aca="false">SUM(U464:AB464)</f>
        <v>0</v>
      </c>
      <c r="AD464" s="7" t="n">
        <f aca="false">IF(AC464=0,1,0)</f>
        <v>1</v>
      </c>
      <c r="AE464" s="7" t="n">
        <f aca="false">IF(AND(O464=1,I464&gt;=Inputs!$B$6,I464&lt;=Inputs!$B$7),1,0)</f>
        <v>1</v>
      </c>
      <c r="AF464" s="7" t="n">
        <f aca="false">IF(AND(E464="Closed Won",I464&gt;=Inputs!$B$6,I464&lt;=Inputs!$B$4),1,0)</f>
        <v>0</v>
      </c>
      <c r="AG464" s="7" t="n">
        <f aca="false">IF(AND(O464=0,I464&gt;Inputs!$B$4-Inputs!$B$8,I464&lt;=Inputs!$B$4),1,0)</f>
        <v>0</v>
      </c>
      <c r="AH464" s="7" t="n">
        <f aca="false">I464-H464</f>
        <v>318</v>
      </c>
    </row>
    <row r="465" customFormat="false" ht="15" hidden="false" customHeight="false" outlineLevel="0" collapsed="false">
      <c r="A465" s="16" t="s">
        <v>1622</v>
      </c>
      <c r="B465" s="16" t="s">
        <v>444</v>
      </c>
      <c r="C465" s="16" t="s">
        <v>1623</v>
      </c>
      <c r="D465" s="16" t="s">
        <v>165</v>
      </c>
      <c r="E465" s="16" t="s">
        <v>531</v>
      </c>
      <c r="F465" s="26" t="n">
        <v>39598000</v>
      </c>
      <c r="G465" s="25" t="n">
        <v>0</v>
      </c>
      <c r="H465" s="22" t="n">
        <v>45992</v>
      </c>
      <c r="I465" s="22" t="n">
        <v>46261</v>
      </c>
      <c r="J465" s="22" t="n">
        <v>46261</v>
      </c>
      <c r="K465" s="16" t="s">
        <v>622</v>
      </c>
      <c r="L465" s="16" t="s">
        <v>584</v>
      </c>
      <c r="M465" s="16"/>
      <c r="N465" s="16" t="s">
        <v>579</v>
      </c>
      <c r="O465" s="7" t="n">
        <f aca="false">IF(OR(E465="Closed Won",E465="Closed Lost"),0,1)</f>
        <v>0</v>
      </c>
      <c r="P465" s="17" t="str">
        <f aca="false">INDEX(Accounts!$K$5:$K$336,MATCH(B465,Accounts!$A$5:$A$336,0))</f>
        <v>Public Sector &amp; Development</v>
      </c>
      <c r="Q465" s="17" t="str">
        <f aca="false">INDEX(Accounts!$D$5:$D$336,MATCH(B465,Accounts!$A$5:$A$336,0))</f>
        <v>Standard</v>
      </c>
      <c r="R465" s="7" t="n">
        <f aca="false">INDEX(Inputs!$B$11:$B$16,MATCH(E465,Inputs!$A$11:$A$16,0))</f>
        <v>0</v>
      </c>
      <c r="S465" s="27" t="n">
        <f aca="false">IF(F465="",0,F465)*R465/100</f>
        <v>0</v>
      </c>
      <c r="T465" s="7" t="n">
        <f aca="false">Inputs!$B$4-J465</f>
        <v>53</v>
      </c>
      <c r="U465" s="7" t="n">
        <f aca="false">IF(OR(F465="",F465=0),1,0)</f>
        <v>0</v>
      </c>
      <c r="V465" s="7" t="n">
        <f aca="false">IF(K465="",1,0)</f>
        <v>0</v>
      </c>
      <c r="W465" s="7" t="n">
        <f aca="false">IF(AND(O465=1,K465&lt;&gt;"",COUNTIFS(Owners!$A$5:$A$32,K465,Owners!$E$5:$E$32,"No")&gt;0),1,0)</f>
        <v>0</v>
      </c>
      <c r="X465" s="7" t="n">
        <f aca="false">IF(AND(O465=1,I465&lt;Inputs!$B$4),1,0)</f>
        <v>0</v>
      </c>
      <c r="Y465" s="7" t="n">
        <f aca="false">IF(AND(O465=1,T465&gt;Inputs!$B$5),1,0)</f>
        <v>0</v>
      </c>
      <c r="Z465" s="7" t="n">
        <f aca="false">IF(AND(O465=1,G465&lt;&gt;R465),1,0)</f>
        <v>0</v>
      </c>
      <c r="AA465" s="7" t="n">
        <f aca="false">IF(AND(O465=1,M465=""),1,0)</f>
        <v>0</v>
      </c>
      <c r="AB465" s="7" t="n">
        <f aca="false">IF(AND(E465="Closed Lost",N465=""),1,0)</f>
        <v>0</v>
      </c>
      <c r="AC465" s="7" t="n">
        <f aca="false">SUM(U465:AB465)</f>
        <v>0</v>
      </c>
      <c r="AD465" s="7" t="n">
        <f aca="false">IF(AC465=0,1,0)</f>
        <v>1</v>
      </c>
      <c r="AE465" s="7" t="n">
        <f aca="false">IF(AND(O465=1,I465&gt;=Inputs!$B$6,I465&lt;=Inputs!$B$7),1,0)</f>
        <v>0</v>
      </c>
      <c r="AF465" s="7" t="n">
        <f aca="false">IF(AND(E465="Closed Won",I465&gt;=Inputs!$B$6,I465&lt;=Inputs!$B$4),1,0)</f>
        <v>0</v>
      </c>
      <c r="AG465" s="7" t="n">
        <f aca="false">IF(AND(O465=0,I465&gt;Inputs!$B$4-Inputs!$B$8,I465&lt;=Inputs!$B$4),1,0)</f>
        <v>1</v>
      </c>
      <c r="AH465" s="7" t="n">
        <f aca="false">I465-H465</f>
        <v>269</v>
      </c>
    </row>
    <row r="466" customFormat="false" ht="15" hidden="false" customHeight="false" outlineLevel="0" collapsed="false">
      <c r="A466" s="16" t="s">
        <v>1624</v>
      </c>
      <c r="B466" s="16" t="s">
        <v>571</v>
      </c>
      <c r="C466" s="16" t="s">
        <v>1625</v>
      </c>
      <c r="D466" s="16" t="s">
        <v>162</v>
      </c>
      <c r="E466" s="16" t="s">
        <v>529</v>
      </c>
      <c r="F466" s="26" t="n">
        <v>7398000</v>
      </c>
      <c r="G466" s="25" t="n">
        <v>75</v>
      </c>
      <c r="H466" s="22" t="n">
        <v>46083</v>
      </c>
      <c r="I466" s="22" t="n">
        <v>46381</v>
      </c>
      <c r="J466" s="22" t="n">
        <v>46277</v>
      </c>
      <c r="K466" s="16" t="s">
        <v>573</v>
      </c>
      <c r="L466" s="16" t="s">
        <v>568</v>
      </c>
      <c r="M466" s="16" t="s">
        <v>569</v>
      </c>
      <c r="N466" s="16"/>
      <c r="O466" s="7" t="n">
        <f aca="false">IF(OR(E466="Closed Won",E466="Closed Lost"),0,1)</f>
        <v>1</v>
      </c>
      <c r="P466" s="17" t="str">
        <f aca="false">INDEX(Accounts!$K$5:$K$336,MATCH(B466,Accounts!$A$5:$A$336,0))</f>
        <v>Financial Services</v>
      </c>
      <c r="Q466" s="17" t="str">
        <f aca="false">INDEX(Accounts!$D$5:$D$336,MATCH(B466,Accounts!$A$5:$A$336,0))</f>
        <v>Key</v>
      </c>
      <c r="R466" s="7" t="n">
        <f aca="false">INDEX(Inputs!$B$11:$B$16,MATCH(E466,Inputs!$A$11:$A$16,0))</f>
        <v>75</v>
      </c>
      <c r="S466" s="27" t="n">
        <f aca="false">IF(F466="",0,F466)*R466/100</f>
        <v>5548500</v>
      </c>
      <c r="T466" s="7" t="n">
        <f aca="false">Inputs!$B$4-J466</f>
        <v>37</v>
      </c>
      <c r="U466" s="7" t="n">
        <f aca="false">IF(OR(F466="",F466=0),1,0)</f>
        <v>0</v>
      </c>
      <c r="V466" s="7" t="n">
        <f aca="false">IF(K466="",1,0)</f>
        <v>0</v>
      </c>
      <c r="W466" s="7" t="n">
        <f aca="false">IF(AND(O466=1,K466&lt;&gt;"",COUNTIFS(Owners!$A$5:$A$32,K466,Owners!$E$5:$E$32,"No")&gt;0),1,0)</f>
        <v>0</v>
      </c>
      <c r="X466" s="7" t="n">
        <f aca="false">IF(AND(O466=1,I466&lt;Inputs!$B$4),1,0)</f>
        <v>0</v>
      </c>
      <c r="Y466" s="7" t="n">
        <f aca="false">IF(AND(O466=1,T466&gt;Inputs!$B$5),1,0)</f>
        <v>0</v>
      </c>
      <c r="Z466" s="7" t="n">
        <f aca="false">IF(AND(O466=1,G466&lt;&gt;R466),1,0)</f>
        <v>0</v>
      </c>
      <c r="AA466" s="7" t="n">
        <f aca="false">IF(AND(O466=1,M466=""),1,0)</f>
        <v>0</v>
      </c>
      <c r="AB466" s="7" t="n">
        <f aca="false">IF(AND(E466="Closed Lost",N466=""),1,0)</f>
        <v>0</v>
      </c>
      <c r="AC466" s="7" t="n">
        <f aca="false">SUM(U466:AB466)</f>
        <v>0</v>
      </c>
      <c r="AD466" s="7" t="n">
        <f aca="false">IF(AC466=0,1,0)</f>
        <v>1</v>
      </c>
      <c r="AE466" s="7" t="n">
        <f aca="false">IF(AND(O466=1,I466&gt;=Inputs!$B$6,I466&lt;=Inputs!$B$7),1,0)</f>
        <v>1</v>
      </c>
      <c r="AF466" s="7" t="n">
        <f aca="false">IF(AND(E466="Closed Won",I466&gt;=Inputs!$B$6,I466&lt;=Inputs!$B$4),1,0)</f>
        <v>0</v>
      </c>
      <c r="AG466" s="7" t="n">
        <f aca="false">IF(AND(O466=0,I466&gt;Inputs!$B$4-Inputs!$B$8,I466&lt;=Inputs!$B$4),1,0)</f>
        <v>0</v>
      </c>
      <c r="AH466" s="7" t="n">
        <f aca="false">I466-H466</f>
        <v>298</v>
      </c>
    </row>
    <row r="467" customFormat="false" ht="15" hidden="false" customHeight="false" outlineLevel="0" collapsed="false">
      <c r="A467" s="16" t="s">
        <v>1626</v>
      </c>
      <c r="B467" s="16" t="s">
        <v>64</v>
      </c>
      <c r="C467" s="16" t="s">
        <v>1627</v>
      </c>
      <c r="D467" s="16" t="s">
        <v>162</v>
      </c>
      <c r="E467" s="16" t="s">
        <v>528</v>
      </c>
      <c r="F467" s="26" t="n">
        <v>6307000</v>
      </c>
      <c r="G467" s="25" t="n">
        <v>50</v>
      </c>
      <c r="H467" s="22" t="n">
        <v>46244</v>
      </c>
      <c r="I467" s="22" t="n">
        <v>46493</v>
      </c>
      <c r="J467" s="22" t="n">
        <v>46295</v>
      </c>
      <c r="K467" s="16" t="s">
        <v>691</v>
      </c>
      <c r="L467" s="16" t="s">
        <v>574</v>
      </c>
      <c r="M467" s="16" t="s">
        <v>569</v>
      </c>
      <c r="N467" s="16"/>
      <c r="O467" s="7" t="n">
        <f aca="false">IF(OR(E467="Closed Won",E467="Closed Lost"),0,1)</f>
        <v>1</v>
      </c>
      <c r="P467" s="17" t="str">
        <f aca="false">INDEX(Accounts!$K$5:$K$336,MATCH(B467,Accounts!$A$5:$A$336,0))</f>
        <v>Financial Services</v>
      </c>
      <c r="Q467" s="17" t="str">
        <f aca="false">INDEX(Accounts!$D$5:$D$336,MATCH(B467,Accounts!$A$5:$A$336,0))</f>
        <v>Priority</v>
      </c>
      <c r="R467" s="7" t="n">
        <f aca="false">INDEX(Inputs!$B$11:$B$16,MATCH(E467,Inputs!$A$11:$A$16,0))</f>
        <v>50</v>
      </c>
      <c r="S467" s="27" t="n">
        <f aca="false">IF(F467="",0,F467)*R467/100</f>
        <v>3153500</v>
      </c>
      <c r="T467" s="7" t="n">
        <f aca="false">Inputs!$B$4-J467</f>
        <v>19</v>
      </c>
      <c r="U467" s="7" t="n">
        <f aca="false">IF(OR(F467="",F467=0),1,0)</f>
        <v>0</v>
      </c>
      <c r="V467" s="7" t="n">
        <f aca="false">IF(K467="",1,0)</f>
        <v>0</v>
      </c>
      <c r="W467" s="7" t="n">
        <f aca="false">IF(AND(O467=1,K467&lt;&gt;"",COUNTIFS(Owners!$A$5:$A$32,K467,Owners!$E$5:$E$32,"No")&gt;0),1,0)</f>
        <v>0</v>
      </c>
      <c r="X467" s="7" t="n">
        <f aca="false">IF(AND(O467=1,I467&lt;Inputs!$B$4),1,0)</f>
        <v>0</v>
      </c>
      <c r="Y467" s="7" t="n">
        <f aca="false">IF(AND(O467=1,T467&gt;Inputs!$B$5),1,0)</f>
        <v>0</v>
      </c>
      <c r="Z467" s="7" t="n">
        <f aca="false">IF(AND(O467=1,G467&lt;&gt;R467),1,0)</f>
        <v>0</v>
      </c>
      <c r="AA467" s="7" t="n">
        <f aca="false">IF(AND(O467=1,M467=""),1,0)</f>
        <v>0</v>
      </c>
      <c r="AB467" s="7" t="n">
        <f aca="false">IF(AND(E467="Closed Lost",N467=""),1,0)</f>
        <v>0</v>
      </c>
      <c r="AC467" s="7" t="n">
        <f aca="false">SUM(U467:AB467)</f>
        <v>0</v>
      </c>
      <c r="AD467" s="7" t="n">
        <f aca="false">IF(AC467=0,1,0)</f>
        <v>1</v>
      </c>
      <c r="AE467" s="7" t="n">
        <f aca="false">IF(AND(O467=1,I467&gt;=Inputs!$B$6,I467&lt;=Inputs!$B$7),1,0)</f>
        <v>1</v>
      </c>
      <c r="AF467" s="7" t="n">
        <f aca="false">IF(AND(E467="Closed Won",I467&gt;=Inputs!$B$6,I467&lt;=Inputs!$B$4),1,0)</f>
        <v>0</v>
      </c>
      <c r="AG467" s="7" t="n">
        <f aca="false">IF(AND(O467=0,I467&gt;Inputs!$B$4-Inputs!$B$8,I467&lt;=Inputs!$B$4),1,0)</f>
        <v>0</v>
      </c>
      <c r="AH467" s="7" t="n">
        <f aca="false">I467-H467</f>
        <v>249</v>
      </c>
    </row>
    <row r="468" customFormat="false" ht="15" hidden="false" customHeight="false" outlineLevel="0" collapsed="false">
      <c r="A468" s="16" t="s">
        <v>1628</v>
      </c>
      <c r="B468" s="16" t="s">
        <v>1629</v>
      </c>
      <c r="C468" s="16" t="s">
        <v>1630</v>
      </c>
      <c r="D468" s="16" t="s">
        <v>162</v>
      </c>
      <c r="E468" s="16" t="s">
        <v>526</v>
      </c>
      <c r="F468" s="26" t="n">
        <v>6389000</v>
      </c>
      <c r="G468" s="25" t="n">
        <v>10</v>
      </c>
      <c r="H468" s="22" t="n">
        <v>46278</v>
      </c>
      <c r="I468" s="22" t="n">
        <v>46386</v>
      </c>
      <c r="J468" s="22" t="n">
        <v>46275</v>
      </c>
      <c r="K468" s="16" t="s">
        <v>677</v>
      </c>
      <c r="L468" s="16" t="s">
        <v>584</v>
      </c>
      <c r="M468" s="16" t="s">
        <v>569</v>
      </c>
      <c r="N468" s="16"/>
      <c r="O468" s="7" t="n">
        <f aca="false">IF(OR(E468="Closed Won",E468="Closed Lost"),0,1)</f>
        <v>1</v>
      </c>
      <c r="P468" s="17" t="str">
        <f aca="false">INDEX(Accounts!$K$5:$K$336,MATCH(B468,Accounts!$A$5:$A$336,0))</f>
        <v>Financial Services</v>
      </c>
      <c r="Q468" s="17" t="str">
        <f aca="false">INDEX(Accounts!$D$5:$D$336,MATCH(B468,Accounts!$A$5:$A$336,0))</f>
        <v>Standard</v>
      </c>
      <c r="R468" s="7" t="n">
        <f aca="false">INDEX(Inputs!$B$11:$B$16,MATCH(E468,Inputs!$A$11:$A$16,0))</f>
        <v>10</v>
      </c>
      <c r="S468" s="27" t="n">
        <f aca="false">IF(F468="",0,F468)*R468/100</f>
        <v>638900</v>
      </c>
      <c r="T468" s="7" t="n">
        <f aca="false">Inputs!$B$4-J468</f>
        <v>39</v>
      </c>
      <c r="U468" s="7" t="n">
        <f aca="false">IF(OR(F468="",F468=0),1,0)</f>
        <v>0</v>
      </c>
      <c r="V468" s="7" t="n">
        <f aca="false">IF(K468="",1,0)</f>
        <v>0</v>
      </c>
      <c r="W468" s="7" t="n">
        <f aca="false">IF(AND(O468=1,K468&lt;&gt;"",COUNTIFS(Owners!$A$5:$A$32,K468,Owners!$E$5:$E$32,"No")&gt;0),1,0)</f>
        <v>0</v>
      </c>
      <c r="X468" s="7" t="n">
        <f aca="false">IF(AND(O468=1,I468&lt;Inputs!$B$4),1,0)</f>
        <v>0</v>
      </c>
      <c r="Y468" s="7" t="n">
        <f aca="false">IF(AND(O468=1,T468&gt;Inputs!$B$5),1,0)</f>
        <v>0</v>
      </c>
      <c r="Z468" s="7" t="n">
        <f aca="false">IF(AND(O468=1,G468&lt;&gt;R468),1,0)</f>
        <v>0</v>
      </c>
      <c r="AA468" s="7" t="n">
        <f aca="false">IF(AND(O468=1,M468=""),1,0)</f>
        <v>0</v>
      </c>
      <c r="AB468" s="7" t="n">
        <f aca="false">IF(AND(E468="Closed Lost",N468=""),1,0)</f>
        <v>0</v>
      </c>
      <c r="AC468" s="7" t="n">
        <f aca="false">SUM(U468:AB468)</f>
        <v>0</v>
      </c>
      <c r="AD468" s="7" t="n">
        <f aca="false">IF(AC468=0,1,0)</f>
        <v>1</v>
      </c>
      <c r="AE468" s="7" t="n">
        <f aca="false">IF(AND(O468=1,I468&gt;=Inputs!$B$6,I468&lt;=Inputs!$B$7),1,0)</f>
        <v>1</v>
      </c>
      <c r="AF468" s="7" t="n">
        <f aca="false">IF(AND(E468="Closed Won",I468&gt;=Inputs!$B$6,I468&lt;=Inputs!$B$4),1,0)</f>
        <v>0</v>
      </c>
      <c r="AG468" s="7" t="n">
        <f aca="false">IF(AND(O468=0,I468&gt;Inputs!$B$4-Inputs!$B$8,I468&lt;=Inputs!$B$4),1,0)</f>
        <v>0</v>
      </c>
      <c r="AH468" s="7" t="n">
        <f aca="false">I468-H468</f>
        <v>108</v>
      </c>
    </row>
    <row r="469" customFormat="false" ht="15" hidden="false" customHeight="false" outlineLevel="0" collapsed="false">
      <c r="A469" s="16" t="s">
        <v>1631</v>
      </c>
      <c r="B469" s="16" t="s">
        <v>77</v>
      </c>
      <c r="C469" s="16" t="s">
        <v>1632</v>
      </c>
      <c r="D469" s="16" t="s">
        <v>167</v>
      </c>
      <c r="E469" s="16" t="s">
        <v>528</v>
      </c>
      <c r="F469" s="26" t="n">
        <v>3584000</v>
      </c>
      <c r="G469" s="25" t="n">
        <v>50</v>
      </c>
      <c r="H469" s="22" t="n">
        <v>46087</v>
      </c>
      <c r="I469" s="22" t="n">
        <v>46454</v>
      </c>
      <c r="J469" s="22" t="n">
        <v>46167</v>
      </c>
      <c r="K469" s="16" t="s">
        <v>633</v>
      </c>
      <c r="L469" s="16" t="s">
        <v>609</v>
      </c>
      <c r="M469" s="16" t="s">
        <v>569</v>
      </c>
      <c r="N469" s="16"/>
      <c r="O469" s="7" t="n">
        <f aca="false">IF(OR(E469="Closed Won",E469="Closed Lost"),0,1)</f>
        <v>1</v>
      </c>
      <c r="P469" s="17" t="str">
        <f aca="false">INDEX(Accounts!$K$5:$K$336,MATCH(B469,Accounts!$A$5:$A$336,0))</f>
        <v>Financial Services</v>
      </c>
      <c r="Q469" s="17" t="str">
        <f aca="false">INDEX(Accounts!$D$5:$D$336,MATCH(B469,Accounts!$A$5:$A$336,0))</f>
        <v>Priority</v>
      </c>
      <c r="R469" s="7" t="n">
        <f aca="false">INDEX(Inputs!$B$11:$B$16,MATCH(E469,Inputs!$A$11:$A$16,0))</f>
        <v>50</v>
      </c>
      <c r="S469" s="27" t="n">
        <f aca="false">IF(F469="",0,F469)*R469/100</f>
        <v>1792000</v>
      </c>
      <c r="T469" s="7" t="n">
        <f aca="false">Inputs!$B$4-J469</f>
        <v>147</v>
      </c>
      <c r="U469" s="7" t="n">
        <f aca="false">IF(OR(F469="",F469=0),1,0)</f>
        <v>0</v>
      </c>
      <c r="V469" s="7" t="n">
        <f aca="false">IF(K469="",1,0)</f>
        <v>0</v>
      </c>
      <c r="W469" s="7" t="n">
        <f aca="false">IF(AND(O469=1,K469&lt;&gt;"",COUNTIFS(Owners!$A$5:$A$32,K469,Owners!$E$5:$E$32,"No")&gt;0),1,0)</f>
        <v>0</v>
      </c>
      <c r="X469" s="7" t="n">
        <f aca="false">IF(AND(O469=1,I469&lt;Inputs!$B$4),1,0)</f>
        <v>0</v>
      </c>
      <c r="Y469" s="7" t="n">
        <f aca="false">IF(AND(O469=1,T469&gt;Inputs!$B$5),1,0)</f>
        <v>1</v>
      </c>
      <c r="Z469" s="7" t="n">
        <f aca="false">IF(AND(O469=1,G469&lt;&gt;R469),1,0)</f>
        <v>0</v>
      </c>
      <c r="AA469" s="7" t="n">
        <f aca="false">IF(AND(O469=1,M469=""),1,0)</f>
        <v>0</v>
      </c>
      <c r="AB469" s="7" t="n">
        <f aca="false">IF(AND(E469="Closed Lost",N469=""),1,0)</f>
        <v>0</v>
      </c>
      <c r="AC469" s="7" t="n">
        <f aca="false">SUM(U469:AB469)</f>
        <v>1</v>
      </c>
      <c r="AD469" s="7" t="n">
        <f aca="false">IF(AC469=0,1,0)</f>
        <v>0</v>
      </c>
      <c r="AE469" s="7" t="n">
        <f aca="false">IF(AND(O469=1,I469&gt;=Inputs!$B$6,I469&lt;=Inputs!$B$7),1,0)</f>
        <v>1</v>
      </c>
      <c r="AF469" s="7" t="n">
        <f aca="false">IF(AND(E469="Closed Won",I469&gt;=Inputs!$B$6,I469&lt;=Inputs!$B$4),1,0)</f>
        <v>0</v>
      </c>
      <c r="AG469" s="7" t="n">
        <f aca="false">IF(AND(O469=0,I469&gt;Inputs!$B$4-Inputs!$B$8,I469&lt;=Inputs!$B$4),1,0)</f>
        <v>0</v>
      </c>
      <c r="AH469" s="7" t="n">
        <f aca="false">I469-H469</f>
        <v>367</v>
      </c>
    </row>
    <row r="470" customFormat="false" ht="15" hidden="false" customHeight="false" outlineLevel="0" collapsed="false">
      <c r="A470" s="16" t="s">
        <v>1633</v>
      </c>
      <c r="B470" s="16" t="s">
        <v>244</v>
      </c>
      <c r="C470" s="16" t="s">
        <v>1634</v>
      </c>
      <c r="D470" s="16" t="s">
        <v>158</v>
      </c>
      <c r="E470" s="16" t="s">
        <v>531</v>
      </c>
      <c r="F470" s="26" t="n">
        <v>15020000</v>
      </c>
      <c r="G470" s="25" t="n">
        <v>0</v>
      </c>
      <c r="H470" s="22" t="n">
        <v>46061</v>
      </c>
      <c r="I470" s="22" t="n">
        <v>46281</v>
      </c>
      <c r="J470" s="22" t="n">
        <v>46281</v>
      </c>
      <c r="K470" s="16" t="s">
        <v>704</v>
      </c>
      <c r="L470" s="16" t="s">
        <v>609</v>
      </c>
      <c r="M470" s="16"/>
      <c r="N470" s="16" t="s">
        <v>697</v>
      </c>
      <c r="O470" s="7" t="n">
        <f aca="false">IF(OR(E470="Closed Won",E470="Closed Lost"),0,1)</f>
        <v>0</v>
      </c>
      <c r="P470" s="17" t="str">
        <f aca="false">INDEX(Accounts!$K$5:$K$336,MATCH(B470,Accounts!$A$5:$A$336,0))</f>
        <v>Financial Services</v>
      </c>
      <c r="Q470" s="17" t="str">
        <f aca="false">INDEX(Accounts!$D$5:$D$336,MATCH(B470,Accounts!$A$5:$A$336,0))</f>
        <v>Key</v>
      </c>
      <c r="R470" s="7" t="n">
        <f aca="false">INDEX(Inputs!$B$11:$B$16,MATCH(E470,Inputs!$A$11:$A$16,0))</f>
        <v>0</v>
      </c>
      <c r="S470" s="27" t="n">
        <f aca="false">IF(F470="",0,F470)*R470/100</f>
        <v>0</v>
      </c>
      <c r="T470" s="7" t="n">
        <f aca="false">Inputs!$B$4-J470</f>
        <v>33</v>
      </c>
      <c r="U470" s="7" t="n">
        <f aca="false">IF(OR(F470="",F470=0),1,0)</f>
        <v>0</v>
      </c>
      <c r="V470" s="7" t="n">
        <f aca="false">IF(K470="",1,0)</f>
        <v>0</v>
      </c>
      <c r="W470" s="7" t="n">
        <f aca="false">IF(AND(O470=1,K470&lt;&gt;"",COUNTIFS(Owners!$A$5:$A$32,K470,Owners!$E$5:$E$32,"No")&gt;0),1,0)</f>
        <v>0</v>
      </c>
      <c r="X470" s="7" t="n">
        <f aca="false">IF(AND(O470=1,I470&lt;Inputs!$B$4),1,0)</f>
        <v>0</v>
      </c>
      <c r="Y470" s="7" t="n">
        <f aca="false">IF(AND(O470=1,T470&gt;Inputs!$B$5),1,0)</f>
        <v>0</v>
      </c>
      <c r="Z470" s="7" t="n">
        <f aca="false">IF(AND(O470=1,G470&lt;&gt;R470),1,0)</f>
        <v>0</v>
      </c>
      <c r="AA470" s="7" t="n">
        <f aca="false">IF(AND(O470=1,M470=""),1,0)</f>
        <v>0</v>
      </c>
      <c r="AB470" s="7" t="n">
        <f aca="false">IF(AND(E470="Closed Lost",N470=""),1,0)</f>
        <v>0</v>
      </c>
      <c r="AC470" s="7" t="n">
        <f aca="false">SUM(U470:AB470)</f>
        <v>0</v>
      </c>
      <c r="AD470" s="7" t="n">
        <f aca="false">IF(AC470=0,1,0)</f>
        <v>1</v>
      </c>
      <c r="AE470" s="7" t="n">
        <f aca="false">IF(AND(O470=1,I470&gt;=Inputs!$B$6,I470&lt;=Inputs!$B$7),1,0)</f>
        <v>0</v>
      </c>
      <c r="AF470" s="7" t="n">
        <f aca="false">IF(AND(E470="Closed Won",I470&gt;=Inputs!$B$6,I470&lt;=Inputs!$B$4),1,0)</f>
        <v>0</v>
      </c>
      <c r="AG470" s="7" t="n">
        <f aca="false">IF(AND(O470=0,I470&gt;Inputs!$B$4-Inputs!$B$8,I470&lt;=Inputs!$B$4),1,0)</f>
        <v>1</v>
      </c>
      <c r="AH470" s="7" t="n">
        <f aca="false">I470-H470</f>
        <v>220</v>
      </c>
    </row>
    <row r="471" customFormat="false" ht="15" hidden="false" customHeight="false" outlineLevel="0" collapsed="false">
      <c r="A471" s="16" t="s">
        <v>1635</v>
      </c>
      <c r="B471" s="16" t="s">
        <v>1289</v>
      </c>
      <c r="C471" s="16" t="s">
        <v>1636</v>
      </c>
      <c r="D471" s="16" t="s">
        <v>158</v>
      </c>
      <c r="E471" s="16" t="s">
        <v>529</v>
      </c>
      <c r="F471" s="26" t="n">
        <v>10700000</v>
      </c>
      <c r="G471" s="25" t="n">
        <v>75</v>
      </c>
      <c r="H471" s="22" t="n">
        <v>46151</v>
      </c>
      <c r="I471" s="22" t="n">
        <v>46564</v>
      </c>
      <c r="J471" s="22" t="n">
        <v>46275</v>
      </c>
      <c r="K471" s="16" t="s">
        <v>880</v>
      </c>
      <c r="L471" s="16" t="s">
        <v>584</v>
      </c>
      <c r="M471" s="16" t="s">
        <v>613</v>
      </c>
      <c r="N471" s="16"/>
      <c r="O471" s="7" t="n">
        <f aca="false">IF(OR(E471="Closed Won",E471="Closed Lost"),0,1)</f>
        <v>1</v>
      </c>
      <c r="P471" s="17" t="str">
        <f aca="false">INDEX(Accounts!$K$5:$K$336,MATCH(B471,Accounts!$A$5:$A$336,0))</f>
        <v>Technology, Media &amp; Telecom</v>
      </c>
      <c r="Q471" s="17" t="str">
        <f aca="false">INDEX(Accounts!$D$5:$D$336,MATCH(B471,Accounts!$A$5:$A$336,0))</f>
        <v>Key</v>
      </c>
      <c r="R471" s="7" t="n">
        <f aca="false">INDEX(Inputs!$B$11:$B$16,MATCH(E471,Inputs!$A$11:$A$16,0))</f>
        <v>75</v>
      </c>
      <c r="S471" s="27" t="n">
        <f aca="false">IF(F471="",0,F471)*R471/100</f>
        <v>8025000</v>
      </c>
      <c r="T471" s="7" t="n">
        <f aca="false">Inputs!$B$4-J471</f>
        <v>39</v>
      </c>
      <c r="U471" s="7" t="n">
        <f aca="false">IF(OR(F471="",F471=0),1,0)</f>
        <v>0</v>
      </c>
      <c r="V471" s="7" t="n">
        <f aca="false">IF(K471="",1,0)</f>
        <v>0</v>
      </c>
      <c r="W471" s="7" t="n">
        <f aca="false">IF(AND(O471=1,K471&lt;&gt;"",COUNTIFS(Owners!$A$5:$A$32,K471,Owners!$E$5:$E$32,"No")&gt;0),1,0)</f>
        <v>1</v>
      </c>
      <c r="X471" s="7" t="n">
        <f aca="false">IF(AND(O471=1,I471&lt;Inputs!$B$4),1,0)</f>
        <v>0</v>
      </c>
      <c r="Y471" s="7" t="n">
        <f aca="false">IF(AND(O471=1,T471&gt;Inputs!$B$5),1,0)</f>
        <v>0</v>
      </c>
      <c r="Z471" s="7" t="n">
        <f aca="false">IF(AND(O471=1,G471&lt;&gt;R471),1,0)</f>
        <v>0</v>
      </c>
      <c r="AA471" s="7" t="n">
        <f aca="false">IF(AND(O471=1,M471=""),1,0)</f>
        <v>0</v>
      </c>
      <c r="AB471" s="7" t="n">
        <f aca="false">IF(AND(E471="Closed Lost",N471=""),1,0)</f>
        <v>0</v>
      </c>
      <c r="AC471" s="7" t="n">
        <f aca="false">SUM(U471:AB471)</f>
        <v>1</v>
      </c>
      <c r="AD471" s="7" t="n">
        <f aca="false">IF(AC471=0,1,0)</f>
        <v>0</v>
      </c>
      <c r="AE471" s="7" t="n">
        <f aca="false">IF(AND(O471=1,I471&gt;=Inputs!$B$6,I471&lt;=Inputs!$B$7),1,0)</f>
        <v>1</v>
      </c>
      <c r="AF471" s="7" t="n">
        <f aca="false">IF(AND(E471="Closed Won",I471&gt;=Inputs!$B$6,I471&lt;=Inputs!$B$4),1,0)</f>
        <v>0</v>
      </c>
      <c r="AG471" s="7" t="n">
        <f aca="false">IF(AND(O471=0,I471&gt;Inputs!$B$4-Inputs!$B$8,I471&lt;=Inputs!$B$4),1,0)</f>
        <v>0</v>
      </c>
      <c r="AH471" s="7" t="n">
        <f aca="false">I471-H471</f>
        <v>413</v>
      </c>
    </row>
    <row r="472" customFormat="false" ht="15" hidden="false" customHeight="false" outlineLevel="0" collapsed="false">
      <c r="A472" s="16" t="s">
        <v>1637</v>
      </c>
      <c r="B472" s="16" t="s">
        <v>95</v>
      </c>
      <c r="C472" s="16" t="s">
        <v>671</v>
      </c>
      <c r="D472" s="16" t="s">
        <v>165</v>
      </c>
      <c r="E472" s="16" t="s">
        <v>531</v>
      </c>
      <c r="F472" s="26" t="n">
        <v>12305000</v>
      </c>
      <c r="G472" s="25" t="n">
        <v>0</v>
      </c>
      <c r="H472" s="22" t="n">
        <v>45935</v>
      </c>
      <c r="I472" s="22" t="n">
        <v>46049</v>
      </c>
      <c r="J472" s="22" t="n">
        <v>46049</v>
      </c>
      <c r="K472" s="16" t="s">
        <v>860</v>
      </c>
      <c r="L472" s="16" t="s">
        <v>568</v>
      </c>
      <c r="M472" s="16"/>
      <c r="N472" s="16" t="s">
        <v>597</v>
      </c>
      <c r="O472" s="7" t="n">
        <f aca="false">IF(OR(E472="Closed Won",E472="Closed Lost"),0,1)</f>
        <v>0</v>
      </c>
      <c r="P472" s="17" t="str">
        <f aca="false">INDEX(Accounts!$K$5:$K$336,MATCH(B472,Accounts!$A$5:$A$336,0))</f>
        <v>Energy &amp; Resources</v>
      </c>
      <c r="Q472" s="17" t="str">
        <f aca="false">INDEX(Accounts!$D$5:$D$336,MATCH(B472,Accounts!$A$5:$A$336,0))</f>
        <v>Priority</v>
      </c>
      <c r="R472" s="7" t="n">
        <f aca="false">INDEX(Inputs!$B$11:$B$16,MATCH(E472,Inputs!$A$11:$A$16,0))</f>
        <v>0</v>
      </c>
      <c r="S472" s="27" t="n">
        <f aca="false">IF(F472="",0,F472)*R472/100</f>
        <v>0</v>
      </c>
      <c r="T472" s="7" t="n">
        <f aca="false">Inputs!$B$4-J472</f>
        <v>265</v>
      </c>
      <c r="U472" s="7" t="n">
        <f aca="false">IF(OR(F472="",F472=0),1,0)</f>
        <v>0</v>
      </c>
      <c r="V472" s="7" t="n">
        <f aca="false">IF(K472="",1,0)</f>
        <v>0</v>
      </c>
      <c r="W472" s="7" t="n">
        <f aca="false">IF(AND(O472=1,K472&lt;&gt;"",COUNTIFS(Owners!$A$5:$A$32,K472,Owners!$E$5:$E$32,"No")&gt;0),1,0)</f>
        <v>0</v>
      </c>
      <c r="X472" s="7" t="n">
        <f aca="false">IF(AND(O472=1,I472&lt;Inputs!$B$4),1,0)</f>
        <v>0</v>
      </c>
      <c r="Y472" s="7" t="n">
        <f aca="false">IF(AND(O472=1,T472&gt;Inputs!$B$5),1,0)</f>
        <v>0</v>
      </c>
      <c r="Z472" s="7" t="n">
        <f aca="false">IF(AND(O472=1,G472&lt;&gt;R472),1,0)</f>
        <v>0</v>
      </c>
      <c r="AA472" s="7" t="n">
        <f aca="false">IF(AND(O472=1,M472=""),1,0)</f>
        <v>0</v>
      </c>
      <c r="AB472" s="7" t="n">
        <f aca="false">IF(AND(E472="Closed Lost",N472=""),1,0)</f>
        <v>0</v>
      </c>
      <c r="AC472" s="7" t="n">
        <f aca="false">SUM(U472:AB472)</f>
        <v>0</v>
      </c>
      <c r="AD472" s="7" t="n">
        <f aca="false">IF(AC472=0,1,0)</f>
        <v>1</v>
      </c>
      <c r="AE472" s="7" t="n">
        <f aca="false">IF(AND(O472=1,I472&gt;=Inputs!$B$6,I472&lt;=Inputs!$B$7),1,0)</f>
        <v>0</v>
      </c>
      <c r="AF472" s="7" t="n">
        <f aca="false">IF(AND(E472="Closed Won",I472&gt;=Inputs!$B$6,I472&lt;=Inputs!$B$4),1,0)</f>
        <v>0</v>
      </c>
      <c r="AG472" s="7" t="n">
        <f aca="false">IF(AND(O472=0,I472&gt;Inputs!$B$4-Inputs!$B$8,I472&lt;=Inputs!$B$4),1,0)</f>
        <v>1</v>
      </c>
      <c r="AH472" s="7" t="n">
        <f aca="false">I472-H472</f>
        <v>114</v>
      </c>
    </row>
    <row r="473" customFormat="false" ht="15" hidden="false" customHeight="false" outlineLevel="0" collapsed="false">
      <c r="A473" s="16" t="s">
        <v>1638</v>
      </c>
      <c r="B473" s="16" t="s">
        <v>363</v>
      </c>
      <c r="C473" s="16" t="s">
        <v>1639</v>
      </c>
      <c r="D473" s="16" t="s">
        <v>177</v>
      </c>
      <c r="E473" s="16" t="s">
        <v>528</v>
      </c>
      <c r="F473" s="26" t="n">
        <v>6289000</v>
      </c>
      <c r="G473" s="25" t="n">
        <v>50</v>
      </c>
      <c r="H473" s="22" t="n">
        <v>46187</v>
      </c>
      <c r="I473" s="22" t="n">
        <v>46359</v>
      </c>
      <c r="J473" s="22" t="n">
        <v>46127</v>
      </c>
      <c r="K473" s="16" t="s">
        <v>677</v>
      </c>
      <c r="L473" s="16" t="s">
        <v>568</v>
      </c>
      <c r="M473" s="16" t="s">
        <v>601</v>
      </c>
      <c r="N473" s="16"/>
      <c r="O473" s="7" t="n">
        <f aca="false">IF(OR(E473="Closed Won",E473="Closed Lost"),0,1)</f>
        <v>1</v>
      </c>
      <c r="P473" s="17" t="str">
        <f aca="false">INDEX(Accounts!$K$5:$K$336,MATCH(B473,Accounts!$A$5:$A$336,0))</f>
        <v>Technology, Media &amp; Telecom</v>
      </c>
      <c r="Q473" s="17" t="str">
        <f aca="false">INDEX(Accounts!$D$5:$D$336,MATCH(B473,Accounts!$A$5:$A$336,0))</f>
        <v>Key</v>
      </c>
      <c r="R473" s="7" t="n">
        <f aca="false">INDEX(Inputs!$B$11:$B$16,MATCH(E473,Inputs!$A$11:$A$16,0))</f>
        <v>50</v>
      </c>
      <c r="S473" s="27" t="n">
        <f aca="false">IF(F473="",0,F473)*R473/100</f>
        <v>3144500</v>
      </c>
      <c r="T473" s="7" t="n">
        <f aca="false">Inputs!$B$4-J473</f>
        <v>187</v>
      </c>
      <c r="U473" s="7" t="n">
        <f aca="false">IF(OR(F473="",F473=0),1,0)</f>
        <v>0</v>
      </c>
      <c r="V473" s="7" t="n">
        <f aca="false">IF(K473="",1,0)</f>
        <v>0</v>
      </c>
      <c r="W473" s="7" t="n">
        <f aca="false">IF(AND(O473=1,K473&lt;&gt;"",COUNTIFS(Owners!$A$5:$A$32,K473,Owners!$E$5:$E$32,"No")&gt;0),1,0)</f>
        <v>0</v>
      </c>
      <c r="X473" s="7" t="n">
        <f aca="false">IF(AND(O473=1,I473&lt;Inputs!$B$4),1,0)</f>
        <v>0</v>
      </c>
      <c r="Y473" s="7" t="n">
        <f aca="false">IF(AND(O473=1,T473&gt;Inputs!$B$5),1,0)</f>
        <v>1</v>
      </c>
      <c r="Z473" s="7" t="n">
        <f aca="false">IF(AND(O473=1,G473&lt;&gt;R473),1,0)</f>
        <v>0</v>
      </c>
      <c r="AA473" s="7" t="n">
        <f aca="false">IF(AND(O473=1,M473=""),1,0)</f>
        <v>0</v>
      </c>
      <c r="AB473" s="7" t="n">
        <f aca="false">IF(AND(E473="Closed Lost",N473=""),1,0)</f>
        <v>0</v>
      </c>
      <c r="AC473" s="7" t="n">
        <f aca="false">SUM(U473:AB473)</f>
        <v>1</v>
      </c>
      <c r="AD473" s="7" t="n">
        <f aca="false">IF(AC473=0,1,0)</f>
        <v>0</v>
      </c>
      <c r="AE473" s="7" t="n">
        <f aca="false">IF(AND(O473=1,I473&gt;=Inputs!$B$6,I473&lt;=Inputs!$B$7),1,0)</f>
        <v>1</v>
      </c>
      <c r="AF473" s="7" t="n">
        <f aca="false">IF(AND(E473="Closed Won",I473&gt;=Inputs!$B$6,I473&lt;=Inputs!$B$4),1,0)</f>
        <v>0</v>
      </c>
      <c r="AG473" s="7" t="n">
        <f aca="false">IF(AND(O473=0,I473&gt;Inputs!$B$4-Inputs!$B$8,I473&lt;=Inputs!$B$4),1,0)</f>
        <v>0</v>
      </c>
      <c r="AH473" s="7" t="n">
        <f aca="false">I473-H473</f>
        <v>172</v>
      </c>
    </row>
    <row r="474" customFormat="false" ht="15" hidden="false" customHeight="false" outlineLevel="0" collapsed="false">
      <c r="A474" s="16" t="s">
        <v>1640</v>
      </c>
      <c r="B474" s="16" t="s">
        <v>74</v>
      </c>
      <c r="C474" s="16" t="s">
        <v>1641</v>
      </c>
      <c r="D474" s="16" t="s">
        <v>162</v>
      </c>
      <c r="E474" s="16" t="s">
        <v>529</v>
      </c>
      <c r="F474" s="26" t="n">
        <v>2278000</v>
      </c>
      <c r="G474" s="25" t="n">
        <v>75</v>
      </c>
      <c r="H474" s="22" t="n">
        <v>46188</v>
      </c>
      <c r="I474" s="22" t="n">
        <v>46446</v>
      </c>
      <c r="J474" s="22" t="n">
        <v>46290</v>
      </c>
      <c r="K474" s="16" t="s">
        <v>596</v>
      </c>
      <c r="L474" s="16" t="s">
        <v>568</v>
      </c>
      <c r="M474" s="16" t="s">
        <v>569</v>
      </c>
      <c r="N474" s="16"/>
      <c r="O474" s="7" t="n">
        <f aca="false">IF(OR(E474="Closed Won",E474="Closed Lost"),0,1)</f>
        <v>1</v>
      </c>
      <c r="P474" s="17" t="str">
        <f aca="false">INDEX(Accounts!$K$5:$K$336,MATCH(B474,Accounts!$A$5:$A$336,0))</f>
        <v>Technology, Media &amp; Telecom</v>
      </c>
      <c r="Q474" s="17" t="str">
        <f aca="false">INDEX(Accounts!$D$5:$D$336,MATCH(B474,Accounts!$A$5:$A$336,0))</f>
        <v>Priority</v>
      </c>
      <c r="R474" s="7" t="n">
        <f aca="false">INDEX(Inputs!$B$11:$B$16,MATCH(E474,Inputs!$A$11:$A$16,0))</f>
        <v>75</v>
      </c>
      <c r="S474" s="27" t="n">
        <f aca="false">IF(F474="",0,F474)*R474/100</f>
        <v>1708500</v>
      </c>
      <c r="T474" s="7" t="n">
        <f aca="false">Inputs!$B$4-J474</f>
        <v>24</v>
      </c>
      <c r="U474" s="7" t="n">
        <f aca="false">IF(OR(F474="",F474=0),1,0)</f>
        <v>0</v>
      </c>
      <c r="V474" s="7" t="n">
        <f aca="false">IF(K474="",1,0)</f>
        <v>0</v>
      </c>
      <c r="W474" s="7" t="n">
        <f aca="false">IF(AND(O474=1,K474&lt;&gt;"",COUNTIFS(Owners!$A$5:$A$32,K474,Owners!$E$5:$E$32,"No")&gt;0),1,0)</f>
        <v>0</v>
      </c>
      <c r="X474" s="7" t="n">
        <f aca="false">IF(AND(O474=1,I474&lt;Inputs!$B$4),1,0)</f>
        <v>0</v>
      </c>
      <c r="Y474" s="7" t="n">
        <f aca="false">IF(AND(O474=1,T474&gt;Inputs!$B$5),1,0)</f>
        <v>0</v>
      </c>
      <c r="Z474" s="7" t="n">
        <f aca="false">IF(AND(O474=1,G474&lt;&gt;R474),1,0)</f>
        <v>0</v>
      </c>
      <c r="AA474" s="7" t="n">
        <f aca="false">IF(AND(O474=1,M474=""),1,0)</f>
        <v>0</v>
      </c>
      <c r="AB474" s="7" t="n">
        <f aca="false">IF(AND(E474="Closed Lost",N474=""),1,0)</f>
        <v>0</v>
      </c>
      <c r="AC474" s="7" t="n">
        <f aca="false">SUM(U474:AB474)</f>
        <v>0</v>
      </c>
      <c r="AD474" s="7" t="n">
        <f aca="false">IF(AC474=0,1,0)</f>
        <v>1</v>
      </c>
      <c r="AE474" s="7" t="n">
        <f aca="false">IF(AND(O474=1,I474&gt;=Inputs!$B$6,I474&lt;=Inputs!$B$7),1,0)</f>
        <v>1</v>
      </c>
      <c r="AF474" s="7" t="n">
        <f aca="false">IF(AND(E474="Closed Won",I474&gt;=Inputs!$B$6,I474&lt;=Inputs!$B$4),1,0)</f>
        <v>0</v>
      </c>
      <c r="AG474" s="7" t="n">
        <f aca="false">IF(AND(O474=0,I474&gt;Inputs!$B$4-Inputs!$B$8,I474&lt;=Inputs!$B$4),1,0)</f>
        <v>0</v>
      </c>
      <c r="AH474" s="7" t="n">
        <f aca="false">I474-H474</f>
        <v>258</v>
      </c>
    </row>
    <row r="475" customFormat="false" ht="15" hidden="false" customHeight="false" outlineLevel="0" collapsed="false">
      <c r="A475" s="16" t="s">
        <v>1642</v>
      </c>
      <c r="B475" s="16" t="s">
        <v>68</v>
      </c>
      <c r="C475" s="16" t="s">
        <v>1643</v>
      </c>
      <c r="D475" s="16" t="s">
        <v>162</v>
      </c>
      <c r="E475" s="16" t="s">
        <v>530</v>
      </c>
      <c r="F475" s="26" t="n">
        <v>5145000</v>
      </c>
      <c r="G475" s="25" t="n">
        <v>100</v>
      </c>
      <c r="H475" s="22" t="n">
        <v>46005</v>
      </c>
      <c r="I475" s="22" t="n">
        <v>46076</v>
      </c>
      <c r="J475" s="22" t="n">
        <v>46076</v>
      </c>
      <c r="K475" s="16" t="s">
        <v>704</v>
      </c>
      <c r="L475" s="16" t="s">
        <v>584</v>
      </c>
      <c r="M475" s="16"/>
      <c r="N475" s="16"/>
      <c r="O475" s="7" t="n">
        <f aca="false">IF(OR(E475="Closed Won",E475="Closed Lost"),0,1)</f>
        <v>0</v>
      </c>
      <c r="P475" s="17" t="str">
        <f aca="false">INDEX(Accounts!$K$5:$K$336,MATCH(B475,Accounts!$A$5:$A$336,0))</f>
        <v>Financial Services</v>
      </c>
      <c r="Q475" s="17" t="str">
        <f aca="false">INDEX(Accounts!$D$5:$D$336,MATCH(B475,Accounts!$A$5:$A$336,0))</f>
        <v>Priority</v>
      </c>
      <c r="R475" s="7" t="n">
        <f aca="false">INDEX(Inputs!$B$11:$B$16,MATCH(E475,Inputs!$A$11:$A$16,0))</f>
        <v>100</v>
      </c>
      <c r="S475" s="27" t="n">
        <f aca="false">IF(F475="",0,F475)*R475/100</f>
        <v>5145000</v>
      </c>
      <c r="T475" s="7" t="n">
        <f aca="false">Inputs!$B$4-J475</f>
        <v>238</v>
      </c>
      <c r="U475" s="7" t="n">
        <f aca="false">IF(OR(F475="",F475=0),1,0)</f>
        <v>0</v>
      </c>
      <c r="V475" s="7" t="n">
        <f aca="false">IF(K475="",1,0)</f>
        <v>0</v>
      </c>
      <c r="W475" s="7" t="n">
        <f aca="false">IF(AND(O475=1,K475&lt;&gt;"",COUNTIFS(Owners!$A$5:$A$32,K475,Owners!$E$5:$E$32,"No")&gt;0),1,0)</f>
        <v>0</v>
      </c>
      <c r="X475" s="7" t="n">
        <f aca="false">IF(AND(O475=1,I475&lt;Inputs!$B$4),1,0)</f>
        <v>0</v>
      </c>
      <c r="Y475" s="7" t="n">
        <f aca="false">IF(AND(O475=1,T475&gt;Inputs!$B$5),1,0)</f>
        <v>0</v>
      </c>
      <c r="Z475" s="7" t="n">
        <f aca="false">IF(AND(O475=1,G475&lt;&gt;R475),1,0)</f>
        <v>0</v>
      </c>
      <c r="AA475" s="7" t="n">
        <f aca="false">IF(AND(O475=1,M475=""),1,0)</f>
        <v>0</v>
      </c>
      <c r="AB475" s="7" t="n">
        <f aca="false">IF(AND(E475="Closed Lost",N475=""),1,0)</f>
        <v>0</v>
      </c>
      <c r="AC475" s="7" t="n">
        <f aca="false">SUM(U475:AB475)</f>
        <v>0</v>
      </c>
      <c r="AD475" s="7" t="n">
        <f aca="false">IF(AC475=0,1,0)</f>
        <v>1</v>
      </c>
      <c r="AE475" s="7" t="n">
        <f aca="false">IF(AND(O475=1,I475&gt;=Inputs!$B$6,I475&lt;=Inputs!$B$7),1,0)</f>
        <v>0</v>
      </c>
      <c r="AF475" s="7" t="n">
        <f aca="false">IF(AND(E475="Closed Won",I475&gt;=Inputs!$B$6,I475&lt;=Inputs!$B$4),1,0)</f>
        <v>0</v>
      </c>
      <c r="AG475" s="7" t="n">
        <f aca="false">IF(AND(O475=0,I475&gt;Inputs!$B$4-Inputs!$B$8,I475&lt;=Inputs!$B$4),1,0)</f>
        <v>1</v>
      </c>
      <c r="AH475" s="7" t="n">
        <f aca="false">I475-H475</f>
        <v>71</v>
      </c>
    </row>
    <row r="476" customFormat="false" ht="15" hidden="false" customHeight="false" outlineLevel="0" collapsed="false">
      <c r="A476" s="16" t="s">
        <v>1644</v>
      </c>
      <c r="B476" s="16" t="s">
        <v>1191</v>
      </c>
      <c r="C476" s="16" t="s">
        <v>1645</v>
      </c>
      <c r="D476" s="16" t="s">
        <v>165</v>
      </c>
      <c r="E476" s="16" t="s">
        <v>531</v>
      </c>
      <c r="F476" s="26" t="n">
        <v>42075000</v>
      </c>
      <c r="G476" s="25" t="n">
        <v>0</v>
      </c>
      <c r="H476" s="22" t="n">
        <v>45961</v>
      </c>
      <c r="I476" s="22" t="n">
        <v>46121</v>
      </c>
      <c r="J476" s="22" t="n">
        <v>46121</v>
      </c>
      <c r="K476" s="16" t="s">
        <v>578</v>
      </c>
      <c r="L476" s="16" t="s">
        <v>592</v>
      </c>
      <c r="M476" s="16"/>
      <c r="N476" s="16" t="s">
        <v>722</v>
      </c>
      <c r="O476" s="7" t="n">
        <f aca="false">IF(OR(E476="Closed Won",E476="Closed Lost"),0,1)</f>
        <v>0</v>
      </c>
      <c r="P476" s="17" t="str">
        <f aca="false">INDEX(Accounts!$K$5:$K$336,MATCH(B476,Accounts!$A$5:$A$336,0))</f>
        <v>Financial Services</v>
      </c>
      <c r="Q476" s="17" t="str">
        <f aca="false">INDEX(Accounts!$D$5:$D$336,MATCH(B476,Accounts!$A$5:$A$336,0))</f>
        <v>Standard</v>
      </c>
      <c r="R476" s="7" t="n">
        <f aca="false">INDEX(Inputs!$B$11:$B$16,MATCH(E476,Inputs!$A$11:$A$16,0))</f>
        <v>0</v>
      </c>
      <c r="S476" s="27" t="n">
        <f aca="false">IF(F476="",0,F476)*R476/100</f>
        <v>0</v>
      </c>
      <c r="T476" s="7" t="n">
        <f aca="false">Inputs!$B$4-J476</f>
        <v>193</v>
      </c>
      <c r="U476" s="7" t="n">
        <f aca="false">IF(OR(F476="",F476=0),1,0)</f>
        <v>0</v>
      </c>
      <c r="V476" s="7" t="n">
        <f aca="false">IF(K476="",1,0)</f>
        <v>0</v>
      </c>
      <c r="W476" s="7" t="n">
        <f aca="false">IF(AND(O476=1,K476&lt;&gt;"",COUNTIFS(Owners!$A$5:$A$32,K476,Owners!$E$5:$E$32,"No")&gt;0),1,0)</f>
        <v>0</v>
      </c>
      <c r="X476" s="7" t="n">
        <f aca="false">IF(AND(O476=1,I476&lt;Inputs!$B$4),1,0)</f>
        <v>0</v>
      </c>
      <c r="Y476" s="7" t="n">
        <f aca="false">IF(AND(O476=1,T476&gt;Inputs!$B$5),1,0)</f>
        <v>0</v>
      </c>
      <c r="Z476" s="7" t="n">
        <f aca="false">IF(AND(O476=1,G476&lt;&gt;R476),1,0)</f>
        <v>0</v>
      </c>
      <c r="AA476" s="7" t="n">
        <f aca="false">IF(AND(O476=1,M476=""),1,0)</f>
        <v>0</v>
      </c>
      <c r="AB476" s="7" t="n">
        <f aca="false">IF(AND(E476="Closed Lost",N476=""),1,0)</f>
        <v>0</v>
      </c>
      <c r="AC476" s="7" t="n">
        <f aca="false">SUM(U476:AB476)</f>
        <v>0</v>
      </c>
      <c r="AD476" s="7" t="n">
        <f aca="false">IF(AC476=0,1,0)</f>
        <v>1</v>
      </c>
      <c r="AE476" s="7" t="n">
        <f aca="false">IF(AND(O476=1,I476&gt;=Inputs!$B$6,I476&lt;=Inputs!$B$7),1,0)</f>
        <v>0</v>
      </c>
      <c r="AF476" s="7" t="n">
        <f aca="false">IF(AND(E476="Closed Won",I476&gt;=Inputs!$B$6,I476&lt;=Inputs!$B$4),1,0)</f>
        <v>0</v>
      </c>
      <c r="AG476" s="7" t="n">
        <f aca="false">IF(AND(O476=0,I476&gt;Inputs!$B$4-Inputs!$B$8,I476&lt;=Inputs!$B$4),1,0)</f>
        <v>1</v>
      </c>
      <c r="AH476" s="7" t="n">
        <f aca="false">I476-H476</f>
        <v>160</v>
      </c>
    </row>
    <row r="477" customFormat="false" ht="15" hidden="false" customHeight="false" outlineLevel="0" collapsed="false">
      <c r="A477" s="16" t="s">
        <v>1646</v>
      </c>
      <c r="B477" s="16" t="s">
        <v>73</v>
      </c>
      <c r="C477" s="16" t="s">
        <v>684</v>
      </c>
      <c r="D477" s="16" t="s">
        <v>158</v>
      </c>
      <c r="E477" s="16" t="s">
        <v>531</v>
      </c>
      <c r="F477" s="26" t="n">
        <v>38859000</v>
      </c>
      <c r="G477" s="25" t="n">
        <v>0</v>
      </c>
      <c r="H477" s="22" t="n">
        <v>46117</v>
      </c>
      <c r="I477" s="22" t="n">
        <v>46306</v>
      </c>
      <c r="J477" s="22" t="n">
        <v>46306</v>
      </c>
      <c r="K477" s="16" t="s">
        <v>640</v>
      </c>
      <c r="L477" s="16" t="s">
        <v>584</v>
      </c>
      <c r="M477" s="16"/>
      <c r="N477" s="16" t="s">
        <v>722</v>
      </c>
      <c r="O477" s="7" t="n">
        <f aca="false">IF(OR(E477="Closed Won",E477="Closed Lost"),0,1)</f>
        <v>0</v>
      </c>
      <c r="P477" s="17" t="str">
        <f aca="false">INDEX(Accounts!$K$5:$K$336,MATCH(B477,Accounts!$A$5:$A$336,0))</f>
        <v>Energy &amp; Resources</v>
      </c>
      <c r="Q477" s="17" t="str">
        <f aca="false">INDEX(Accounts!$D$5:$D$336,MATCH(B477,Accounts!$A$5:$A$336,0))</f>
        <v>Priority</v>
      </c>
      <c r="R477" s="7" t="n">
        <f aca="false">INDEX(Inputs!$B$11:$B$16,MATCH(E477,Inputs!$A$11:$A$16,0))</f>
        <v>0</v>
      </c>
      <c r="S477" s="27" t="n">
        <f aca="false">IF(F477="",0,F477)*R477/100</f>
        <v>0</v>
      </c>
      <c r="T477" s="7" t="n">
        <f aca="false">Inputs!$B$4-J477</f>
        <v>8</v>
      </c>
      <c r="U477" s="7" t="n">
        <f aca="false">IF(OR(F477="",F477=0),1,0)</f>
        <v>0</v>
      </c>
      <c r="V477" s="7" t="n">
        <f aca="false">IF(K477="",1,0)</f>
        <v>0</v>
      </c>
      <c r="W477" s="7" t="n">
        <f aca="false">IF(AND(O477=1,K477&lt;&gt;"",COUNTIFS(Owners!$A$5:$A$32,K477,Owners!$E$5:$E$32,"No")&gt;0),1,0)</f>
        <v>0</v>
      </c>
      <c r="X477" s="7" t="n">
        <f aca="false">IF(AND(O477=1,I477&lt;Inputs!$B$4),1,0)</f>
        <v>0</v>
      </c>
      <c r="Y477" s="7" t="n">
        <f aca="false">IF(AND(O477=1,T477&gt;Inputs!$B$5),1,0)</f>
        <v>0</v>
      </c>
      <c r="Z477" s="7" t="n">
        <f aca="false">IF(AND(O477=1,G477&lt;&gt;R477),1,0)</f>
        <v>0</v>
      </c>
      <c r="AA477" s="7" t="n">
        <f aca="false">IF(AND(O477=1,M477=""),1,0)</f>
        <v>0</v>
      </c>
      <c r="AB477" s="7" t="n">
        <f aca="false">IF(AND(E477="Closed Lost",N477=""),1,0)</f>
        <v>0</v>
      </c>
      <c r="AC477" s="7" t="n">
        <f aca="false">SUM(U477:AB477)</f>
        <v>0</v>
      </c>
      <c r="AD477" s="7" t="n">
        <f aca="false">IF(AC477=0,1,0)</f>
        <v>1</v>
      </c>
      <c r="AE477" s="7" t="n">
        <f aca="false">IF(AND(O477=1,I477&gt;=Inputs!$B$6,I477&lt;=Inputs!$B$7),1,0)</f>
        <v>0</v>
      </c>
      <c r="AF477" s="7" t="n">
        <f aca="false">IF(AND(E477="Closed Won",I477&gt;=Inputs!$B$6,I477&lt;=Inputs!$B$4),1,0)</f>
        <v>0</v>
      </c>
      <c r="AG477" s="7" t="n">
        <f aca="false">IF(AND(O477=0,I477&gt;Inputs!$B$4-Inputs!$B$8,I477&lt;=Inputs!$B$4),1,0)</f>
        <v>1</v>
      </c>
      <c r="AH477" s="7" t="n">
        <f aca="false">I477-H477</f>
        <v>189</v>
      </c>
    </row>
    <row r="478" customFormat="false" ht="15" hidden="false" customHeight="false" outlineLevel="0" collapsed="false">
      <c r="A478" s="16" t="s">
        <v>1647</v>
      </c>
      <c r="B478" s="16" t="s">
        <v>95</v>
      </c>
      <c r="C478" s="16" t="s">
        <v>1648</v>
      </c>
      <c r="D478" s="16" t="s">
        <v>167</v>
      </c>
      <c r="E478" s="16" t="s">
        <v>530</v>
      </c>
      <c r="F478" s="26" t="n">
        <v>7591000</v>
      </c>
      <c r="G478" s="25" t="n">
        <v>100</v>
      </c>
      <c r="H478" s="22" t="n">
        <v>46001</v>
      </c>
      <c r="I478" s="22" t="n">
        <v>46153</v>
      </c>
      <c r="J478" s="22" t="n">
        <v>46153</v>
      </c>
      <c r="K478" s="16" t="s">
        <v>596</v>
      </c>
      <c r="L478" s="16" t="s">
        <v>609</v>
      </c>
      <c r="M478" s="16"/>
      <c r="N478" s="16"/>
      <c r="O478" s="7" t="n">
        <f aca="false">IF(OR(E478="Closed Won",E478="Closed Lost"),0,1)</f>
        <v>0</v>
      </c>
      <c r="P478" s="17" t="str">
        <f aca="false">INDEX(Accounts!$K$5:$K$336,MATCH(B478,Accounts!$A$5:$A$336,0))</f>
        <v>Energy &amp; Resources</v>
      </c>
      <c r="Q478" s="17" t="str">
        <f aca="false">INDEX(Accounts!$D$5:$D$336,MATCH(B478,Accounts!$A$5:$A$336,0))</f>
        <v>Priority</v>
      </c>
      <c r="R478" s="7" t="n">
        <f aca="false">INDEX(Inputs!$B$11:$B$16,MATCH(E478,Inputs!$A$11:$A$16,0))</f>
        <v>100</v>
      </c>
      <c r="S478" s="27" t="n">
        <f aca="false">IF(F478="",0,F478)*R478/100</f>
        <v>7591000</v>
      </c>
      <c r="T478" s="7" t="n">
        <f aca="false">Inputs!$B$4-J478</f>
        <v>161</v>
      </c>
      <c r="U478" s="7" t="n">
        <f aca="false">IF(OR(F478="",F478=0),1,0)</f>
        <v>0</v>
      </c>
      <c r="V478" s="7" t="n">
        <f aca="false">IF(K478="",1,0)</f>
        <v>0</v>
      </c>
      <c r="W478" s="7" t="n">
        <f aca="false">IF(AND(O478=1,K478&lt;&gt;"",COUNTIFS(Owners!$A$5:$A$32,K478,Owners!$E$5:$E$32,"No")&gt;0),1,0)</f>
        <v>0</v>
      </c>
      <c r="X478" s="7" t="n">
        <f aca="false">IF(AND(O478=1,I478&lt;Inputs!$B$4),1,0)</f>
        <v>0</v>
      </c>
      <c r="Y478" s="7" t="n">
        <f aca="false">IF(AND(O478=1,T478&gt;Inputs!$B$5),1,0)</f>
        <v>0</v>
      </c>
      <c r="Z478" s="7" t="n">
        <f aca="false">IF(AND(O478=1,G478&lt;&gt;R478),1,0)</f>
        <v>0</v>
      </c>
      <c r="AA478" s="7" t="n">
        <f aca="false">IF(AND(O478=1,M478=""),1,0)</f>
        <v>0</v>
      </c>
      <c r="AB478" s="7" t="n">
        <f aca="false">IF(AND(E478="Closed Lost",N478=""),1,0)</f>
        <v>0</v>
      </c>
      <c r="AC478" s="7" t="n">
        <f aca="false">SUM(U478:AB478)</f>
        <v>0</v>
      </c>
      <c r="AD478" s="7" t="n">
        <f aca="false">IF(AC478=0,1,0)</f>
        <v>1</v>
      </c>
      <c r="AE478" s="7" t="n">
        <f aca="false">IF(AND(O478=1,I478&gt;=Inputs!$B$6,I478&lt;=Inputs!$B$7),1,0)</f>
        <v>0</v>
      </c>
      <c r="AF478" s="7" t="n">
        <f aca="false">IF(AND(E478="Closed Won",I478&gt;=Inputs!$B$6,I478&lt;=Inputs!$B$4),1,0)</f>
        <v>0</v>
      </c>
      <c r="AG478" s="7" t="n">
        <f aca="false">IF(AND(O478=0,I478&gt;Inputs!$B$4-Inputs!$B$8,I478&lt;=Inputs!$B$4),1,0)</f>
        <v>1</v>
      </c>
      <c r="AH478" s="7" t="n">
        <f aca="false">I478-H478</f>
        <v>152</v>
      </c>
    </row>
    <row r="479" customFormat="false" ht="15" hidden="false" customHeight="false" outlineLevel="0" collapsed="false">
      <c r="A479" s="16" t="s">
        <v>1649</v>
      </c>
      <c r="B479" s="16" t="s">
        <v>289</v>
      </c>
      <c r="C479" s="16" t="s">
        <v>1650</v>
      </c>
      <c r="D479" s="16" t="s">
        <v>162</v>
      </c>
      <c r="E479" s="16" t="s">
        <v>531</v>
      </c>
      <c r="F479" s="26" t="n">
        <v>0</v>
      </c>
      <c r="G479" s="25" t="n">
        <v>0</v>
      </c>
      <c r="H479" s="22" t="n">
        <v>46035</v>
      </c>
      <c r="I479" s="22" t="n">
        <v>46259</v>
      </c>
      <c r="J479" s="22" t="n">
        <v>46259</v>
      </c>
      <c r="K479" s="16" t="s">
        <v>860</v>
      </c>
      <c r="L479" s="16" t="s">
        <v>500</v>
      </c>
      <c r="M479" s="16"/>
      <c r="N479" s="16" t="s">
        <v>610</v>
      </c>
      <c r="O479" s="7" t="n">
        <f aca="false">IF(OR(E479="Closed Won",E479="Closed Lost"),0,1)</f>
        <v>0</v>
      </c>
      <c r="P479" s="17" t="str">
        <f aca="false">INDEX(Accounts!$K$5:$K$336,MATCH(B479,Accounts!$A$5:$A$336,0))</f>
        <v>Consumer &amp; Retail</v>
      </c>
      <c r="Q479" s="17" t="str">
        <f aca="false">INDEX(Accounts!$D$5:$D$336,MATCH(B479,Accounts!$A$5:$A$336,0))</f>
        <v>Standard</v>
      </c>
      <c r="R479" s="7" t="n">
        <f aca="false">INDEX(Inputs!$B$11:$B$16,MATCH(E479,Inputs!$A$11:$A$16,0))</f>
        <v>0</v>
      </c>
      <c r="S479" s="27" t="n">
        <f aca="false">IF(F479="",0,F479)*R479/100</f>
        <v>0</v>
      </c>
      <c r="T479" s="7" t="n">
        <f aca="false">Inputs!$B$4-J479</f>
        <v>55</v>
      </c>
      <c r="U479" s="7" t="n">
        <f aca="false">IF(OR(F479="",F479=0),1,0)</f>
        <v>1</v>
      </c>
      <c r="V479" s="7" t="n">
        <f aca="false">IF(K479="",1,0)</f>
        <v>0</v>
      </c>
      <c r="W479" s="7" t="n">
        <f aca="false">IF(AND(O479=1,K479&lt;&gt;"",COUNTIFS(Owners!$A$5:$A$32,K479,Owners!$E$5:$E$32,"No")&gt;0),1,0)</f>
        <v>0</v>
      </c>
      <c r="X479" s="7" t="n">
        <f aca="false">IF(AND(O479=1,I479&lt;Inputs!$B$4),1,0)</f>
        <v>0</v>
      </c>
      <c r="Y479" s="7" t="n">
        <f aca="false">IF(AND(O479=1,T479&gt;Inputs!$B$5),1,0)</f>
        <v>0</v>
      </c>
      <c r="Z479" s="7" t="n">
        <f aca="false">IF(AND(O479=1,G479&lt;&gt;R479),1,0)</f>
        <v>0</v>
      </c>
      <c r="AA479" s="7" t="n">
        <f aca="false">IF(AND(O479=1,M479=""),1,0)</f>
        <v>0</v>
      </c>
      <c r="AB479" s="7" t="n">
        <f aca="false">IF(AND(E479="Closed Lost",N479=""),1,0)</f>
        <v>0</v>
      </c>
      <c r="AC479" s="7" t="n">
        <f aca="false">SUM(U479:AB479)</f>
        <v>1</v>
      </c>
      <c r="AD479" s="7" t="n">
        <f aca="false">IF(AC479=0,1,0)</f>
        <v>0</v>
      </c>
      <c r="AE479" s="7" t="n">
        <f aca="false">IF(AND(O479=1,I479&gt;=Inputs!$B$6,I479&lt;=Inputs!$B$7),1,0)</f>
        <v>0</v>
      </c>
      <c r="AF479" s="7" t="n">
        <f aca="false">IF(AND(E479="Closed Won",I479&gt;=Inputs!$B$6,I479&lt;=Inputs!$B$4),1,0)</f>
        <v>0</v>
      </c>
      <c r="AG479" s="7" t="n">
        <f aca="false">IF(AND(O479=0,I479&gt;Inputs!$B$4-Inputs!$B$8,I479&lt;=Inputs!$B$4),1,0)</f>
        <v>1</v>
      </c>
      <c r="AH479" s="7" t="n">
        <f aca="false">I479-H479</f>
        <v>224</v>
      </c>
    </row>
    <row r="480" customFormat="false" ht="15" hidden="false" customHeight="false" outlineLevel="0" collapsed="false">
      <c r="A480" s="16" t="s">
        <v>1651</v>
      </c>
      <c r="B480" s="16" t="s">
        <v>355</v>
      </c>
      <c r="C480" s="16" t="s">
        <v>1048</v>
      </c>
      <c r="D480" s="16" t="s">
        <v>165</v>
      </c>
      <c r="E480" s="16" t="s">
        <v>529</v>
      </c>
      <c r="F480" s="26" t="n">
        <v>25482000</v>
      </c>
      <c r="G480" s="25" t="n">
        <v>75</v>
      </c>
      <c r="H480" s="22" t="n">
        <v>46135</v>
      </c>
      <c r="I480" s="22" t="n">
        <v>46461</v>
      </c>
      <c r="J480" s="22" t="n">
        <v>46119</v>
      </c>
      <c r="K480" s="16" t="s">
        <v>600</v>
      </c>
      <c r="L480" s="16" t="s">
        <v>568</v>
      </c>
      <c r="M480" s="16" t="s">
        <v>575</v>
      </c>
      <c r="N480" s="16"/>
      <c r="O480" s="7" t="n">
        <f aca="false">IF(OR(E480="Closed Won",E480="Closed Lost"),0,1)</f>
        <v>1</v>
      </c>
      <c r="P480" s="17" t="str">
        <f aca="false">INDEX(Accounts!$K$5:$K$336,MATCH(B480,Accounts!$A$5:$A$336,0))</f>
        <v>Consumer &amp; Retail</v>
      </c>
      <c r="Q480" s="17" t="str">
        <f aca="false">INDEX(Accounts!$D$5:$D$336,MATCH(B480,Accounts!$A$5:$A$336,0))</f>
        <v>Standard</v>
      </c>
      <c r="R480" s="7" t="n">
        <f aca="false">INDEX(Inputs!$B$11:$B$16,MATCH(E480,Inputs!$A$11:$A$16,0))</f>
        <v>75</v>
      </c>
      <c r="S480" s="27" t="n">
        <f aca="false">IF(F480="",0,F480)*R480/100</f>
        <v>19111500</v>
      </c>
      <c r="T480" s="7" t="n">
        <f aca="false">Inputs!$B$4-J480</f>
        <v>195</v>
      </c>
      <c r="U480" s="7" t="n">
        <f aca="false">IF(OR(F480="",F480=0),1,0)</f>
        <v>0</v>
      </c>
      <c r="V480" s="7" t="n">
        <f aca="false">IF(K480="",1,0)</f>
        <v>0</v>
      </c>
      <c r="W480" s="7" t="n">
        <f aca="false">IF(AND(O480=1,K480&lt;&gt;"",COUNTIFS(Owners!$A$5:$A$32,K480,Owners!$E$5:$E$32,"No")&gt;0),1,0)</f>
        <v>0</v>
      </c>
      <c r="X480" s="7" t="n">
        <f aca="false">IF(AND(O480=1,I480&lt;Inputs!$B$4),1,0)</f>
        <v>0</v>
      </c>
      <c r="Y480" s="7" t="n">
        <f aca="false">IF(AND(O480=1,T480&gt;Inputs!$B$5),1,0)</f>
        <v>1</v>
      </c>
      <c r="Z480" s="7" t="n">
        <f aca="false">IF(AND(O480=1,G480&lt;&gt;R480),1,0)</f>
        <v>0</v>
      </c>
      <c r="AA480" s="7" t="n">
        <f aca="false">IF(AND(O480=1,M480=""),1,0)</f>
        <v>0</v>
      </c>
      <c r="AB480" s="7" t="n">
        <f aca="false">IF(AND(E480="Closed Lost",N480=""),1,0)</f>
        <v>0</v>
      </c>
      <c r="AC480" s="7" t="n">
        <f aca="false">SUM(U480:AB480)</f>
        <v>1</v>
      </c>
      <c r="AD480" s="7" t="n">
        <f aca="false">IF(AC480=0,1,0)</f>
        <v>0</v>
      </c>
      <c r="AE480" s="7" t="n">
        <f aca="false">IF(AND(O480=1,I480&gt;=Inputs!$B$6,I480&lt;=Inputs!$B$7),1,0)</f>
        <v>1</v>
      </c>
      <c r="AF480" s="7" t="n">
        <f aca="false">IF(AND(E480="Closed Won",I480&gt;=Inputs!$B$6,I480&lt;=Inputs!$B$4),1,0)</f>
        <v>0</v>
      </c>
      <c r="AG480" s="7" t="n">
        <f aca="false">IF(AND(O480=0,I480&gt;Inputs!$B$4-Inputs!$B$8,I480&lt;=Inputs!$B$4),1,0)</f>
        <v>0</v>
      </c>
      <c r="AH480" s="7" t="n">
        <f aca="false">I480-H480</f>
        <v>326</v>
      </c>
    </row>
    <row r="481" customFormat="false" ht="15" hidden="false" customHeight="false" outlineLevel="0" collapsed="false">
      <c r="A481" s="16" t="s">
        <v>1652</v>
      </c>
      <c r="B481" s="16" t="s">
        <v>1082</v>
      </c>
      <c r="C481" s="16" t="s">
        <v>1653</v>
      </c>
      <c r="D481" s="16" t="s">
        <v>165</v>
      </c>
      <c r="E481" s="16" t="s">
        <v>531</v>
      </c>
      <c r="F481" s="26" t="n">
        <v>80340000</v>
      </c>
      <c r="G481" s="25" t="n">
        <v>0</v>
      </c>
      <c r="H481" s="22" t="n">
        <v>45999</v>
      </c>
      <c r="I481" s="22" t="n">
        <v>46175</v>
      </c>
      <c r="J481" s="22" t="n">
        <v>46175</v>
      </c>
      <c r="K481" s="16" t="s">
        <v>600</v>
      </c>
      <c r="L481" s="16" t="s">
        <v>584</v>
      </c>
      <c r="M481" s="16"/>
      <c r="N481" s="16" t="s">
        <v>713</v>
      </c>
      <c r="O481" s="7" t="n">
        <f aca="false">IF(OR(E481="Closed Won",E481="Closed Lost"),0,1)</f>
        <v>0</v>
      </c>
      <c r="P481" s="17" t="str">
        <f aca="false">INDEX(Accounts!$K$5:$K$336,MATCH(B481,Accounts!$A$5:$A$336,0))</f>
        <v>Financial Services</v>
      </c>
      <c r="Q481" s="17" t="str">
        <f aca="false">INDEX(Accounts!$D$5:$D$336,MATCH(B481,Accounts!$A$5:$A$336,0))</f>
        <v>Standard</v>
      </c>
      <c r="R481" s="7" t="n">
        <f aca="false">INDEX(Inputs!$B$11:$B$16,MATCH(E481,Inputs!$A$11:$A$16,0))</f>
        <v>0</v>
      </c>
      <c r="S481" s="27" t="n">
        <f aca="false">IF(F481="",0,F481)*R481/100</f>
        <v>0</v>
      </c>
      <c r="T481" s="7" t="n">
        <f aca="false">Inputs!$B$4-J481</f>
        <v>139</v>
      </c>
      <c r="U481" s="7" t="n">
        <f aca="false">IF(OR(F481="",F481=0),1,0)</f>
        <v>0</v>
      </c>
      <c r="V481" s="7" t="n">
        <f aca="false">IF(K481="",1,0)</f>
        <v>0</v>
      </c>
      <c r="W481" s="7" t="n">
        <f aca="false">IF(AND(O481=1,K481&lt;&gt;"",COUNTIFS(Owners!$A$5:$A$32,K481,Owners!$E$5:$E$32,"No")&gt;0),1,0)</f>
        <v>0</v>
      </c>
      <c r="X481" s="7" t="n">
        <f aca="false">IF(AND(O481=1,I481&lt;Inputs!$B$4),1,0)</f>
        <v>0</v>
      </c>
      <c r="Y481" s="7" t="n">
        <f aca="false">IF(AND(O481=1,T481&gt;Inputs!$B$5),1,0)</f>
        <v>0</v>
      </c>
      <c r="Z481" s="7" t="n">
        <f aca="false">IF(AND(O481=1,G481&lt;&gt;R481),1,0)</f>
        <v>0</v>
      </c>
      <c r="AA481" s="7" t="n">
        <f aca="false">IF(AND(O481=1,M481=""),1,0)</f>
        <v>0</v>
      </c>
      <c r="AB481" s="7" t="n">
        <f aca="false">IF(AND(E481="Closed Lost",N481=""),1,0)</f>
        <v>0</v>
      </c>
      <c r="AC481" s="7" t="n">
        <f aca="false">SUM(U481:AB481)</f>
        <v>0</v>
      </c>
      <c r="AD481" s="7" t="n">
        <f aca="false">IF(AC481=0,1,0)</f>
        <v>1</v>
      </c>
      <c r="AE481" s="7" t="n">
        <f aca="false">IF(AND(O481=1,I481&gt;=Inputs!$B$6,I481&lt;=Inputs!$B$7),1,0)</f>
        <v>0</v>
      </c>
      <c r="AF481" s="7" t="n">
        <f aca="false">IF(AND(E481="Closed Won",I481&gt;=Inputs!$B$6,I481&lt;=Inputs!$B$4),1,0)</f>
        <v>0</v>
      </c>
      <c r="AG481" s="7" t="n">
        <f aca="false">IF(AND(O481=0,I481&gt;Inputs!$B$4-Inputs!$B$8,I481&lt;=Inputs!$B$4),1,0)</f>
        <v>1</v>
      </c>
      <c r="AH481" s="7" t="n">
        <f aca="false">I481-H481</f>
        <v>176</v>
      </c>
    </row>
    <row r="482" customFormat="false" ht="15" hidden="false" customHeight="false" outlineLevel="0" collapsed="false">
      <c r="A482" s="16" t="s">
        <v>1654</v>
      </c>
      <c r="B482" s="16" t="s">
        <v>164</v>
      </c>
      <c r="C482" s="16" t="s">
        <v>1655</v>
      </c>
      <c r="D482" s="16" t="s">
        <v>162</v>
      </c>
      <c r="E482" s="16" t="s">
        <v>531</v>
      </c>
      <c r="F482" s="26" t="n">
        <v>9980000</v>
      </c>
      <c r="G482" s="25" t="n">
        <v>0</v>
      </c>
      <c r="H482" s="22" t="n">
        <v>46195</v>
      </c>
      <c r="I482" s="22" t="n">
        <v>46313</v>
      </c>
      <c r="J482" s="22" t="n">
        <v>46313</v>
      </c>
      <c r="K482" s="16" t="s">
        <v>677</v>
      </c>
      <c r="L482" s="16" t="s">
        <v>568</v>
      </c>
      <c r="M482" s="16"/>
      <c r="N482" s="16" t="s">
        <v>713</v>
      </c>
      <c r="O482" s="7" t="n">
        <f aca="false">IF(OR(E482="Closed Won",E482="Closed Lost"),0,1)</f>
        <v>0</v>
      </c>
      <c r="P482" s="17" t="str">
        <f aca="false">INDEX(Accounts!$K$5:$K$336,MATCH(B482,Accounts!$A$5:$A$336,0))</f>
        <v>Financial Services</v>
      </c>
      <c r="Q482" s="17" t="str">
        <f aca="false">INDEX(Accounts!$D$5:$D$336,MATCH(B482,Accounts!$A$5:$A$336,0))</f>
        <v>Standard</v>
      </c>
      <c r="R482" s="7" t="n">
        <f aca="false">INDEX(Inputs!$B$11:$B$16,MATCH(E482,Inputs!$A$11:$A$16,0))</f>
        <v>0</v>
      </c>
      <c r="S482" s="27" t="n">
        <f aca="false">IF(F482="",0,F482)*R482/100</f>
        <v>0</v>
      </c>
      <c r="T482" s="7" t="n">
        <f aca="false">Inputs!$B$4-J482</f>
        <v>1</v>
      </c>
      <c r="U482" s="7" t="n">
        <f aca="false">IF(OR(F482="",F482=0),1,0)</f>
        <v>0</v>
      </c>
      <c r="V482" s="7" t="n">
        <f aca="false">IF(K482="",1,0)</f>
        <v>0</v>
      </c>
      <c r="W482" s="7" t="n">
        <f aca="false">IF(AND(O482=1,K482&lt;&gt;"",COUNTIFS(Owners!$A$5:$A$32,K482,Owners!$E$5:$E$32,"No")&gt;0),1,0)</f>
        <v>0</v>
      </c>
      <c r="X482" s="7" t="n">
        <f aca="false">IF(AND(O482=1,I482&lt;Inputs!$B$4),1,0)</f>
        <v>0</v>
      </c>
      <c r="Y482" s="7" t="n">
        <f aca="false">IF(AND(O482=1,T482&gt;Inputs!$B$5),1,0)</f>
        <v>0</v>
      </c>
      <c r="Z482" s="7" t="n">
        <f aca="false">IF(AND(O482=1,G482&lt;&gt;R482),1,0)</f>
        <v>0</v>
      </c>
      <c r="AA482" s="7" t="n">
        <f aca="false">IF(AND(O482=1,M482=""),1,0)</f>
        <v>0</v>
      </c>
      <c r="AB482" s="7" t="n">
        <f aca="false">IF(AND(E482="Closed Lost",N482=""),1,0)</f>
        <v>0</v>
      </c>
      <c r="AC482" s="7" t="n">
        <f aca="false">SUM(U482:AB482)</f>
        <v>0</v>
      </c>
      <c r="AD482" s="7" t="n">
        <f aca="false">IF(AC482=0,1,0)</f>
        <v>1</v>
      </c>
      <c r="AE482" s="7" t="n">
        <f aca="false">IF(AND(O482=1,I482&gt;=Inputs!$B$6,I482&lt;=Inputs!$B$7),1,0)</f>
        <v>0</v>
      </c>
      <c r="AF482" s="7" t="n">
        <f aca="false">IF(AND(E482="Closed Won",I482&gt;=Inputs!$B$6,I482&lt;=Inputs!$B$4),1,0)</f>
        <v>0</v>
      </c>
      <c r="AG482" s="7" t="n">
        <f aca="false">IF(AND(O482=0,I482&gt;Inputs!$B$4-Inputs!$B$8,I482&lt;=Inputs!$B$4),1,0)</f>
        <v>1</v>
      </c>
      <c r="AH482" s="7" t="n">
        <f aca="false">I482-H482</f>
        <v>118</v>
      </c>
    </row>
    <row r="483" customFormat="false" ht="15" hidden="false" customHeight="false" outlineLevel="0" collapsed="false">
      <c r="A483" s="16" t="s">
        <v>1656</v>
      </c>
      <c r="B483" s="16" t="s">
        <v>92</v>
      </c>
      <c r="C483" s="16" t="s">
        <v>1424</v>
      </c>
      <c r="D483" s="16" t="s">
        <v>165</v>
      </c>
      <c r="E483" s="16" t="s">
        <v>526</v>
      </c>
      <c r="F483" s="26" t="n">
        <v>10718000</v>
      </c>
      <c r="G483" s="25" t="n">
        <v>10</v>
      </c>
      <c r="H483" s="22" t="n">
        <v>46299</v>
      </c>
      <c r="I483" s="22" t="n">
        <v>46440</v>
      </c>
      <c r="J483" s="22" t="n">
        <v>46298</v>
      </c>
      <c r="K483" s="16" t="s">
        <v>691</v>
      </c>
      <c r="L483" s="16" t="s">
        <v>568</v>
      </c>
      <c r="M483" s="16" t="s">
        <v>593</v>
      </c>
      <c r="N483" s="16"/>
      <c r="O483" s="7" t="n">
        <f aca="false">IF(OR(E483="Closed Won",E483="Closed Lost"),0,1)</f>
        <v>1</v>
      </c>
      <c r="P483" s="17" t="str">
        <f aca="false">INDEX(Accounts!$K$5:$K$336,MATCH(B483,Accounts!$A$5:$A$336,0))</f>
        <v>Public Sector &amp; Development</v>
      </c>
      <c r="Q483" s="17" t="str">
        <f aca="false">INDEX(Accounts!$D$5:$D$336,MATCH(B483,Accounts!$A$5:$A$336,0))</f>
        <v>Priority</v>
      </c>
      <c r="R483" s="7" t="n">
        <f aca="false">INDEX(Inputs!$B$11:$B$16,MATCH(E483,Inputs!$A$11:$A$16,0))</f>
        <v>10</v>
      </c>
      <c r="S483" s="27" t="n">
        <f aca="false">IF(F483="",0,F483)*R483/100</f>
        <v>1071800</v>
      </c>
      <c r="T483" s="7" t="n">
        <f aca="false">Inputs!$B$4-J483</f>
        <v>16</v>
      </c>
      <c r="U483" s="7" t="n">
        <f aca="false">IF(OR(F483="",F483=0),1,0)</f>
        <v>0</v>
      </c>
      <c r="V483" s="7" t="n">
        <f aca="false">IF(K483="",1,0)</f>
        <v>0</v>
      </c>
      <c r="W483" s="7" t="n">
        <f aca="false">IF(AND(O483=1,K483&lt;&gt;"",COUNTIFS(Owners!$A$5:$A$32,K483,Owners!$E$5:$E$32,"No")&gt;0),1,0)</f>
        <v>0</v>
      </c>
      <c r="X483" s="7" t="n">
        <f aca="false">IF(AND(O483=1,I483&lt;Inputs!$B$4),1,0)</f>
        <v>0</v>
      </c>
      <c r="Y483" s="7" t="n">
        <f aca="false">IF(AND(O483=1,T483&gt;Inputs!$B$5),1,0)</f>
        <v>0</v>
      </c>
      <c r="Z483" s="7" t="n">
        <f aca="false">IF(AND(O483=1,G483&lt;&gt;R483),1,0)</f>
        <v>0</v>
      </c>
      <c r="AA483" s="7" t="n">
        <f aca="false">IF(AND(O483=1,M483=""),1,0)</f>
        <v>0</v>
      </c>
      <c r="AB483" s="7" t="n">
        <f aca="false">IF(AND(E483="Closed Lost",N483=""),1,0)</f>
        <v>0</v>
      </c>
      <c r="AC483" s="7" t="n">
        <f aca="false">SUM(U483:AB483)</f>
        <v>0</v>
      </c>
      <c r="AD483" s="7" t="n">
        <f aca="false">IF(AC483=0,1,0)</f>
        <v>1</v>
      </c>
      <c r="AE483" s="7" t="n">
        <f aca="false">IF(AND(O483=1,I483&gt;=Inputs!$B$6,I483&lt;=Inputs!$B$7),1,0)</f>
        <v>1</v>
      </c>
      <c r="AF483" s="7" t="n">
        <f aca="false">IF(AND(E483="Closed Won",I483&gt;=Inputs!$B$6,I483&lt;=Inputs!$B$4),1,0)</f>
        <v>0</v>
      </c>
      <c r="AG483" s="7" t="n">
        <f aca="false">IF(AND(O483=0,I483&gt;Inputs!$B$4-Inputs!$B$8,I483&lt;=Inputs!$B$4),1,0)</f>
        <v>0</v>
      </c>
      <c r="AH483" s="7" t="n">
        <f aca="false">I483-H483</f>
        <v>141</v>
      </c>
    </row>
    <row r="484" customFormat="false" ht="15" hidden="false" customHeight="false" outlineLevel="0" collapsed="false">
      <c r="A484" s="16" t="s">
        <v>1657</v>
      </c>
      <c r="B484" s="16" t="s">
        <v>444</v>
      </c>
      <c r="C484" s="16" t="s">
        <v>1658</v>
      </c>
      <c r="D484" s="16" t="s">
        <v>165</v>
      </c>
      <c r="E484" s="16" t="s">
        <v>530</v>
      </c>
      <c r="F484" s="26" t="n">
        <v>19754000</v>
      </c>
      <c r="G484" s="25" t="n">
        <v>100</v>
      </c>
      <c r="H484" s="22" t="n">
        <v>46012</v>
      </c>
      <c r="I484" s="22" t="n">
        <v>46270</v>
      </c>
      <c r="J484" s="22" t="n">
        <v>46270</v>
      </c>
      <c r="K484" s="16" t="s">
        <v>640</v>
      </c>
      <c r="L484" s="16" t="s">
        <v>500</v>
      </c>
      <c r="M484" s="16"/>
      <c r="N484" s="16"/>
      <c r="O484" s="7" t="n">
        <f aca="false">IF(OR(E484="Closed Won",E484="Closed Lost"),0,1)</f>
        <v>0</v>
      </c>
      <c r="P484" s="17" t="str">
        <f aca="false">INDEX(Accounts!$K$5:$K$336,MATCH(B484,Accounts!$A$5:$A$336,0))</f>
        <v>Public Sector &amp; Development</v>
      </c>
      <c r="Q484" s="17" t="str">
        <f aca="false">INDEX(Accounts!$D$5:$D$336,MATCH(B484,Accounts!$A$5:$A$336,0))</f>
        <v>Standard</v>
      </c>
      <c r="R484" s="7" t="n">
        <f aca="false">INDEX(Inputs!$B$11:$B$16,MATCH(E484,Inputs!$A$11:$A$16,0))</f>
        <v>100</v>
      </c>
      <c r="S484" s="27" t="n">
        <f aca="false">IF(F484="",0,F484)*R484/100</f>
        <v>19754000</v>
      </c>
      <c r="T484" s="7" t="n">
        <f aca="false">Inputs!$B$4-J484</f>
        <v>44</v>
      </c>
      <c r="U484" s="7" t="n">
        <f aca="false">IF(OR(F484="",F484=0),1,0)</f>
        <v>0</v>
      </c>
      <c r="V484" s="7" t="n">
        <f aca="false">IF(K484="",1,0)</f>
        <v>0</v>
      </c>
      <c r="W484" s="7" t="n">
        <f aca="false">IF(AND(O484=1,K484&lt;&gt;"",COUNTIFS(Owners!$A$5:$A$32,K484,Owners!$E$5:$E$32,"No")&gt;0),1,0)</f>
        <v>0</v>
      </c>
      <c r="X484" s="7" t="n">
        <f aca="false">IF(AND(O484=1,I484&lt;Inputs!$B$4),1,0)</f>
        <v>0</v>
      </c>
      <c r="Y484" s="7" t="n">
        <f aca="false">IF(AND(O484=1,T484&gt;Inputs!$B$5),1,0)</f>
        <v>0</v>
      </c>
      <c r="Z484" s="7" t="n">
        <f aca="false">IF(AND(O484=1,G484&lt;&gt;R484),1,0)</f>
        <v>0</v>
      </c>
      <c r="AA484" s="7" t="n">
        <f aca="false">IF(AND(O484=1,M484=""),1,0)</f>
        <v>0</v>
      </c>
      <c r="AB484" s="7" t="n">
        <f aca="false">IF(AND(E484="Closed Lost",N484=""),1,0)</f>
        <v>0</v>
      </c>
      <c r="AC484" s="7" t="n">
        <f aca="false">SUM(U484:AB484)</f>
        <v>0</v>
      </c>
      <c r="AD484" s="7" t="n">
        <f aca="false">IF(AC484=0,1,0)</f>
        <v>1</v>
      </c>
      <c r="AE484" s="7" t="n">
        <f aca="false">IF(AND(O484=1,I484&gt;=Inputs!$B$6,I484&lt;=Inputs!$B$7),1,0)</f>
        <v>0</v>
      </c>
      <c r="AF484" s="7" t="n">
        <f aca="false">IF(AND(E484="Closed Won",I484&gt;=Inputs!$B$6,I484&lt;=Inputs!$B$4),1,0)</f>
        <v>1</v>
      </c>
      <c r="AG484" s="7" t="n">
        <f aca="false">IF(AND(O484=0,I484&gt;Inputs!$B$4-Inputs!$B$8,I484&lt;=Inputs!$B$4),1,0)</f>
        <v>1</v>
      </c>
      <c r="AH484" s="7" t="n">
        <f aca="false">I484-H484</f>
        <v>258</v>
      </c>
    </row>
    <row r="485" customFormat="false" ht="15" hidden="false" customHeight="false" outlineLevel="0" collapsed="false">
      <c r="A485" s="16" t="s">
        <v>1659</v>
      </c>
      <c r="B485" s="16" t="s">
        <v>1358</v>
      </c>
      <c r="C485" s="16" t="s">
        <v>1660</v>
      </c>
      <c r="D485" s="16" t="s">
        <v>158</v>
      </c>
      <c r="E485" s="16" t="s">
        <v>530</v>
      </c>
      <c r="F485" s="26" t="n">
        <v>4061000</v>
      </c>
      <c r="G485" s="25" t="n">
        <v>100</v>
      </c>
      <c r="H485" s="22" t="n">
        <v>46150</v>
      </c>
      <c r="I485" s="22" t="n">
        <v>46266</v>
      </c>
      <c r="J485" s="22" t="n">
        <v>46266</v>
      </c>
      <c r="K485" s="16" t="s">
        <v>633</v>
      </c>
      <c r="L485" s="16" t="s">
        <v>574</v>
      </c>
      <c r="M485" s="16"/>
      <c r="N485" s="16"/>
      <c r="O485" s="7" t="n">
        <f aca="false">IF(OR(E485="Closed Won",E485="Closed Lost"),0,1)</f>
        <v>0</v>
      </c>
      <c r="P485" s="17" t="str">
        <f aca="false">INDEX(Accounts!$K$5:$K$336,MATCH(B485,Accounts!$A$5:$A$336,0))</f>
        <v>Agribusiness</v>
      </c>
      <c r="Q485" s="17" t="str">
        <f aca="false">INDEX(Accounts!$D$5:$D$336,MATCH(B485,Accounts!$A$5:$A$336,0))</f>
        <v>Key</v>
      </c>
      <c r="R485" s="7" t="n">
        <f aca="false">INDEX(Inputs!$B$11:$B$16,MATCH(E485,Inputs!$A$11:$A$16,0))</f>
        <v>100</v>
      </c>
      <c r="S485" s="27" t="n">
        <f aca="false">IF(F485="",0,F485)*R485/100</f>
        <v>4061000</v>
      </c>
      <c r="T485" s="7" t="n">
        <f aca="false">Inputs!$B$4-J485</f>
        <v>48</v>
      </c>
      <c r="U485" s="7" t="n">
        <f aca="false">IF(OR(F485="",F485=0),1,0)</f>
        <v>0</v>
      </c>
      <c r="V485" s="7" t="n">
        <f aca="false">IF(K485="",1,0)</f>
        <v>0</v>
      </c>
      <c r="W485" s="7" t="n">
        <f aca="false">IF(AND(O485=1,K485&lt;&gt;"",COUNTIFS(Owners!$A$5:$A$32,K485,Owners!$E$5:$E$32,"No")&gt;0),1,0)</f>
        <v>0</v>
      </c>
      <c r="X485" s="7" t="n">
        <f aca="false">IF(AND(O485=1,I485&lt;Inputs!$B$4),1,0)</f>
        <v>0</v>
      </c>
      <c r="Y485" s="7" t="n">
        <f aca="false">IF(AND(O485=1,T485&gt;Inputs!$B$5),1,0)</f>
        <v>0</v>
      </c>
      <c r="Z485" s="7" t="n">
        <f aca="false">IF(AND(O485=1,G485&lt;&gt;R485),1,0)</f>
        <v>0</v>
      </c>
      <c r="AA485" s="7" t="n">
        <f aca="false">IF(AND(O485=1,M485=""),1,0)</f>
        <v>0</v>
      </c>
      <c r="AB485" s="7" t="n">
        <f aca="false">IF(AND(E485="Closed Lost",N485=""),1,0)</f>
        <v>0</v>
      </c>
      <c r="AC485" s="7" t="n">
        <f aca="false">SUM(U485:AB485)</f>
        <v>0</v>
      </c>
      <c r="AD485" s="7" t="n">
        <f aca="false">IF(AC485=0,1,0)</f>
        <v>1</v>
      </c>
      <c r="AE485" s="7" t="n">
        <f aca="false">IF(AND(O485=1,I485&gt;=Inputs!$B$6,I485&lt;=Inputs!$B$7),1,0)</f>
        <v>0</v>
      </c>
      <c r="AF485" s="7" t="n">
        <f aca="false">IF(AND(E485="Closed Won",I485&gt;=Inputs!$B$6,I485&lt;=Inputs!$B$4),1,0)</f>
        <v>1</v>
      </c>
      <c r="AG485" s="7" t="n">
        <f aca="false">IF(AND(O485=0,I485&gt;Inputs!$B$4-Inputs!$B$8,I485&lt;=Inputs!$B$4),1,0)</f>
        <v>1</v>
      </c>
      <c r="AH485" s="7" t="n">
        <f aca="false">I485-H485</f>
        <v>116</v>
      </c>
    </row>
    <row r="486" customFormat="false" ht="15" hidden="false" customHeight="false" outlineLevel="0" collapsed="false">
      <c r="A486" s="16" t="s">
        <v>1661</v>
      </c>
      <c r="B486" s="16" t="s">
        <v>363</v>
      </c>
      <c r="C486" s="16" t="s">
        <v>1662</v>
      </c>
      <c r="D486" s="16" t="s">
        <v>162</v>
      </c>
      <c r="E486" s="16" t="s">
        <v>531</v>
      </c>
      <c r="F486" s="26" t="n">
        <v>36009000</v>
      </c>
      <c r="G486" s="25" t="n">
        <v>0</v>
      </c>
      <c r="H486" s="22" t="n">
        <v>45949</v>
      </c>
      <c r="I486" s="22" t="n">
        <v>46233</v>
      </c>
      <c r="J486" s="22" t="n">
        <v>46233</v>
      </c>
      <c r="K486" s="16" t="s">
        <v>685</v>
      </c>
      <c r="L486" s="16" t="s">
        <v>609</v>
      </c>
      <c r="M486" s="16"/>
      <c r="N486" s="16" t="s">
        <v>597</v>
      </c>
      <c r="O486" s="7" t="n">
        <f aca="false">IF(OR(E486="Closed Won",E486="Closed Lost"),0,1)</f>
        <v>0</v>
      </c>
      <c r="P486" s="17" t="str">
        <f aca="false">INDEX(Accounts!$K$5:$K$336,MATCH(B486,Accounts!$A$5:$A$336,0))</f>
        <v>Technology, Media &amp; Telecom</v>
      </c>
      <c r="Q486" s="17" t="str">
        <f aca="false">INDEX(Accounts!$D$5:$D$336,MATCH(B486,Accounts!$A$5:$A$336,0))</f>
        <v>Key</v>
      </c>
      <c r="R486" s="7" t="n">
        <f aca="false">INDEX(Inputs!$B$11:$B$16,MATCH(E486,Inputs!$A$11:$A$16,0))</f>
        <v>0</v>
      </c>
      <c r="S486" s="27" t="n">
        <f aca="false">IF(F486="",0,F486)*R486/100</f>
        <v>0</v>
      </c>
      <c r="T486" s="7" t="n">
        <f aca="false">Inputs!$B$4-J486</f>
        <v>81</v>
      </c>
      <c r="U486" s="7" t="n">
        <f aca="false">IF(OR(F486="",F486=0),1,0)</f>
        <v>0</v>
      </c>
      <c r="V486" s="7" t="n">
        <f aca="false">IF(K486="",1,0)</f>
        <v>0</v>
      </c>
      <c r="W486" s="7" t="n">
        <f aca="false">IF(AND(O486=1,K486&lt;&gt;"",COUNTIFS(Owners!$A$5:$A$32,K486,Owners!$E$5:$E$32,"No")&gt;0),1,0)</f>
        <v>0</v>
      </c>
      <c r="X486" s="7" t="n">
        <f aca="false">IF(AND(O486=1,I486&lt;Inputs!$B$4),1,0)</f>
        <v>0</v>
      </c>
      <c r="Y486" s="7" t="n">
        <f aca="false">IF(AND(O486=1,T486&gt;Inputs!$B$5),1,0)</f>
        <v>0</v>
      </c>
      <c r="Z486" s="7" t="n">
        <f aca="false">IF(AND(O486=1,G486&lt;&gt;R486),1,0)</f>
        <v>0</v>
      </c>
      <c r="AA486" s="7" t="n">
        <f aca="false">IF(AND(O486=1,M486=""),1,0)</f>
        <v>0</v>
      </c>
      <c r="AB486" s="7" t="n">
        <f aca="false">IF(AND(E486="Closed Lost",N486=""),1,0)</f>
        <v>0</v>
      </c>
      <c r="AC486" s="7" t="n">
        <f aca="false">SUM(U486:AB486)</f>
        <v>0</v>
      </c>
      <c r="AD486" s="7" t="n">
        <f aca="false">IF(AC486=0,1,0)</f>
        <v>1</v>
      </c>
      <c r="AE486" s="7" t="n">
        <f aca="false">IF(AND(O486=1,I486&gt;=Inputs!$B$6,I486&lt;=Inputs!$B$7),1,0)</f>
        <v>0</v>
      </c>
      <c r="AF486" s="7" t="n">
        <f aca="false">IF(AND(E486="Closed Won",I486&gt;=Inputs!$B$6,I486&lt;=Inputs!$B$4),1,0)</f>
        <v>0</v>
      </c>
      <c r="AG486" s="7" t="n">
        <f aca="false">IF(AND(O486=0,I486&gt;Inputs!$B$4-Inputs!$B$8,I486&lt;=Inputs!$B$4),1,0)</f>
        <v>1</v>
      </c>
      <c r="AH486" s="7" t="n">
        <f aca="false">I486-H486</f>
        <v>284</v>
      </c>
    </row>
    <row r="487" customFormat="false" ht="15" hidden="false" customHeight="false" outlineLevel="0" collapsed="false">
      <c r="A487" s="16" t="s">
        <v>1663</v>
      </c>
      <c r="B487" s="16" t="s">
        <v>1664</v>
      </c>
      <c r="C487" s="16" t="s">
        <v>1665</v>
      </c>
      <c r="D487" s="16" t="s">
        <v>162</v>
      </c>
      <c r="E487" s="16" t="s">
        <v>531</v>
      </c>
      <c r="F487" s="26" t="n">
        <v>7560000</v>
      </c>
      <c r="G487" s="25" t="n">
        <v>0</v>
      </c>
      <c r="H487" s="22" t="n">
        <v>46087</v>
      </c>
      <c r="I487" s="22" t="n">
        <v>46173</v>
      </c>
      <c r="J487" s="22" t="n">
        <v>46173</v>
      </c>
      <c r="K487" s="16" t="s">
        <v>663</v>
      </c>
      <c r="L487" s="16" t="s">
        <v>592</v>
      </c>
      <c r="M487" s="16"/>
      <c r="N487" s="16"/>
      <c r="O487" s="7" t="n">
        <f aca="false">IF(OR(E487="Closed Won",E487="Closed Lost"),0,1)</f>
        <v>0</v>
      </c>
      <c r="P487" s="17" t="str">
        <f aca="false">INDEX(Accounts!$K$5:$K$336,MATCH(B487,Accounts!$A$5:$A$336,0))</f>
        <v>Public Sector &amp; Development</v>
      </c>
      <c r="Q487" s="17" t="str">
        <f aca="false">INDEX(Accounts!$D$5:$D$336,MATCH(B487,Accounts!$A$5:$A$336,0))</f>
        <v>Standard</v>
      </c>
      <c r="R487" s="7" t="n">
        <f aca="false">INDEX(Inputs!$B$11:$B$16,MATCH(E487,Inputs!$A$11:$A$16,0))</f>
        <v>0</v>
      </c>
      <c r="S487" s="27" t="n">
        <f aca="false">IF(F487="",0,F487)*R487/100</f>
        <v>0</v>
      </c>
      <c r="T487" s="7" t="n">
        <f aca="false">Inputs!$B$4-J487</f>
        <v>141</v>
      </c>
      <c r="U487" s="7" t="n">
        <f aca="false">IF(OR(F487="",F487=0),1,0)</f>
        <v>0</v>
      </c>
      <c r="V487" s="7" t="n">
        <f aca="false">IF(K487="",1,0)</f>
        <v>0</v>
      </c>
      <c r="W487" s="7" t="n">
        <f aca="false">IF(AND(O487=1,K487&lt;&gt;"",COUNTIFS(Owners!$A$5:$A$32,K487,Owners!$E$5:$E$32,"No")&gt;0),1,0)</f>
        <v>0</v>
      </c>
      <c r="X487" s="7" t="n">
        <f aca="false">IF(AND(O487=1,I487&lt;Inputs!$B$4),1,0)</f>
        <v>0</v>
      </c>
      <c r="Y487" s="7" t="n">
        <f aca="false">IF(AND(O487=1,T487&gt;Inputs!$B$5),1,0)</f>
        <v>0</v>
      </c>
      <c r="Z487" s="7" t="n">
        <f aca="false">IF(AND(O487=1,G487&lt;&gt;R487),1,0)</f>
        <v>0</v>
      </c>
      <c r="AA487" s="7" t="n">
        <f aca="false">IF(AND(O487=1,M487=""),1,0)</f>
        <v>0</v>
      </c>
      <c r="AB487" s="7" t="n">
        <f aca="false">IF(AND(E487="Closed Lost",N487=""),1,0)</f>
        <v>1</v>
      </c>
      <c r="AC487" s="7" t="n">
        <f aca="false">SUM(U487:AB487)</f>
        <v>1</v>
      </c>
      <c r="AD487" s="7" t="n">
        <f aca="false">IF(AC487=0,1,0)</f>
        <v>0</v>
      </c>
      <c r="AE487" s="7" t="n">
        <f aca="false">IF(AND(O487=1,I487&gt;=Inputs!$B$6,I487&lt;=Inputs!$B$7),1,0)</f>
        <v>0</v>
      </c>
      <c r="AF487" s="7" t="n">
        <f aca="false">IF(AND(E487="Closed Won",I487&gt;=Inputs!$B$6,I487&lt;=Inputs!$B$4),1,0)</f>
        <v>0</v>
      </c>
      <c r="AG487" s="7" t="n">
        <f aca="false">IF(AND(O487=0,I487&gt;Inputs!$B$4-Inputs!$B$8,I487&lt;=Inputs!$B$4),1,0)</f>
        <v>1</v>
      </c>
      <c r="AH487" s="7" t="n">
        <f aca="false">I487-H487</f>
        <v>86</v>
      </c>
    </row>
    <row r="488" customFormat="false" ht="15" hidden="false" customHeight="false" outlineLevel="0" collapsed="false">
      <c r="A488" s="16" t="s">
        <v>1666</v>
      </c>
      <c r="B488" s="16" t="s">
        <v>69</v>
      </c>
      <c r="C488" s="16" t="s">
        <v>1263</v>
      </c>
      <c r="D488" s="16" t="s">
        <v>167</v>
      </c>
      <c r="E488" s="16" t="s">
        <v>531</v>
      </c>
      <c r="F488" s="26" t="n">
        <v>2194000</v>
      </c>
      <c r="G488" s="25" t="n">
        <v>0</v>
      </c>
      <c r="H488" s="22" t="n">
        <v>45954</v>
      </c>
      <c r="I488" s="22" t="n">
        <v>46088</v>
      </c>
      <c r="J488" s="22" t="n">
        <v>46088</v>
      </c>
      <c r="K488" s="16" t="s">
        <v>604</v>
      </c>
      <c r="L488" s="16" t="s">
        <v>609</v>
      </c>
      <c r="M488" s="16"/>
      <c r="N488" s="16" t="s">
        <v>722</v>
      </c>
      <c r="O488" s="7" t="n">
        <f aca="false">IF(OR(E488="Closed Won",E488="Closed Lost"),0,1)</f>
        <v>0</v>
      </c>
      <c r="P488" s="17" t="str">
        <f aca="false">INDEX(Accounts!$K$5:$K$336,MATCH(B488,Accounts!$A$5:$A$336,0))</f>
        <v>Financial Services</v>
      </c>
      <c r="Q488" s="17" t="str">
        <f aca="false">INDEX(Accounts!$D$5:$D$336,MATCH(B488,Accounts!$A$5:$A$336,0))</f>
        <v>Priority</v>
      </c>
      <c r="R488" s="7" t="n">
        <f aca="false">INDEX(Inputs!$B$11:$B$16,MATCH(E488,Inputs!$A$11:$A$16,0))</f>
        <v>0</v>
      </c>
      <c r="S488" s="27" t="n">
        <f aca="false">IF(F488="",0,F488)*R488/100</f>
        <v>0</v>
      </c>
      <c r="T488" s="7" t="n">
        <f aca="false">Inputs!$B$4-J488</f>
        <v>226</v>
      </c>
      <c r="U488" s="7" t="n">
        <f aca="false">IF(OR(F488="",F488=0),1,0)</f>
        <v>0</v>
      </c>
      <c r="V488" s="7" t="n">
        <f aca="false">IF(K488="",1,0)</f>
        <v>0</v>
      </c>
      <c r="W488" s="7" t="n">
        <f aca="false">IF(AND(O488=1,K488&lt;&gt;"",COUNTIFS(Owners!$A$5:$A$32,K488,Owners!$E$5:$E$32,"No")&gt;0),1,0)</f>
        <v>0</v>
      </c>
      <c r="X488" s="7" t="n">
        <f aca="false">IF(AND(O488=1,I488&lt;Inputs!$B$4),1,0)</f>
        <v>0</v>
      </c>
      <c r="Y488" s="7" t="n">
        <f aca="false">IF(AND(O488=1,T488&gt;Inputs!$B$5),1,0)</f>
        <v>0</v>
      </c>
      <c r="Z488" s="7" t="n">
        <f aca="false">IF(AND(O488=1,G488&lt;&gt;R488),1,0)</f>
        <v>0</v>
      </c>
      <c r="AA488" s="7" t="n">
        <f aca="false">IF(AND(O488=1,M488=""),1,0)</f>
        <v>0</v>
      </c>
      <c r="AB488" s="7" t="n">
        <f aca="false">IF(AND(E488="Closed Lost",N488=""),1,0)</f>
        <v>0</v>
      </c>
      <c r="AC488" s="7" t="n">
        <f aca="false">SUM(U488:AB488)</f>
        <v>0</v>
      </c>
      <c r="AD488" s="7" t="n">
        <f aca="false">IF(AC488=0,1,0)</f>
        <v>1</v>
      </c>
      <c r="AE488" s="7" t="n">
        <f aca="false">IF(AND(O488=1,I488&gt;=Inputs!$B$6,I488&lt;=Inputs!$B$7),1,0)</f>
        <v>0</v>
      </c>
      <c r="AF488" s="7" t="n">
        <f aca="false">IF(AND(E488="Closed Won",I488&gt;=Inputs!$B$6,I488&lt;=Inputs!$B$4),1,0)</f>
        <v>0</v>
      </c>
      <c r="AG488" s="7" t="n">
        <f aca="false">IF(AND(O488=0,I488&gt;Inputs!$B$4-Inputs!$B$8,I488&lt;=Inputs!$B$4),1,0)</f>
        <v>1</v>
      </c>
      <c r="AH488" s="7" t="n">
        <f aca="false">I488-H488</f>
        <v>134</v>
      </c>
    </row>
    <row r="489" customFormat="false" ht="15" hidden="false" customHeight="false" outlineLevel="0" collapsed="false">
      <c r="A489" s="16" t="s">
        <v>1667</v>
      </c>
      <c r="B489" s="16" t="s">
        <v>661</v>
      </c>
      <c r="C489" s="16" t="s">
        <v>1668</v>
      </c>
      <c r="D489" s="16" t="s">
        <v>162</v>
      </c>
      <c r="E489" s="16" t="s">
        <v>530</v>
      </c>
      <c r="F489" s="26" t="n">
        <v>5657000</v>
      </c>
      <c r="G489" s="25" t="n">
        <v>100</v>
      </c>
      <c r="H489" s="22" t="n">
        <v>45991</v>
      </c>
      <c r="I489" s="22" t="n">
        <v>46066</v>
      </c>
      <c r="J489" s="22" t="n">
        <v>46066</v>
      </c>
      <c r="K489" s="16" t="s">
        <v>663</v>
      </c>
      <c r="L489" s="16" t="s">
        <v>584</v>
      </c>
      <c r="M489" s="16"/>
      <c r="N489" s="16"/>
      <c r="O489" s="7" t="n">
        <f aca="false">IF(OR(E489="Closed Won",E489="Closed Lost"),0,1)</f>
        <v>0</v>
      </c>
      <c r="P489" s="17" t="str">
        <f aca="false">INDEX(Accounts!$K$5:$K$336,MATCH(B489,Accounts!$A$5:$A$336,0))</f>
        <v>Technology, Media &amp; Telecom</v>
      </c>
      <c r="Q489" s="17" t="str">
        <f aca="false">INDEX(Accounts!$D$5:$D$336,MATCH(B489,Accounts!$A$5:$A$336,0))</f>
        <v>Key</v>
      </c>
      <c r="R489" s="7" t="n">
        <f aca="false">INDEX(Inputs!$B$11:$B$16,MATCH(E489,Inputs!$A$11:$A$16,0))</f>
        <v>100</v>
      </c>
      <c r="S489" s="27" t="n">
        <f aca="false">IF(F489="",0,F489)*R489/100</f>
        <v>5657000</v>
      </c>
      <c r="T489" s="7" t="n">
        <f aca="false">Inputs!$B$4-J489</f>
        <v>248</v>
      </c>
      <c r="U489" s="7" t="n">
        <f aca="false">IF(OR(F489="",F489=0),1,0)</f>
        <v>0</v>
      </c>
      <c r="V489" s="7" t="n">
        <f aca="false">IF(K489="",1,0)</f>
        <v>0</v>
      </c>
      <c r="W489" s="7" t="n">
        <f aca="false">IF(AND(O489=1,K489&lt;&gt;"",COUNTIFS(Owners!$A$5:$A$32,K489,Owners!$E$5:$E$32,"No")&gt;0),1,0)</f>
        <v>0</v>
      </c>
      <c r="X489" s="7" t="n">
        <f aca="false">IF(AND(O489=1,I489&lt;Inputs!$B$4),1,0)</f>
        <v>0</v>
      </c>
      <c r="Y489" s="7" t="n">
        <f aca="false">IF(AND(O489=1,T489&gt;Inputs!$B$5),1,0)</f>
        <v>0</v>
      </c>
      <c r="Z489" s="7" t="n">
        <f aca="false">IF(AND(O489=1,G489&lt;&gt;R489),1,0)</f>
        <v>0</v>
      </c>
      <c r="AA489" s="7" t="n">
        <f aca="false">IF(AND(O489=1,M489=""),1,0)</f>
        <v>0</v>
      </c>
      <c r="AB489" s="7" t="n">
        <f aca="false">IF(AND(E489="Closed Lost",N489=""),1,0)</f>
        <v>0</v>
      </c>
      <c r="AC489" s="7" t="n">
        <f aca="false">SUM(U489:AB489)</f>
        <v>0</v>
      </c>
      <c r="AD489" s="7" t="n">
        <f aca="false">IF(AC489=0,1,0)</f>
        <v>1</v>
      </c>
      <c r="AE489" s="7" t="n">
        <f aca="false">IF(AND(O489=1,I489&gt;=Inputs!$B$6,I489&lt;=Inputs!$B$7),1,0)</f>
        <v>0</v>
      </c>
      <c r="AF489" s="7" t="n">
        <f aca="false">IF(AND(E489="Closed Won",I489&gt;=Inputs!$B$6,I489&lt;=Inputs!$B$4),1,0)</f>
        <v>0</v>
      </c>
      <c r="AG489" s="7" t="n">
        <f aca="false">IF(AND(O489=0,I489&gt;Inputs!$B$4-Inputs!$B$8,I489&lt;=Inputs!$B$4),1,0)</f>
        <v>1</v>
      </c>
      <c r="AH489" s="7" t="n">
        <f aca="false">I489-H489</f>
        <v>75</v>
      </c>
    </row>
    <row r="490" customFormat="false" ht="15" hidden="false" customHeight="false" outlineLevel="0" collapsed="false">
      <c r="A490" s="16" t="s">
        <v>1669</v>
      </c>
      <c r="B490" s="16" t="s">
        <v>1353</v>
      </c>
      <c r="C490" s="16" t="s">
        <v>1670</v>
      </c>
      <c r="D490" s="16" t="s">
        <v>165</v>
      </c>
      <c r="E490" s="16" t="s">
        <v>529</v>
      </c>
      <c r="F490" s="26" t="n">
        <v>11424000</v>
      </c>
      <c r="G490" s="25" t="n">
        <v>75</v>
      </c>
      <c r="H490" s="22" t="n">
        <v>46245</v>
      </c>
      <c r="I490" s="22" t="n">
        <v>46480</v>
      </c>
      <c r="J490" s="22" t="n">
        <v>46298</v>
      </c>
      <c r="K490" s="16" t="s">
        <v>637</v>
      </c>
      <c r="L490" s="16" t="s">
        <v>568</v>
      </c>
      <c r="M490" s="16" t="s">
        <v>575</v>
      </c>
      <c r="N490" s="16"/>
      <c r="O490" s="7" t="n">
        <f aca="false">IF(OR(E490="Closed Won",E490="Closed Lost"),0,1)</f>
        <v>1</v>
      </c>
      <c r="P490" s="17" t="str">
        <f aca="false">INDEX(Accounts!$K$5:$K$336,MATCH(B490,Accounts!$A$5:$A$336,0))</f>
        <v>Financial Services</v>
      </c>
      <c r="Q490" s="17" t="str">
        <f aca="false">INDEX(Accounts!$D$5:$D$336,MATCH(B490,Accounts!$A$5:$A$336,0))</f>
        <v>Standard</v>
      </c>
      <c r="R490" s="7" t="n">
        <f aca="false">INDEX(Inputs!$B$11:$B$16,MATCH(E490,Inputs!$A$11:$A$16,0))</f>
        <v>75</v>
      </c>
      <c r="S490" s="27" t="n">
        <f aca="false">IF(F490="",0,F490)*R490/100</f>
        <v>8568000</v>
      </c>
      <c r="T490" s="7" t="n">
        <f aca="false">Inputs!$B$4-J490</f>
        <v>16</v>
      </c>
      <c r="U490" s="7" t="n">
        <f aca="false">IF(OR(F490="",F490=0),1,0)</f>
        <v>0</v>
      </c>
      <c r="V490" s="7" t="n">
        <f aca="false">IF(K490="",1,0)</f>
        <v>0</v>
      </c>
      <c r="W490" s="7" t="n">
        <f aca="false">IF(AND(O490=1,K490&lt;&gt;"",COUNTIFS(Owners!$A$5:$A$32,K490,Owners!$E$5:$E$32,"No")&gt;0),1,0)</f>
        <v>0</v>
      </c>
      <c r="X490" s="7" t="n">
        <f aca="false">IF(AND(O490=1,I490&lt;Inputs!$B$4),1,0)</f>
        <v>0</v>
      </c>
      <c r="Y490" s="7" t="n">
        <f aca="false">IF(AND(O490=1,T490&gt;Inputs!$B$5),1,0)</f>
        <v>0</v>
      </c>
      <c r="Z490" s="7" t="n">
        <f aca="false">IF(AND(O490=1,G490&lt;&gt;R490),1,0)</f>
        <v>0</v>
      </c>
      <c r="AA490" s="7" t="n">
        <f aca="false">IF(AND(O490=1,M490=""),1,0)</f>
        <v>0</v>
      </c>
      <c r="AB490" s="7" t="n">
        <f aca="false">IF(AND(E490="Closed Lost",N490=""),1,0)</f>
        <v>0</v>
      </c>
      <c r="AC490" s="7" t="n">
        <f aca="false">SUM(U490:AB490)</f>
        <v>0</v>
      </c>
      <c r="AD490" s="7" t="n">
        <f aca="false">IF(AC490=0,1,0)</f>
        <v>1</v>
      </c>
      <c r="AE490" s="7" t="n">
        <f aca="false">IF(AND(O490=1,I490&gt;=Inputs!$B$6,I490&lt;=Inputs!$B$7),1,0)</f>
        <v>1</v>
      </c>
      <c r="AF490" s="7" t="n">
        <f aca="false">IF(AND(E490="Closed Won",I490&gt;=Inputs!$B$6,I490&lt;=Inputs!$B$4),1,0)</f>
        <v>0</v>
      </c>
      <c r="AG490" s="7" t="n">
        <f aca="false">IF(AND(O490=0,I490&gt;Inputs!$B$4-Inputs!$B$8,I490&lt;=Inputs!$B$4),1,0)</f>
        <v>0</v>
      </c>
      <c r="AH490" s="7" t="n">
        <f aca="false">I490-H490</f>
        <v>235</v>
      </c>
    </row>
    <row r="491" customFormat="false" ht="15" hidden="false" customHeight="false" outlineLevel="0" collapsed="false">
      <c r="A491" s="16" t="s">
        <v>1671</v>
      </c>
      <c r="B491" s="16" t="s">
        <v>756</v>
      </c>
      <c r="C491" s="16" t="s">
        <v>1672</v>
      </c>
      <c r="D491" s="16" t="s">
        <v>167</v>
      </c>
      <c r="E491" s="16" t="s">
        <v>531</v>
      </c>
      <c r="F491" s="26" t="n">
        <v>40541000</v>
      </c>
      <c r="G491" s="25" t="n">
        <v>0</v>
      </c>
      <c r="H491" s="22" t="n">
        <v>45955</v>
      </c>
      <c r="I491" s="22" t="n">
        <v>46178</v>
      </c>
      <c r="J491" s="22" t="n">
        <v>46178</v>
      </c>
      <c r="K491" s="16" t="s">
        <v>677</v>
      </c>
      <c r="L491" s="16" t="s">
        <v>574</v>
      </c>
      <c r="M491" s="16"/>
      <c r="N491" s="16"/>
      <c r="O491" s="7" t="n">
        <f aca="false">IF(OR(E491="Closed Won",E491="Closed Lost"),0,1)</f>
        <v>0</v>
      </c>
      <c r="P491" s="17" t="str">
        <f aca="false">INDEX(Accounts!$K$5:$K$336,MATCH(B491,Accounts!$A$5:$A$336,0))</f>
        <v>Public Sector &amp; Development</v>
      </c>
      <c r="Q491" s="17" t="str">
        <f aca="false">INDEX(Accounts!$D$5:$D$336,MATCH(B491,Accounts!$A$5:$A$336,0))</f>
        <v>Key</v>
      </c>
      <c r="R491" s="7" t="n">
        <f aca="false">INDEX(Inputs!$B$11:$B$16,MATCH(E491,Inputs!$A$11:$A$16,0))</f>
        <v>0</v>
      </c>
      <c r="S491" s="27" t="n">
        <f aca="false">IF(F491="",0,F491)*R491/100</f>
        <v>0</v>
      </c>
      <c r="T491" s="7" t="n">
        <f aca="false">Inputs!$B$4-J491</f>
        <v>136</v>
      </c>
      <c r="U491" s="7" t="n">
        <f aca="false">IF(OR(F491="",F491=0),1,0)</f>
        <v>0</v>
      </c>
      <c r="V491" s="7" t="n">
        <f aca="false">IF(K491="",1,0)</f>
        <v>0</v>
      </c>
      <c r="W491" s="7" t="n">
        <f aca="false">IF(AND(O491=1,K491&lt;&gt;"",COUNTIFS(Owners!$A$5:$A$32,K491,Owners!$E$5:$E$32,"No")&gt;0),1,0)</f>
        <v>0</v>
      </c>
      <c r="X491" s="7" t="n">
        <f aca="false">IF(AND(O491=1,I491&lt;Inputs!$B$4),1,0)</f>
        <v>0</v>
      </c>
      <c r="Y491" s="7" t="n">
        <f aca="false">IF(AND(O491=1,T491&gt;Inputs!$B$5),1,0)</f>
        <v>0</v>
      </c>
      <c r="Z491" s="7" t="n">
        <f aca="false">IF(AND(O491=1,G491&lt;&gt;R491),1,0)</f>
        <v>0</v>
      </c>
      <c r="AA491" s="7" t="n">
        <f aca="false">IF(AND(O491=1,M491=""),1,0)</f>
        <v>0</v>
      </c>
      <c r="AB491" s="7" t="n">
        <f aca="false">IF(AND(E491="Closed Lost",N491=""),1,0)</f>
        <v>1</v>
      </c>
      <c r="AC491" s="7" t="n">
        <f aca="false">SUM(U491:AB491)</f>
        <v>1</v>
      </c>
      <c r="AD491" s="7" t="n">
        <f aca="false">IF(AC491=0,1,0)</f>
        <v>0</v>
      </c>
      <c r="AE491" s="7" t="n">
        <f aca="false">IF(AND(O491=1,I491&gt;=Inputs!$B$6,I491&lt;=Inputs!$B$7),1,0)</f>
        <v>0</v>
      </c>
      <c r="AF491" s="7" t="n">
        <f aca="false">IF(AND(E491="Closed Won",I491&gt;=Inputs!$B$6,I491&lt;=Inputs!$B$4),1,0)</f>
        <v>0</v>
      </c>
      <c r="AG491" s="7" t="n">
        <f aca="false">IF(AND(O491=0,I491&gt;Inputs!$B$4-Inputs!$B$8,I491&lt;=Inputs!$B$4),1,0)</f>
        <v>1</v>
      </c>
      <c r="AH491" s="7" t="n">
        <f aca="false">I491-H491</f>
        <v>223</v>
      </c>
    </row>
    <row r="492" customFormat="false" ht="15" hidden="false" customHeight="false" outlineLevel="0" collapsed="false">
      <c r="A492" s="16" t="s">
        <v>1673</v>
      </c>
      <c r="B492" s="16" t="s">
        <v>96</v>
      </c>
      <c r="C492" s="16" t="s">
        <v>1674</v>
      </c>
      <c r="D492" s="16" t="s">
        <v>167</v>
      </c>
      <c r="E492" s="16" t="s">
        <v>531</v>
      </c>
      <c r="F492" s="26" t="n">
        <v>9826000</v>
      </c>
      <c r="G492" s="25" t="n">
        <v>0</v>
      </c>
      <c r="H492" s="22" t="n">
        <v>45936</v>
      </c>
      <c r="I492" s="22" t="n">
        <v>46001</v>
      </c>
      <c r="J492" s="22" t="n">
        <v>46001</v>
      </c>
      <c r="K492" s="16" t="s">
        <v>704</v>
      </c>
      <c r="L492" s="16" t="s">
        <v>584</v>
      </c>
      <c r="M492" s="16"/>
      <c r="N492" s="16" t="s">
        <v>713</v>
      </c>
      <c r="O492" s="7" t="n">
        <f aca="false">IF(OR(E492="Closed Won",E492="Closed Lost"),0,1)</f>
        <v>0</v>
      </c>
      <c r="P492" s="17" t="str">
        <f aca="false">INDEX(Accounts!$K$5:$K$336,MATCH(B492,Accounts!$A$5:$A$336,0))</f>
        <v>Financial Services</v>
      </c>
      <c r="Q492" s="17" t="str">
        <f aca="false">INDEX(Accounts!$D$5:$D$336,MATCH(B492,Accounts!$A$5:$A$336,0))</f>
        <v>Priority</v>
      </c>
      <c r="R492" s="7" t="n">
        <f aca="false">INDEX(Inputs!$B$11:$B$16,MATCH(E492,Inputs!$A$11:$A$16,0))</f>
        <v>0</v>
      </c>
      <c r="S492" s="27" t="n">
        <f aca="false">IF(F492="",0,F492)*R492/100</f>
        <v>0</v>
      </c>
      <c r="T492" s="7" t="n">
        <f aca="false">Inputs!$B$4-J492</f>
        <v>313</v>
      </c>
      <c r="U492" s="7" t="n">
        <f aca="false">IF(OR(F492="",F492=0),1,0)</f>
        <v>0</v>
      </c>
      <c r="V492" s="7" t="n">
        <f aca="false">IF(K492="",1,0)</f>
        <v>0</v>
      </c>
      <c r="W492" s="7" t="n">
        <f aca="false">IF(AND(O492=1,K492&lt;&gt;"",COUNTIFS(Owners!$A$5:$A$32,K492,Owners!$E$5:$E$32,"No")&gt;0),1,0)</f>
        <v>0</v>
      </c>
      <c r="X492" s="7" t="n">
        <f aca="false">IF(AND(O492=1,I492&lt;Inputs!$B$4),1,0)</f>
        <v>0</v>
      </c>
      <c r="Y492" s="7" t="n">
        <f aca="false">IF(AND(O492=1,T492&gt;Inputs!$B$5),1,0)</f>
        <v>0</v>
      </c>
      <c r="Z492" s="7" t="n">
        <f aca="false">IF(AND(O492=1,G492&lt;&gt;R492),1,0)</f>
        <v>0</v>
      </c>
      <c r="AA492" s="7" t="n">
        <f aca="false">IF(AND(O492=1,M492=""),1,0)</f>
        <v>0</v>
      </c>
      <c r="AB492" s="7" t="n">
        <f aca="false">IF(AND(E492="Closed Lost",N492=""),1,0)</f>
        <v>0</v>
      </c>
      <c r="AC492" s="7" t="n">
        <f aca="false">SUM(U492:AB492)</f>
        <v>0</v>
      </c>
      <c r="AD492" s="7" t="n">
        <f aca="false">IF(AC492=0,1,0)</f>
        <v>1</v>
      </c>
      <c r="AE492" s="7" t="n">
        <f aca="false">IF(AND(O492=1,I492&gt;=Inputs!$B$6,I492&lt;=Inputs!$B$7),1,0)</f>
        <v>0</v>
      </c>
      <c r="AF492" s="7" t="n">
        <f aca="false">IF(AND(E492="Closed Won",I492&gt;=Inputs!$B$6,I492&lt;=Inputs!$B$4),1,0)</f>
        <v>0</v>
      </c>
      <c r="AG492" s="7" t="n">
        <f aca="false">IF(AND(O492=0,I492&gt;Inputs!$B$4-Inputs!$B$8,I492&lt;=Inputs!$B$4),1,0)</f>
        <v>1</v>
      </c>
      <c r="AH492" s="7" t="n">
        <f aca="false">I492-H492</f>
        <v>65</v>
      </c>
    </row>
    <row r="493" customFormat="false" ht="15" hidden="false" customHeight="false" outlineLevel="0" collapsed="false">
      <c r="A493" s="16" t="s">
        <v>1675</v>
      </c>
      <c r="B493" s="16" t="s">
        <v>1012</v>
      </c>
      <c r="C493" s="16" t="s">
        <v>1676</v>
      </c>
      <c r="D493" s="16" t="s">
        <v>158</v>
      </c>
      <c r="E493" s="16" t="s">
        <v>530</v>
      </c>
      <c r="F493" s="26" t="n">
        <v>5870000</v>
      </c>
      <c r="G493" s="25" t="n">
        <v>100</v>
      </c>
      <c r="H493" s="22" t="n">
        <v>45942</v>
      </c>
      <c r="I493" s="22" t="n">
        <v>46025</v>
      </c>
      <c r="J493" s="22" t="n">
        <v>46025</v>
      </c>
      <c r="K493" s="16" t="s">
        <v>691</v>
      </c>
      <c r="L493" s="16" t="s">
        <v>574</v>
      </c>
      <c r="M493" s="16"/>
      <c r="N493" s="16"/>
      <c r="O493" s="7" t="n">
        <f aca="false">IF(OR(E493="Closed Won",E493="Closed Lost"),0,1)</f>
        <v>0</v>
      </c>
      <c r="P493" s="17" t="str">
        <f aca="false">INDEX(Accounts!$K$5:$K$336,MATCH(B493,Accounts!$A$5:$A$336,0))</f>
        <v>Energy &amp; Resources</v>
      </c>
      <c r="Q493" s="17" t="str">
        <f aca="false">INDEX(Accounts!$D$5:$D$336,MATCH(B493,Accounts!$A$5:$A$336,0))</f>
        <v>Standard</v>
      </c>
      <c r="R493" s="7" t="n">
        <f aca="false">INDEX(Inputs!$B$11:$B$16,MATCH(E493,Inputs!$A$11:$A$16,0))</f>
        <v>100</v>
      </c>
      <c r="S493" s="27" t="n">
        <f aca="false">IF(F493="",0,F493)*R493/100</f>
        <v>5870000</v>
      </c>
      <c r="T493" s="7" t="n">
        <f aca="false">Inputs!$B$4-J493</f>
        <v>289</v>
      </c>
      <c r="U493" s="7" t="n">
        <f aca="false">IF(OR(F493="",F493=0),1,0)</f>
        <v>0</v>
      </c>
      <c r="V493" s="7" t="n">
        <f aca="false">IF(K493="",1,0)</f>
        <v>0</v>
      </c>
      <c r="W493" s="7" t="n">
        <f aca="false">IF(AND(O493=1,K493&lt;&gt;"",COUNTIFS(Owners!$A$5:$A$32,K493,Owners!$E$5:$E$32,"No")&gt;0),1,0)</f>
        <v>0</v>
      </c>
      <c r="X493" s="7" t="n">
        <f aca="false">IF(AND(O493=1,I493&lt;Inputs!$B$4),1,0)</f>
        <v>0</v>
      </c>
      <c r="Y493" s="7" t="n">
        <f aca="false">IF(AND(O493=1,T493&gt;Inputs!$B$5),1,0)</f>
        <v>0</v>
      </c>
      <c r="Z493" s="7" t="n">
        <f aca="false">IF(AND(O493=1,G493&lt;&gt;R493),1,0)</f>
        <v>0</v>
      </c>
      <c r="AA493" s="7" t="n">
        <f aca="false">IF(AND(O493=1,M493=""),1,0)</f>
        <v>0</v>
      </c>
      <c r="AB493" s="7" t="n">
        <f aca="false">IF(AND(E493="Closed Lost",N493=""),1,0)</f>
        <v>0</v>
      </c>
      <c r="AC493" s="7" t="n">
        <f aca="false">SUM(U493:AB493)</f>
        <v>0</v>
      </c>
      <c r="AD493" s="7" t="n">
        <f aca="false">IF(AC493=0,1,0)</f>
        <v>1</v>
      </c>
      <c r="AE493" s="7" t="n">
        <f aca="false">IF(AND(O493=1,I493&gt;=Inputs!$B$6,I493&lt;=Inputs!$B$7),1,0)</f>
        <v>0</v>
      </c>
      <c r="AF493" s="7" t="n">
        <f aca="false">IF(AND(E493="Closed Won",I493&gt;=Inputs!$B$6,I493&lt;=Inputs!$B$4),1,0)</f>
        <v>0</v>
      </c>
      <c r="AG493" s="7" t="n">
        <f aca="false">IF(AND(O493=0,I493&gt;Inputs!$B$4-Inputs!$B$8,I493&lt;=Inputs!$B$4),1,0)</f>
        <v>1</v>
      </c>
      <c r="AH493" s="7" t="n">
        <f aca="false">I493-H493</f>
        <v>83</v>
      </c>
    </row>
    <row r="494" customFormat="false" ht="15" hidden="false" customHeight="false" outlineLevel="0" collapsed="false">
      <c r="A494" s="16" t="s">
        <v>1677</v>
      </c>
      <c r="B494" s="16" t="s">
        <v>1678</v>
      </c>
      <c r="C494" s="16" t="s">
        <v>1679</v>
      </c>
      <c r="D494" s="16" t="s">
        <v>165</v>
      </c>
      <c r="E494" s="16" t="s">
        <v>526</v>
      </c>
      <c r="F494" s="26" t="n">
        <v>48158000</v>
      </c>
      <c r="G494" s="25" t="n">
        <v>10</v>
      </c>
      <c r="H494" s="22" t="n">
        <v>46309</v>
      </c>
      <c r="I494" s="22" t="n">
        <v>46312</v>
      </c>
      <c r="J494" s="22" t="n">
        <v>46305</v>
      </c>
      <c r="K494" s="16" t="s">
        <v>691</v>
      </c>
      <c r="L494" s="16" t="s">
        <v>584</v>
      </c>
      <c r="M494" s="16" t="s">
        <v>575</v>
      </c>
      <c r="N494" s="16"/>
      <c r="O494" s="7" t="n">
        <f aca="false">IF(OR(E494="Closed Won",E494="Closed Lost"),0,1)</f>
        <v>1</v>
      </c>
      <c r="P494" s="17" t="str">
        <f aca="false">INDEX(Accounts!$K$5:$K$336,MATCH(B494,Accounts!$A$5:$A$336,0))</f>
        <v>Technology, Media &amp; Telecom</v>
      </c>
      <c r="Q494" s="17" t="str">
        <f aca="false">INDEX(Accounts!$D$5:$D$336,MATCH(B494,Accounts!$A$5:$A$336,0))</f>
        <v>Standard</v>
      </c>
      <c r="R494" s="7" t="n">
        <f aca="false">INDEX(Inputs!$B$11:$B$16,MATCH(E494,Inputs!$A$11:$A$16,0))</f>
        <v>10</v>
      </c>
      <c r="S494" s="27" t="n">
        <f aca="false">IF(F494="",0,F494)*R494/100</f>
        <v>4815800</v>
      </c>
      <c r="T494" s="7" t="n">
        <f aca="false">Inputs!$B$4-J494</f>
        <v>9</v>
      </c>
      <c r="U494" s="7" t="n">
        <f aca="false">IF(OR(F494="",F494=0),1,0)</f>
        <v>0</v>
      </c>
      <c r="V494" s="7" t="n">
        <f aca="false">IF(K494="",1,0)</f>
        <v>0</v>
      </c>
      <c r="W494" s="7" t="n">
        <f aca="false">IF(AND(O494=1,K494&lt;&gt;"",COUNTIFS(Owners!$A$5:$A$32,K494,Owners!$E$5:$E$32,"No")&gt;0),1,0)</f>
        <v>0</v>
      </c>
      <c r="X494" s="7" t="n">
        <f aca="false">IF(AND(O494=1,I494&lt;Inputs!$B$4),1,0)</f>
        <v>1</v>
      </c>
      <c r="Y494" s="7" t="n">
        <f aca="false">IF(AND(O494=1,T494&gt;Inputs!$B$5),1,0)</f>
        <v>0</v>
      </c>
      <c r="Z494" s="7" t="n">
        <f aca="false">IF(AND(O494=1,G494&lt;&gt;R494),1,0)</f>
        <v>0</v>
      </c>
      <c r="AA494" s="7" t="n">
        <f aca="false">IF(AND(O494=1,M494=""),1,0)</f>
        <v>0</v>
      </c>
      <c r="AB494" s="7" t="n">
        <f aca="false">IF(AND(E494="Closed Lost",N494=""),1,0)</f>
        <v>0</v>
      </c>
      <c r="AC494" s="7" t="n">
        <f aca="false">SUM(U494:AB494)</f>
        <v>1</v>
      </c>
      <c r="AD494" s="7" t="n">
        <f aca="false">IF(AC494=0,1,0)</f>
        <v>0</v>
      </c>
      <c r="AE494" s="7" t="n">
        <f aca="false">IF(AND(O494=1,I494&gt;=Inputs!$B$6,I494&lt;=Inputs!$B$7),1,0)</f>
        <v>1</v>
      </c>
      <c r="AF494" s="7" t="n">
        <f aca="false">IF(AND(E494="Closed Won",I494&gt;=Inputs!$B$6,I494&lt;=Inputs!$B$4),1,0)</f>
        <v>0</v>
      </c>
      <c r="AG494" s="7" t="n">
        <f aca="false">IF(AND(O494=0,I494&gt;Inputs!$B$4-Inputs!$B$8,I494&lt;=Inputs!$B$4),1,0)</f>
        <v>0</v>
      </c>
      <c r="AH494" s="7" t="n">
        <f aca="false">I494-H494</f>
        <v>3</v>
      </c>
    </row>
    <row r="495" customFormat="false" ht="15" hidden="false" customHeight="false" outlineLevel="0" collapsed="false">
      <c r="A495" s="16" t="s">
        <v>1680</v>
      </c>
      <c r="B495" s="16" t="s">
        <v>1681</v>
      </c>
      <c r="C495" s="16" t="s">
        <v>1682</v>
      </c>
      <c r="D495" s="16" t="s">
        <v>158</v>
      </c>
      <c r="E495" s="16" t="s">
        <v>531</v>
      </c>
      <c r="F495" s="26" t="n">
        <v>16107000</v>
      </c>
      <c r="G495" s="25" t="n">
        <v>0</v>
      </c>
      <c r="H495" s="22" t="n">
        <v>45955</v>
      </c>
      <c r="I495" s="22" t="n">
        <v>46098</v>
      </c>
      <c r="J495" s="22" t="n">
        <v>46098</v>
      </c>
      <c r="K495" s="16" t="s">
        <v>765</v>
      </c>
      <c r="L495" s="16" t="s">
        <v>584</v>
      </c>
      <c r="M495" s="16"/>
      <c r="N495" s="16" t="s">
        <v>722</v>
      </c>
      <c r="O495" s="7" t="n">
        <f aca="false">IF(OR(E495="Closed Won",E495="Closed Lost"),0,1)</f>
        <v>0</v>
      </c>
      <c r="P495" s="17" t="str">
        <f aca="false">INDEX(Accounts!$K$5:$K$336,MATCH(B495,Accounts!$A$5:$A$336,0))</f>
        <v>Public Sector &amp; Development</v>
      </c>
      <c r="Q495" s="17" t="str">
        <f aca="false">INDEX(Accounts!$D$5:$D$336,MATCH(B495,Accounts!$A$5:$A$336,0))</f>
        <v>Key</v>
      </c>
      <c r="R495" s="7" t="n">
        <f aca="false">INDEX(Inputs!$B$11:$B$16,MATCH(E495,Inputs!$A$11:$A$16,0))</f>
        <v>0</v>
      </c>
      <c r="S495" s="27" t="n">
        <f aca="false">IF(F495="",0,F495)*R495/100</f>
        <v>0</v>
      </c>
      <c r="T495" s="7" t="n">
        <f aca="false">Inputs!$B$4-J495</f>
        <v>216</v>
      </c>
      <c r="U495" s="7" t="n">
        <f aca="false">IF(OR(F495="",F495=0),1,0)</f>
        <v>0</v>
      </c>
      <c r="V495" s="7" t="n">
        <f aca="false">IF(K495="",1,0)</f>
        <v>0</v>
      </c>
      <c r="W495" s="7" t="n">
        <f aca="false">IF(AND(O495=1,K495&lt;&gt;"",COUNTIFS(Owners!$A$5:$A$32,K495,Owners!$E$5:$E$32,"No")&gt;0),1,0)</f>
        <v>0</v>
      </c>
      <c r="X495" s="7" t="n">
        <f aca="false">IF(AND(O495=1,I495&lt;Inputs!$B$4),1,0)</f>
        <v>0</v>
      </c>
      <c r="Y495" s="7" t="n">
        <f aca="false">IF(AND(O495=1,T495&gt;Inputs!$B$5),1,0)</f>
        <v>0</v>
      </c>
      <c r="Z495" s="7" t="n">
        <f aca="false">IF(AND(O495=1,G495&lt;&gt;R495),1,0)</f>
        <v>0</v>
      </c>
      <c r="AA495" s="7" t="n">
        <f aca="false">IF(AND(O495=1,M495=""),1,0)</f>
        <v>0</v>
      </c>
      <c r="AB495" s="7" t="n">
        <f aca="false">IF(AND(E495="Closed Lost",N495=""),1,0)</f>
        <v>0</v>
      </c>
      <c r="AC495" s="7" t="n">
        <f aca="false">SUM(U495:AB495)</f>
        <v>0</v>
      </c>
      <c r="AD495" s="7" t="n">
        <f aca="false">IF(AC495=0,1,0)</f>
        <v>1</v>
      </c>
      <c r="AE495" s="7" t="n">
        <f aca="false">IF(AND(O495=1,I495&gt;=Inputs!$B$6,I495&lt;=Inputs!$B$7),1,0)</f>
        <v>0</v>
      </c>
      <c r="AF495" s="7" t="n">
        <f aca="false">IF(AND(E495="Closed Won",I495&gt;=Inputs!$B$6,I495&lt;=Inputs!$B$4),1,0)</f>
        <v>0</v>
      </c>
      <c r="AG495" s="7" t="n">
        <f aca="false">IF(AND(O495=0,I495&gt;Inputs!$B$4-Inputs!$B$8,I495&lt;=Inputs!$B$4),1,0)</f>
        <v>1</v>
      </c>
      <c r="AH495" s="7" t="n">
        <f aca="false">I495-H495</f>
        <v>143</v>
      </c>
    </row>
    <row r="496" customFormat="false" ht="15" hidden="false" customHeight="false" outlineLevel="0" collapsed="false">
      <c r="A496" s="16" t="s">
        <v>1683</v>
      </c>
      <c r="B496" s="16" t="s">
        <v>61</v>
      </c>
      <c r="C496" s="16" t="s">
        <v>1684</v>
      </c>
      <c r="D496" s="16" t="s">
        <v>158</v>
      </c>
      <c r="E496" s="16" t="s">
        <v>527</v>
      </c>
      <c r="F496" s="26" t="n">
        <v>8636000</v>
      </c>
      <c r="G496" s="25" t="n">
        <v>25</v>
      </c>
      <c r="H496" s="22" t="n">
        <v>46170</v>
      </c>
      <c r="I496" s="22" t="n">
        <v>46483</v>
      </c>
      <c r="J496" s="22" t="n">
        <v>46301</v>
      </c>
      <c r="K496" s="16" t="s">
        <v>704</v>
      </c>
      <c r="L496" s="16" t="s">
        <v>584</v>
      </c>
      <c r="M496" s="16"/>
      <c r="N496" s="16"/>
      <c r="O496" s="7" t="n">
        <f aca="false">IF(OR(E496="Closed Won",E496="Closed Lost"),0,1)</f>
        <v>1</v>
      </c>
      <c r="P496" s="17" t="str">
        <f aca="false">INDEX(Accounts!$K$5:$K$336,MATCH(B496,Accounts!$A$5:$A$336,0))</f>
        <v>Agribusiness</v>
      </c>
      <c r="Q496" s="17" t="str">
        <f aca="false">INDEX(Accounts!$D$5:$D$336,MATCH(B496,Accounts!$A$5:$A$336,0))</f>
        <v>Priority</v>
      </c>
      <c r="R496" s="7" t="n">
        <f aca="false">INDEX(Inputs!$B$11:$B$16,MATCH(E496,Inputs!$A$11:$A$16,0))</f>
        <v>25</v>
      </c>
      <c r="S496" s="27" t="n">
        <f aca="false">IF(F496="",0,F496)*R496/100</f>
        <v>2159000</v>
      </c>
      <c r="T496" s="7" t="n">
        <f aca="false">Inputs!$B$4-J496</f>
        <v>13</v>
      </c>
      <c r="U496" s="7" t="n">
        <f aca="false">IF(OR(F496="",F496=0),1,0)</f>
        <v>0</v>
      </c>
      <c r="V496" s="7" t="n">
        <f aca="false">IF(K496="",1,0)</f>
        <v>0</v>
      </c>
      <c r="W496" s="7" t="n">
        <f aca="false">IF(AND(O496=1,K496&lt;&gt;"",COUNTIFS(Owners!$A$5:$A$32,K496,Owners!$E$5:$E$32,"No")&gt;0),1,0)</f>
        <v>0</v>
      </c>
      <c r="X496" s="7" t="n">
        <f aca="false">IF(AND(O496=1,I496&lt;Inputs!$B$4),1,0)</f>
        <v>0</v>
      </c>
      <c r="Y496" s="7" t="n">
        <f aca="false">IF(AND(O496=1,T496&gt;Inputs!$B$5),1,0)</f>
        <v>0</v>
      </c>
      <c r="Z496" s="7" t="n">
        <f aca="false">IF(AND(O496=1,G496&lt;&gt;R496),1,0)</f>
        <v>0</v>
      </c>
      <c r="AA496" s="7" t="n">
        <f aca="false">IF(AND(O496=1,M496=""),1,0)</f>
        <v>1</v>
      </c>
      <c r="AB496" s="7" t="n">
        <f aca="false">IF(AND(E496="Closed Lost",N496=""),1,0)</f>
        <v>0</v>
      </c>
      <c r="AC496" s="7" t="n">
        <f aca="false">SUM(U496:AB496)</f>
        <v>1</v>
      </c>
      <c r="AD496" s="7" t="n">
        <f aca="false">IF(AC496=0,1,0)</f>
        <v>0</v>
      </c>
      <c r="AE496" s="7" t="n">
        <f aca="false">IF(AND(O496=1,I496&gt;=Inputs!$B$6,I496&lt;=Inputs!$B$7),1,0)</f>
        <v>1</v>
      </c>
      <c r="AF496" s="7" t="n">
        <f aca="false">IF(AND(E496="Closed Won",I496&gt;=Inputs!$B$6,I496&lt;=Inputs!$B$4),1,0)</f>
        <v>0</v>
      </c>
      <c r="AG496" s="7" t="n">
        <f aca="false">IF(AND(O496=0,I496&gt;Inputs!$B$4-Inputs!$B$8,I496&lt;=Inputs!$B$4),1,0)</f>
        <v>0</v>
      </c>
      <c r="AH496" s="7" t="n">
        <f aca="false">I496-H496</f>
        <v>313</v>
      </c>
    </row>
    <row r="497" customFormat="false" ht="15" hidden="false" customHeight="false" outlineLevel="0" collapsed="false">
      <c r="A497" s="16" t="s">
        <v>1685</v>
      </c>
      <c r="B497" s="16" t="s">
        <v>1686</v>
      </c>
      <c r="C497" s="16" t="s">
        <v>1687</v>
      </c>
      <c r="D497" s="16" t="s">
        <v>167</v>
      </c>
      <c r="E497" s="16" t="s">
        <v>528</v>
      </c>
      <c r="F497" s="26" t="n">
        <v>10687000</v>
      </c>
      <c r="G497" s="25" t="n">
        <v>50</v>
      </c>
      <c r="H497" s="22" t="n">
        <v>46290</v>
      </c>
      <c r="I497" s="22" t="n">
        <v>46351</v>
      </c>
      <c r="J497" s="22" t="n">
        <v>46298</v>
      </c>
      <c r="K497" s="16" t="s">
        <v>765</v>
      </c>
      <c r="L497" s="16" t="s">
        <v>500</v>
      </c>
      <c r="M497" s="16" t="s">
        <v>619</v>
      </c>
      <c r="N497" s="16"/>
      <c r="O497" s="7" t="n">
        <f aca="false">IF(OR(E497="Closed Won",E497="Closed Lost"),0,1)</f>
        <v>1</v>
      </c>
      <c r="P497" s="17" t="str">
        <f aca="false">INDEX(Accounts!$K$5:$K$336,MATCH(B497,Accounts!$A$5:$A$336,0))</f>
        <v>Financial Services</v>
      </c>
      <c r="Q497" s="17" t="str">
        <f aca="false">INDEX(Accounts!$D$5:$D$336,MATCH(B497,Accounts!$A$5:$A$336,0))</f>
        <v>Standard</v>
      </c>
      <c r="R497" s="7" t="n">
        <f aca="false">INDEX(Inputs!$B$11:$B$16,MATCH(E497,Inputs!$A$11:$A$16,0))</f>
        <v>50</v>
      </c>
      <c r="S497" s="27" t="n">
        <f aca="false">IF(F497="",0,F497)*R497/100</f>
        <v>5343500</v>
      </c>
      <c r="T497" s="7" t="n">
        <f aca="false">Inputs!$B$4-J497</f>
        <v>16</v>
      </c>
      <c r="U497" s="7" t="n">
        <f aca="false">IF(OR(F497="",F497=0),1,0)</f>
        <v>0</v>
      </c>
      <c r="V497" s="7" t="n">
        <f aca="false">IF(K497="",1,0)</f>
        <v>0</v>
      </c>
      <c r="W497" s="7" t="n">
        <f aca="false">IF(AND(O497=1,K497&lt;&gt;"",COUNTIFS(Owners!$A$5:$A$32,K497,Owners!$E$5:$E$32,"No")&gt;0),1,0)</f>
        <v>0</v>
      </c>
      <c r="X497" s="7" t="n">
        <f aca="false">IF(AND(O497=1,I497&lt;Inputs!$B$4),1,0)</f>
        <v>0</v>
      </c>
      <c r="Y497" s="7" t="n">
        <f aca="false">IF(AND(O497=1,T497&gt;Inputs!$B$5),1,0)</f>
        <v>0</v>
      </c>
      <c r="Z497" s="7" t="n">
        <f aca="false">IF(AND(O497=1,G497&lt;&gt;R497),1,0)</f>
        <v>0</v>
      </c>
      <c r="AA497" s="7" t="n">
        <f aca="false">IF(AND(O497=1,M497=""),1,0)</f>
        <v>0</v>
      </c>
      <c r="AB497" s="7" t="n">
        <f aca="false">IF(AND(E497="Closed Lost",N497=""),1,0)</f>
        <v>0</v>
      </c>
      <c r="AC497" s="7" t="n">
        <f aca="false">SUM(U497:AB497)</f>
        <v>0</v>
      </c>
      <c r="AD497" s="7" t="n">
        <f aca="false">IF(AC497=0,1,0)</f>
        <v>1</v>
      </c>
      <c r="AE497" s="7" t="n">
        <f aca="false">IF(AND(O497=1,I497&gt;=Inputs!$B$6,I497&lt;=Inputs!$B$7),1,0)</f>
        <v>1</v>
      </c>
      <c r="AF497" s="7" t="n">
        <f aca="false">IF(AND(E497="Closed Won",I497&gt;=Inputs!$B$6,I497&lt;=Inputs!$B$4),1,0)</f>
        <v>0</v>
      </c>
      <c r="AG497" s="7" t="n">
        <f aca="false">IF(AND(O497=0,I497&gt;Inputs!$B$4-Inputs!$B$8,I497&lt;=Inputs!$B$4),1,0)</f>
        <v>0</v>
      </c>
      <c r="AH497" s="7" t="n">
        <f aca="false">I497-H497</f>
        <v>61</v>
      </c>
    </row>
    <row r="498" customFormat="false" ht="15" hidden="false" customHeight="false" outlineLevel="0" collapsed="false">
      <c r="A498" s="16" t="s">
        <v>1688</v>
      </c>
      <c r="B498" s="16" t="s">
        <v>1689</v>
      </c>
      <c r="C498" s="16" t="s">
        <v>1690</v>
      </c>
      <c r="D498" s="16" t="s">
        <v>162</v>
      </c>
      <c r="E498" s="16" t="s">
        <v>531</v>
      </c>
      <c r="F498" s="26"/>
      <c r="G498" s="25" t="n">
        <v>0</v>
      </c>
      <c r="H498" s="22" t="n">
        <v>45920</v>
      </c>
      <c r="I498" s="22" t="n">
        <v>46211</v>
      </c>
      <c r="J498" s="22" t="n">
        <v>46211</v>
      </c>
      <c r="K498" s="16" t="s">
        <v>880</v>
      </c>
      <c r="L498" s="16" t="s">
        <v>609</v>
      </c>
      <c r="M498" s="16"/>
      <c r="N498" s="16" t="s">
        <v>713</v>
      </c>
      <c r="O498" s="7" t="n">
        <f aca="false">IF(OR(E498="Closed Won",E498="Closed Lost"),0,1)</f>
        <v>0</v>
      </c>
      <c r="P498" s="17" t="str">
        <f aca="false">INDEX(Accounts!$K$5:$K$336,MATCH(B498,Accounts!$A$5:$A$336,0))</f>
        <v>Financial Services</v>
      </c>
      <c r="Q498" s="17" t="str">
        <f aca="false">INDEX(Accounts!$D$5:$D$336,MATCH(B498,Accounts!$A$5:$A$336,0))</f>
        <v>Key</v>
      </c>
      <c r="R498" s="7" t="n">
        <f aca="false">INDEX(Inputs!$B$11:$B$16,MATCH(E498,Inputs!$A$11:$A$16,0))</f>
        <v>0</v>
      </c>
      <c r="S498" s="27" t="n">
        <f aca="false">IF(F498="",0,F498)*R498/100</f>
        <v>0</v>
      </c>
      <c r="T498" s="7" t="n">
        <f aca="false">Inputs!$B$4-J498</f>
        <v>103</v>
      </c>
      <c r="U498" s="7" t="n">
        <f aca="false">IF(OR(F498="",F498=0),1,0)</f>
        <v>1</v>
      </c>
      <c r="V498" s="7" t="n">
        <f aca="false">IF(K498="",1,0)</f>
        <v>0</v>
      </c>
      <c r="W498" s="7" t="n">
        <f aca="false">IF(AND(O498=1,K498&lt;&gt;"",COUNTIFS(Owners!$A$5:$A$32,K498,Owners!$E$5:$E$32,"No")&gt;0),1,0)</f>
        <v>0</v>
      </c>
      <c r="X498" s="7" t="n">
        <f aca="false">IF(AND(O498=1,I498&lt;Inputs!$B$4),1,0)</f>
        <v>0</v>
      </c>
      <c r="Y498" s="7" t="n">
        <f aca="false">IF(AND(O498=1,T498&gt;Inputs!$B$5),1,0)</f>
        <v>0</v>
      </c>
      <c r="Z498" s="7" t="n">
        <f aca="false">IF(AND(O498=1,G498&lt;&gt;R498),1,0)</f>
        <v>0</v>
      </c>
      <c r="AA498" s="7" t="n">
        <f aca="false">IF(AND(O498=1,M498=""),1,0)</f>
        <v>0</v>
      </c>
      <c r="AB498" s="7" t="n">
        <f aca="false">IF(AND(E498="Closed Lost",N498=""),1,0)</f>
        <v>0</v>
      </c>
      <c r="AC498" s="7" t="n">
        <f aca="false">SUM(U498:AB498)</f>
        <v>1</v>
      </c>
      <c r="AD498" s="7" t="n">
        <f aca="false">IF(AC498=0,1,0)</f>
        <v>0</v>
      </c>
      <c r="AE498" s="7" t="n">
        <f aca="false">IF(AND(O498=1,I498&gt;=Inputs!$B$6,I498&lt;=Inputs!$B$7),1,0)</f>
        <v>0</v>
      </c>
      <c r="AF498" s="7" t="n">
        <f aca="false">IF(AND(E498="Closed Won",I498&gt;=Inputs!$B$6,I498&lt;=Inputs!$B$4),1,0)</f>
        <v>0</v>
      </c>
      <c r="AG498" s="7" t="n">
        <f aca="false">IF(AND(O498=0,I498&gt;Inputs!$B$4-Inputs!$B$8,I498&lt;=Inputs!$B$4),1,0)</f>
        <v>1</v>
      </c>
      <c r="AH498" s="7" t="n">
        <f aca="false">I498-H498</f>
        <v>291</v>
      </c>
    </row>
    <row r="499" customFormat="false" ht="15" hidden="false" customHeight="false" outlineLevel="0" collapsed="false">
      <c r="A499" s="16" t="s">
        <v>1691</v>
      </c>
      <c r="B499" s="16" t="s">
        <v>1692</v>
      </c>
      <c r="C499" s="16" t="s">
        <v>1693</v>
      </c>
      <c r="D499" s="16" t="s">
        <v>162</v>
      </c>
      <c r="E499" s="16" t="s">
        <v>527</v>
      </c>
      <c r="F499" s="26"/>
      <c r="G499" s="25" t="n">
        <v>25</v>
      </c>
      <c r="H499" s="22" t="n">
        <v>46298</v>
      </c>
      <c r="I499" s="22" t="n">
        <v>46398</v>
      </c>
      <c r="J499" s="22" t="n">
        <v>46178</v>
      </c>
      <c r="K499" s="16" t="s">
        <v>717</v>
      </c>
      <c r="L499" s="16" t="s">
        <v>500</v>
      </c>
      <c r="M499" s="16" t="s">
        <v>613</v>
      </c>
      <c r="N499" s="16"/>
      <c r="O499" s="7" t="n">
        <f aca="false">IF(OR(E499="Closed Won",E499="Closed Lost"),0,1)</f>
        <v>1</v>
      </c>
      <c r="P499" s="17" t="str">
        <f aca="false">INDEX(Accounts!$K$5:$K$336,MATCH(B499,Accounts!$A$5:$A$336,0))</f>
        <v>Financial Services</v>
      </c>
      <c r="Q499" s="17" t="str">
        <f aca="false">INDEX(Accounts!$D$5:$D$336,MATCH(B499,Accounts!$A$5:$A$336,0))</f>
        <v>Standard</v>
      </c>
      <c r="R499" s="7" t="n">
        <f aca="false">INDEX(Inputs!$B$11:$B$16,MATCH(E499,Inputs!$A$11:$A$16,0))</f>
        <v>25</v>
      </c>
      <c r="S499" s="27" t="n">
        <f aca="false">IF(F499="",0,F499)*R499/100</f>
        <v>0</v>
      </c>
      <c r="T499" s="7" t="n">
        <f aca="false">Inputs!$B$4-J499</f>
        <v>136</v>
      </c>
      <c r="U499" s="7" t="n">
        <f aca="false">IF(OR(F499="",F499=0),1,0)</f>
        <v>1</v>
      </c>
      <c r="V499" s="7" t="n">
        <f aca="false">IF(K499="",1,0)</f>
        <v>0</v>
      </c>
      <c r="W499" s="7" t="n">
        <f aca="false">IF(AND(O499=1,K499&lt;&gt;"",COUNTIFS(Owners!$A$5:$A$32,K499,Owners!$E$5:$E$32,"No")&gt;0),1,0)</f>
        <v>0</v>
      </c>
      <c r="X499" s="7" t="n">
        <f aca="false">IF(AND(O499=1,I499&lt;Inputs!$B$4),1,0)</f>
        <v>0</v>
      </c>
      <c r="Y499" s="7" t="n">
        <f aca="false">IF(AND(O499=1,T499&gt;Inputs!$B$5),1,0)</f>
        <v>1</v>
      </c>
      <c r="Z499" s="7" t="n">
        <f aca="false">IF(AND(O499=1,G499&lt;&gt;R499),1,0)</f>
        <v>0</v>
      </c>
      <c r="AA499" s="7" t="n">
        <f aca="false">IF(AND(O499=1,M499=""),1,0)</f>
        <v>0</v>
      </c>
      <c r="AB499" s="7" t="n">
        <f aca="false">IF(AND(E499="Closed Lost",N499=""),1,0)</f>
        <v>0</v>
      </c>
      <c r="AC499" s="7" t="n">
        <f aca="false">SUM(U499:AB499)</f>
        <v>2</v>
      </c>
      <c r="AD499" s="7" t="n">
        <f aca="false">IF(AC499=0,1,0)</f>
        <v>0</v>
      </c>
      <c r="AE499" s="7" t="n">
        <f aca="false">IF(AND(O499=1,I499&gt;=Inputs!$B$6,I499&lt;=Inputs!$B$7),1,0)</f>
        <v>1</v>
      </c>
      <c r="AF499" s="7" t="n">
        <f aca="false">IF(AND(E499="Closed Won",I499&gt;=Inputs!$B$6,I499&lt;=Inputs!$B$4),1,0)</f>
        <v>0</v>
      </c>
      <c r="AG499" s="7" t="n">
        <f aca="false">IF(AND(O499=0,I499&gt;Inputs!$B$4-Inputs!$B$8,I499&lt;=Inputs!$B$4),1,0)</f>
        <v>0</v>
      </c>
      <c r="AH499" s="7" t="n">
        <f aca="false">I499-H499</f>
        <v>100</v>
      </c>
    </row>
    <row r="500" customFormat="false" ht="15" hidden="false" customHeight="false" outlineLevel="0" collapsed="false">
      <c r="A500" s="16" t="s">
        <v>1694</v>
      </c>
      <c r="B500" s="16" t="s">
        <v>266</v>
      </c>
      <c r="C500" s="16" t="s">
        <v>1695</v>
      </c>
      <c r="D500" s="16" t="s">
        <v>167</v>
      </c>
      <c r="E500" s="16" t="s">
        <v>531</v>
      </c>
      <c r="F500" s="26" t="n">
        <v>3992000</v>
      </c>
      <c r="G500" s="25" t="n">
        <v>0</v>
      </c>
      <c r="H500" s="22" t="n">
        <v>46054</v>
      </c>
      <c r="I500" s="22" t="n">
        <v>46278</v>
      </c>
      <c r="J500" s="22" t="n">
        <v>46278</v>
      </c>
      <c r="K500" s="16" t="s">
        <v>831</v>
      </c>
      <c r="L500" s="16" t="s">
        <v>609</v>
      </c>
      <c r="M500" s="16"/>
      <c r="N500" s="16" t="s">
        <v>722</v>
      </c>
      <c r="O500" s="7" t="n">
        <f aca="false">IF(OR(E500="Closed Won",E500="Closed Lost"),0,1)</f>
        <v>0</v>
      </c>
      <c r="P500" s="17" t="str">
        <f aca="false">INDEX(Accounts!$K$5:$K$336,MATCH(B500,Accounts!$A$5:$A$336,0))</f>
        <v>Technology, Media &amp; Telecom</v>
      </c>
      <c r="Q500" s="17" t="str">
        <f aca="false">INDEX(Accounts!$D$5:$D$336,MATCH(B500,Accounts!$A$5:$A$336,0))</f>
        <v>Key</v>
      </c>
      <c r="R500" s="7" t="n">
        <f aca="false">INDEX(Inputs!$B$11:$B$16,MATCH(E500,Inputs!$A$11:$A$16,0))</f>
        <v>0</v>
      </c>
      <c r="S500" s="27" t="n">
        <f aca="false">IF(F500="",0,F500)*R500/100</f>
        <v>0</v>
      </c>
      <c r="T500" s="7" t="n">
        <f aca="false">Inputs!$B$4-J500</f>
        <v>36</v>
      </c>
      <c r="U500" s="7" t="n">
        <f aca="false">IF(OR(F500="",F500=0),1,0)</f>
        <v>0</v>
      </c>
      <c r="V500" s="7" t="n">
        <f aca="false">IF(K500="",1,0)</f>
        <v>0</v>
      </c>
      <c r="W500" s="7" t="n">
        <f aca="false">IF(AND(O500=1,K500&lt;&gt;"",COUNTIFS(Owners!$A$5:$A$32,K500,Owners!$E$5:$E$32,"No")&gt;0),1,0)</f>
        <v>0</v>
      </c>
      <c r="X500" s="7" t="n">
        <f aca="false">IF(AND(O500=1,I500&lt;Inputs!$B$4),1,0)</f>
        <v>0</v>
      </c>
      <c r="Y500" s="7" t="n">
        <f aca="false">IF(AND(O500=1,T500&gt;Inputs!$B$5),1,0)</f>
        <v>0</v>
      </c>
      <c r="Z500" s="7" t="n">
        <f aca="false">IF(AND(O500=1,G500&lt;&gt;R500),1,0)</f>
        <v>0</v>
      </c>
      <c r="AA500" s="7" t="n">
        <f aca="false">IF(AND(O500=1,M500=""),1,0)</f>
        <v>0</v>
      </c>
      <c r="AB500" s="7" t="n">
        <f aca="false">IF(AND(E500="Closed Lost",N500=""),1,0)</f>
        <v>0</v>
      </c>
      <c r="AC500" s="7" t="n">
        <f aca="false">SUM(U500:AB500)</f>
        <v>0</v>
      </c>
      <c r="AD500" s="7" t="n">
        <f aca="false">IF(AC500=0,1,0)</f>
        <v>1</v>
      </c>
      <c r="AE500" s="7" t="n">
        <f aca="false">IF(AND(O500=1,I500&gt;=Inputs!$B$6,I500&lt;=Inputs!$B$7),1,0)</f>
        <v>0</v>
      </c>
      <c r="AF500" s="7" t="n">
        <f aca="false">IF(AND(E500="Closed Won",I500&gt;=Inputs!$B$6,I500&lt;=Inputs!$B$4),1,0)</f>
        <v>0</v>
      </c>
      <c r="AG500" s="7" t="n">
        <f aca="false">IF(AND(O500=0,I500&gt;Inputs!$B$4-Inputs!$B$8,I500&lt;=Inputs!$B$4),1,0)</f>
        <v>1</v>
      </c>
      <c r="AH500" s="7" t="n">
        <f aca="false">I500-H500</f>
        <v>224</v>
      </c>
    </row>
    <row r="501" customFormat="false" ht="15" hidden="false" customHeight="false" outlineLevel="0" collapsed="false">
      <c r="A501" s="16" t="s">
        <v>1696</v>
      </c>
      <c r="B501" s="16" t="s">
        <v>1697</v>
      </c>
      <c r="C501" s="16" t="s">
        <v>1698</v>
      </c>
      <c r="D501" s="16" t="s">
        <v>165</v>
      </c>
      <c r="E501" s="16" t="s">
        <v>531</v>
      </c>
      <c r="F501" s="26" t="n">
        <v>15049000</v>
      </c>
      <c r="G501" s="25" t="n">
        <v>0</v>
      </c>
      <c r="H501" s="22" t="n">
        <v>45920</v>
      </c>
      <c r="I501" s="22" t="n">
        <v>46099</v>
      </c>
      <c r="J501" s="22" t="n">
        <v>46099</v>
      </c>
      <c r="K501" s="16" t="s">
        <v>651</v>
      </c>
      <c r="L501" s="16" t="s">
        <v>584</v>
      </c>
      <c r="M501" s="16"/>
      <c r="N501" s="16"/>
      <c r="O501" s="7" t="n">
        <f aca="false">IF(OR(E501="Closed Won",E501="Closed Lost"),0,1)</f>
        <v>0</v>
      </c>
      <c r="P501" s="17" t="str">
        <f aca="false">INDEX(Accounts!$K$5:$K$336,MATCH(B501,Accounts!$A$5:$A$336,0))</f>
        <v>Technology, Media &amp; Telecom</v>
      </c>
      <c r="Q501" s="17" t="str">
        <f aca="false">INDEX(Accounts!$D$5:$D$336,MATCH(B501,Accounts!$A$5:$A$336,0))</f>
        <v>Standard</v>
      </c>
      <c r="R501" s="7" t="n">
        <f aca="false">INDEX(Inputs!$B$11:$B$16,MATCH(E501,Inputs!$A$11:$A$16,0))</f>
        <v>0</v>
      </c>
      <c r="S501" s="27" t="n">
        <f aca="false">IF(F501="",0,F501)*R501/100</f>
        <v>0</v>
      </c>
      <c r="T501" s="7" t="n">
        <f aca="false">Inputs!$B$4-J501</f>
        <v>215</v>
      </c>
      <c r="U501" s="7" t="n">
        <f aca="false">IF(OR(F501="",F501=0),1,0)</f>
        <v>0</v>
      </c>
      <c r="V501" s="7" t="n">
        <f aca="false">IF(K501="",1,0)</f>
        <v>0</v>
      </c>
      <c r="W501" s="7" t="n">
        <f aca="false">IF(AND(O501=1,K501&lt;&gt;"",COUNTIFS(Owners!$A$5:$A$32,K501,Owners!$E$5:$E$32,"No")&gt;0),1,0)</f>
        <v>0</v>
      </c>
      <c r="X501" s="7" t="n">
        <f aca="false">IF(AND(O501=1,I501&lt;Inputs!$B$4),1,0)</f>
        <v>0</v>
      </c>
      <c r="Y501" s="7" t="n">
        <f aca="false">IF(AND(O501=1,T501&gt;Inputs!$B$5),1,0)</f>
        <v>0</v>
      </c>
      <c r="Z501" s="7" t="n">
        <f aca="false">IF(AND(O501=1,G501&lt;&gt;R501),1,0)</f>
        <v>0</v>
      </c>
      <c r="AA501" s="7" t="n">
        <f aca="false">IF(AND(O501=1,M501=""),1,0)</f>
        <v>0</v>
      </c>
      <c r="AB501" s="7" t="n">
        <f aca="false">IF(AND(E501="Closed Lost",N501=""),1,0)</f>
        <v>1</v>
      </c>
      <c r="AC501" s="7" t="n">
        <f aca="false">SUM(U501:AB501)</f>
        <v>1</v>
      </c>
      <c r="AD501" s="7" t="n">
        <f aca="false">IF(AC501=0,1,0)</f>
        <v>0</v>
      </c>
      <c r="AE501" s="7" t="n">
        <f aca="false">IF(AND(O501=1,I501&gt;=Inputs!$B$6,I501&lt;=Inputs!$B$7),1,0)</f>
        <v>0</v>
      </c>
      <c r="AF501" s="7" t="n">
        <f aca="false">IF(AND(E501="Closed Won",I501&gt;=Inputs!$B$6,I501&lt;=Inputs!$B$4),1,0)</f>
        <v>0</v>
      </c>
      <c r="AG501" s="7" t="n">
        <f aca="false">IF(AND(O501=0,I501&gt;Inputs!$B$4-Inputs!$B$8,I501&lt;=Inputs!$B$4),1,0)</f>
        <v>1</v>
      </c>
      <c r="AH501" s="7" t="n">
        <f aca="false">I501-H501</f>
        <v>179</v>
      </c>
    </row>
    <row r="502" customFormat="false" ht="15" hidden="false" customHeight="false" outlineLevel="0" collapsed="false">
      <c r="A502" s="16" t="s">
        <v>1699</v>
      </c>
      <c r="B502" s="16" t="s">
        <v>88</v>
      </c>
      <c r="C502" s="16" t="s">
        <v>1700</v>
      </c>
      <c r="D502" s="16" t="s">
        <v>167</v>
      </c>
      <c r="E502" s="16" t="s">
        <v>528</v>
      </c>
      <c r="F502" s="26" t="n">
        <v>4424000</v>
      </c>
      <c r="G502" s="25" t="n">
        <v>50</v>
      </c>
      <c r="H502" s="22" t="n">
        <v>46169</v>
      </c>
      <c r="I502" s="22" t="n">
        <v>46461</v>
      </c>
      <c r="J502" s="22" t="n">
        <v>46288</v>
      </c>
      <c r="K502" s="16" t="s">
        <v>633</v>
      </c>
      <c r="L502" s="16" t="s">
        <v>584</v>
      </c>
      <c r="M502" s="16" t="s">
        <v>569</v>
      </c>
      <c r="N502" s="16"/>
      <c r="O502" s="7" t="n">
        <f aca="false">IF(OR(E502="Closed Won",E502="Closed Lost"),0,1)</f>
        <v>1</v>
      </c>
      <c r="P502" s="17" t="str">
        <f aca="false">INDEX(Accounts!$K$5:$K$336,MATCH(B502,Accounts!$A$5:$A$336,0))</f>
        <v>Agribusiness</v>
      </c>
      <c r="Q502" s="17" t="str">
        <f aca="false">INDEX(Accounts!$D$5:$D$336,MATCH(B502,Accounts!$A$5:$A$336,0))</f>
        <v>Priority</v>
      </c>
      <c r="R502" s="7" t="n">
        <f aca="false">INDEX(Inputs!$B$11:$B$16,MATCH(E502,Inputs!$A$11:$A$16,0))</f>
        <v>50</v>
      </c>
      <c r="S502" s="27" t="n">
        <f aca="false">IF(F502="",0,F502)*R502/100</f>
        <v>2212000</v>
      </c>
      <c r="T502" s="7" t="n">
        <f aca="false">Inputs!$B$4-J502</f>
        <v>26</v>
      </c>
      <c r="U502" s="7" t="n">
        <f aca="false">IF(OR(F502="",F502=0),1,0)</f>
        <v>0</v>
      </c>
      <c r="V502" s="7" t="n">
        <f aca="false">IF(K502="",1,0)</f>
        <v>0</v>
      </c>
      <c r="W502" s="7" t="n">
        <f aca="false">IF(AND(O502=1,K502&lt;&gt;"",COUNTIFS(Owners!$A$5:$A$32,K502,Owners!$E$5:$E$32,"No")&gt;0),1,0)</f>
        <v>0</v>
      </c>
      <c r="X502" s="7" t="n">
        <f aca="false">IF(AND(O502=1,I502&lt;Inputs!$B$4),1,0)</f>
        <v>0</v>
      </c>
      <c r="Y502" s="7" t="n">
        <f aca="false">IF(AND(O502=1,T502&gt;Inputs!$B$5),1,0)</f>
        <v>0</v>
      </c>
      <c r="Z502" s="7" t="n">
        <f aca="false">IF(AND(O502=1,G502&lt;&gt;R502),1,0)</f>
        <v>0</v>
      </c>
      <c r="AA502" s="7" t="n">
        <f aca="false">IF(AND(O502=1,M502=""),1,0)</f>
        <v>0</v>
      </c>
      <c r="AB502" s="7" t="n">
        <f aca="false">IF(AND(E502="Closed Lost",N502=""),1,0)</f>
        <v>0</v>
      </c>
      <c r="AC502" s="7" t="n">
        <f aca="false">SUM(U502:AB502)</f>
        <v>0</v>
      </c>
      <c r="AD502" s="7" t="n">
        <f aca="false">IF(AC502=0,1,0)</f>
        <v>1</v>
      </c>
      <c r="AE502" s="7" t="n">
        <f aca="false">IF(AND(O502=1,I502&gt;=Inputs!$B$6,I502&lt;=Inputs!$B$7),1,0)</f>
        <v>1</v>
      </c>
      <c r="AF502" s="7" t="n">
        <f aca="false">IF(AND(E502="Closed Won",I502&gt;=Inputs!$B$6,I502&lt;=Inputs!$B$4),1,0)</f>
        <v>0</v>
      </c>
      <c r="AG502" s="7" t="n">
        <f aca="false">IF(AND(O502=0,I502&gt;Inputs!$B$4-Inputs!$B$8,I502&lt;=Inputs!$B$4),1,0)</f>
        <v>0</v>
      </c>
      <c r="AH502" s="7" t="n">
        <f aca="false">I502-H502</f>
        <v>292</v>
      </c>
    </row>
    <row r="503" customFormat="false" ht="15" hidden="false" customHeight="false" outlineLevel="0" collapsed="false">
      <c r="A503" s="16" t="s">
        <v>1701</v>
      </c>
      <c r="B503" s="16" t="s">
        <v>363</v>
      </c>
      <c r="C503" s="16" t="s">
        <v>1702</v>
      </c>
      <c r="D503" s="16" t="s">
        <v>158</v>
      </c>
      <c r="E503" s="16" t="s">
        <v>529</v>
      </c>
      <c r="F503" s="26" t="n">
        <v>18871000</v>
      </c>
      <c r="G503" s="25" t="n">
        <v>75</v>
      </c>
      <c r="H503" s="22" t="n">
        <v>46227</v>
      </c>
      <c r="I503" s="22" t="n">
        <v>46350</v>
      </c>
      <c r="J503" s="22" t="n">
        <v>46239</v>
      </c>
      <c r="K503" s="16" t="s">
        <v>677</v>
      </c>
      <c r="L503" s="16" t="s">
        <v>584</v>
      </c>
      <c r="M503" s="16" t="s">
        <v>619</v>
      </c>
      <c r="N503" s="16"/>
      <c r="O503" s="7" t="n">
        <f aca="false">IF(OR(E503="Closed Won",E503="Closed Lost"),0,1)</f>
        <v>1</v>
      </c>
      <c r="P503" s="17" t="str">
        <f aca="false">INDEX(Accounts!$K$5:$K$336,MATCH(B503,Accounts!$A$5:$A$336,0))</f>
        <v>Technology, Media &amp; Telecom</v>
      </c>
      <c r="Q503" s="17" t="str">
        <f aca="false">INDEX(Accounts!$D$5:$D$336,MATCH(B503,Accounts!$A$5:$A$336,0))</f>
        <v>Key</v>
      </c>
      <c r="R503" s="7" t="n">
        <f aca="false">INDEX(Inputs!$B$11:$B$16,MATCH(E503,Inputs!$A$11:$A$16,0))</f>
        <v>75</v>
      </c>
      <c r="S503" s="27" t="n">
        <f aca="false">IF(F503="",0,F503)*R503/100</f>
        <v>14153250</v>
      </c>
      <c r="T503" s="7" t="n">
        <f aca="false">Inputs!$B$4-J503</f>
        <v>75</v>
      </c>
      <c r="U503" s="7" t="n">
        <f aca="false">IF(OR(F503="",F503=0),1,0)</f>
        <v>0</v>
      </c>
      <c r="V503" s="7" t="n">
        <f aca="false">IF(K503="",1,0)</f>
        <v>0</v>
      </c>
      <c r="W503" s="7" t="n">
        <f aca="false">IF(AND(O503=1,K503&lt;&gt;"",COUNTIFS(Owners!$A$5:$A$32,K503,Owners!$E$5:$E$32,"No")&gt;0),1,0)</f>
        <v>0</v>
      </c>
      <c r="X503" s="7" t="n">
        <f aca="false">IF(AND(O503=1,I503&lt;Inputs!$B$4),1,0)</f>
        <v>0</v>
      </c>
      <c r="Y503" s="7" t="n">
        <f aca="false">IF(AND(O503=1,T503&gt;Inputs!$B$5),1,0)</f>
        <v>1</v>
      </c>
      <c r="Z503" s="7" t="n">
        <f aca="false">IF(AND(O503=1,G503&lt;&gt;R503),1,0)</f>
        <v>0</v>
      </c>
      <c r="AA503" s="7" t="n">
        <f aca="false">IF(AND(O503=1,M503=""),1,0)</f>
        <v>0</v>
      </c>
      <c r="AB503" s="7" t="n">
        <f aca="false">IF(AND(E503="Closed Lost",N503=""),1,0)</f>
        <v>0</v>
      </c>
      <c r="AC503" s="7" t="n">
        <f aca="false">SUM(U503:AB503)</f>
        <v>1</v>
      </c>
      <c r="AD503" s="7" t="n">
        <f aca="false">IF(AC503=0,1,0)</f>
        <v>0</v>
      </c>
      <c r="AE503" s="7" t="n">
        <f aca="false">IF(AND(O503=1,I503&gt;=Inputs!$B$6,I503&lt;=Inputs!$B$7),1,0)</f>
        <v>1</v>
      </c>
      <c r="AF503" s="7" t="n">
        <f aca="false">IF(AND(E503="Closed Won",I503&gt;=Inputs!$B$6,I503&lt;=Inputs!$B$4),1,0)</f>
        <v>0</v>
      </c>
      <c r="AG503" s="7" t="n">
        <f aca="false">IF(AND(O503=0,I503&gt;Inputs!$B$4-Inputs!$B$8,I503&lt;=Inputs!$B$4),1,0)</f>
        <v>0</v>
      </c>
      <c r="AH503" s="7" t="n">
        <f aca="false">I503-H503</f>
        <v>123</v>
      </c>
    </row>
    <row r="504" customFormat="false" ht="15" hidden="false" customHeight="false" outlineLevel="0" collapsed="false">
      <c r="A504" s="16" t="s">
        <v>1703</v>
      </c>
      <c r="B504" s="16" t="s">
        <v>68</v>
      </c>
      <c r="C504" s="16" t="s">
        <v>1435</v>
      </c>
      <c r="D504" s="16" t="s">
        <v>167</v>
      </c>
      <c r="E504" s="16" t="s">
        <v>530</v>
      </c>
      <c r="F504" s="26" t="n">
        <v>7984000</v>
      </c>
      <c r="G504" s="25" t="n">
        <v>100</v>
      </c>
      <c r="H504" s="22" t="n">
        <v>45915</v>
      </c>
      <c r="I504" s="22" t="n">
        <v>46175</v>
      </c>
      <c r="J504" s="22" t="n">
        <v>46175</v>
      </c>
      <c r="K504" s="16" t="s">
        <v>704</v>
      </c>
      <c r="L504" s="16" t="s">
        <v>568</v>
      </c>
      <c r="M504" s="16"/>
      <c r="N504" s="16"/>
      <c r="O504" s="7" t="n">
        <f aca="false">IF(OR(E504="Closed Won",E504="Closed Lost"),0,1)</f>
        <v>0</v>
      </c>
      <c r="P504" s="17" t="str">
        <f aca="false">INDEX(Accounts!$K$5:$K$336,MATCH(B504,Accounts!$A$5:$A$336,0))</f>
        <v>Financial Services</v>
      </c>
      <c r="Q504" s="17" t="str">
        <f aca="false">INDEX(Accounts!$D$5:$D$336,MATCH(B504,Accounts!$A$5:$A$336,0))</f>
        <v>Priority</v>
      </c>
      <c r="R504" s="7" t="n">
        <f aca="false">INDEX(Inputs!$B$11:$B$16,MATCH(E504,Inputs!$A$11:$A$16,0))</f>
        <v>100</v>
      </c>
      <c r="S504" s="27" t="n">
        <f aca="false">IF(F504="",0,F504)*R504/100</f>
        <v>7984000</v>
      </c>
      <c r="T504" s="7" t="n">
        <f aca="false">Inputs!$B$4-J504</f>
        <v>139</v>
      </c>
      <c r="U504" s="7" t="n">
        <f aca="false">IF(OR(F504="",F504=0),1,0)</f>
        <v>0</v>
      </c>
      <c r="V504" s="7" t="n">
        <f aca="false">IF(K504="",1,0)</f>
        <v>0</v>
      </c>
      <c r="W504" s="7" t="n">
        <f aca="false">IF(AND(O504=1,K504&lt;&gt;"",COUNTIFS(Owners!$A$5:$A$32,K504,Owners!$E$5:$E$32,"No")&gt;0),1,0)</f>
        <v>0</v>
      </c>
      <c r="X504" s="7" t="n">
        <f aca="false">IF(AND(O504=1,I504&lt;Inputs!$B$4),1,0)</f>
        <v>0</v>
      </c>
      <c r="Y504" s="7" t="n">
        <f aca="false">IF(AND(O504=1,T504&gt;Inputs!$B$5),1,0)</f>
        <v>0</v>
      </c>
      <c r="Z504" s="7" t="n">
        <f aca="false">IF(AND(O504=1,G504&lt;&gt;R504),1,0)</f>
        <v>0</v>
      </c>
      <c r="AA504" s="7" t="n">
        <f aca="false">IF(AND(O504=1,M504=""),1,0)</f>
        <v>0</v>
      </c>
      <c r="AB504" s="7" t="n">
        <f aca="false">IF(AND(E504="Closed Lost",N504=""),1,0)</f>
        <v>0</v>
      </c>
      <c r="AC504" s="7" t="n">
        <f aca="false">SUM(U504:AB504)</f>
        <v>0</v>
      </c>
      <c r="AD504" s="7" t="n">
        <f aca="false">IF(AC504=0,1,0)</f>
        <v>1</v>
      </c>
      <c r="AE504" s="7" t="n">
        <f aca="false">IF(AND(O504=1,I504&gt;=Inputs!$B$6,I504&lt;=Inputs!$B$7),1,0)</f>
        <v>0</v>
      </c>
      <c r="AF504" s="7" t="n">
        <f aca="false">IF(AND(E504="Closed Won",I504&gt;=Inputs!$B$6,I504&lt;=Inputs!$B$4),1,0)</f>
        <v>0</v>
      </c>
      <c r="AG504" s="7" t="n">
        <f aca="false">IF(AND(O504=0,I504&gt;Inputs!$B$4-Inputs!$B$8,I504&lt;=Inputs!$B$4),1,0)</f>
        <v>1</v>
      </c>
      <c r="AH504" s="7" t="n">
        <f aca="false">I504-H504</f>
        <v>260</v>
      </c>
    </row>
    <row r="505" customFormat="false" ht="15" hidden="false" customHeight="false" outlineLevel="0" collapsed="false">
      <c r="A505" s="16" t="s">
        <v>1704</v>
      </c>
      <c r="B505" s="16" t="s">
        <v>810</v>
      </c>
      <c r="C505" s="16" t="s">
        <v>1705</v>
      </c>
      <c r="D505" s="16" t="s">
        <v>165</v>
      </c>
      <c r="E505" s="16" t="s">
        <v>531</v>
      </c>
      <c r="F505" s="26" t="n">
        <v>18393000</v>
      </c>
      <c r="G505" s="25" t="n">
        <v>0</v>
      </c>
      <c r="H505" s="22" t="n">
        <v>46131</v>
      </c>
      <c r="I505" s="22" t="n">
        <v>46285</v>
      </c>
      <c r="J505" s="22" t="n">
        <v>46285</v>
      </c>
      <c r="K505" s="16" t="s">
        <v>583</v>
      </c>
      <c r="L505" s="16" t="s">
        <v>584</v>
      </c>
      <c r="M505" s="16"/>
      <c r="N505" s="16" t="s">
        <v>697</v>
      </c>
      <c r="O505" s="7" t="n">
        <f aca="false">IF(OR(E505="Closed Won",E505="Closed Lost"),0,1)</f>
        <v>0</v>
      </c>
      <c r="P505" s="17" t="str">
        <f aca="false">INDEX(Accounts!$K$5:$K$336,MATCH(B505,Accounts!$A$5:$A$336,0))</f>
        <v>Financial Services</v>
      </c>
      <c r="Q505" s="17" t="str">
        <f aca="false">INDEX(Accounts!$D$5:$D$336,MATCH(B505,Accounts!$A$5:$A$336,0))</f>
        <v>Key</v>
      </c>
      <c r="R505" s="7" t="n">
        <f aca="false">INDEX(Inputs!$B$11:$B$16,MATCH(E505,Inputs!$A$11:$A$16,0))</f>
        <v>0</v>
      </c>
      <c r="S505" s="27" t="n">
        <f aca="false">IF(F505="",0,F505)*R505/100</f>
        <v>0</v>
      </c>
      <c r="T505" s="7" t="n">
        <f aca="false">Inputs!$B$4-J505</f>
        <v>29</v>
      </c>
      <c r="U505" s="7" t="n">
        <f aca="false">IF(OR(F505="",F505=0),1,0)</f>
        <v>0</v>
      </c>
      <c r="V505" s="7" t="n">
        <f aca="false">IF(K505="",1,0)</f>
        <v>0</v>
      </c>
      <c r="W505" s="7" t="n">
        <f aca="false">IF(AND(O505=1,K505&lt;&gt;"",COUNTIFS(Owners!$A$5:$A$32,K505,Owners!$E$5:$E$32,"No")&gt;0),1,0)</f>
        <v>0</v>
      </c>
      <c r="X505" s="7" t="n">
        <f aca="false">IF(AND(O505=1,I505&lt;Inputs!$B$4),1,0)</f>
        <v>0</v>
      </c>
      <c r="Y505" s="7" t="n">
        <f aca="false">IF(AND(O505=1,T505&gt;Inputs!$B$5),1,0)</f>
        <v>0</v>
      </c>
      <c r="Z505" s="7" t="n">
        <f aca="false">IF(AND(O505=1,G505&lt;&gt;R505),1,0)</f>
        <v>0</v>
      </c>
      <c r="AA505" s="7" t="n">
        <f aca="false">IF(AND(O505=1,M505=""),1,0)</f>
        <v>0</v>
      </c>
      <c r="AB505" s="7" t="n">
        <f aca="false">IF(AND(E505="Closed Lost",N505=""),1,0)</f>
        <v>0</v>
      </c>
      <c r="AC505" s="7" t="n">
        <f aca="false">SUM(U505:AB505)</f>
        <v>0</v>
      </c>
      <c r="AD505" s="7" t="n">
        <f aca="false">IF(AC505=0,1,0)</f>
        <v>1</v>
      </c>
      <c r="AE505" s="7" t="n">
        <f aca="false">IF(AND(O505=1,I505&gt;=Inputs!$B$6,I505&lt;=Inputs!$B$7),1,0)</f>
        <v>0</v>
      </c>
      <c r="AF505" s="7" t="n">
        <f aca="false">IF(AND(E505="Closed Won",I505&gt;=Inputs!$B$6,I505&lt;=Inputs!$B$4),1,0)</f>
        <v>0</v>
      </c>
      <c r="AG505" s="7" t="n">
        <f aca="false">IF(AND(O505=0,I505&gt;Inputs!$B$4-Inputs!$B$8,I505&lt;=Inputs!$B$4),1,0)</f>
        <v>1</v>
      </c>
      <c r="AH505" s="7" t="n">
        <f aca="false">I505-H505</f>
        <v>154</v>
      </c>
    </row>
    <row r="506" customFormat="false" ht="15" hidden="false" customHeight="false" outlineLevel="0" collapsed="false">
      <c r="A506" s="16" t="s">
        <v>1706</v>
      </c>
      <c r="B506" s="16" t="s">
        <v>681</v>
      </c>
      <c r="C506" s="16" t="s">
        <v>1707</v>
      </c>
      <c r="D506" s="16" t="s">
        <v>167</v>
      </c>
      <c r="E506" s="16" t="s">
        <v>531</v>
      </c>
      <c r="F506" s="26" t="n">
        <v>5097000</v>
      </c>
      <c r="G506" s="25" t="n">
        <v>0</v>
      </c>
      <c r="H506" s="22" t="n">
        <v>46006</v>
      </c>
      <c r="I506" s="22" t="n">
        <v>46284</v>
      </c>
      <c r="J506" s="22" t="n">
        <v>46284</v>
      </c>
      <c r="K506" s="16" t="s">
        <v>588</v>
      </c>
      <c r="L506" s="16" t="s">
        <v>568</v>
      </c>
      <c r="M506" s="16"/>
      <c r="N506" s="16" t="s">
        <v>697</v>
      </c>
      <c r="O506" s="7" t="n">
        <f aca="false">IF(OR(E506="Closed Won",E506="Closed Lost"),0,1)</f>
        <v>0</v>
      </c>
      <c r="P506" s="17" t="str">
        <f aca="false">INDEX(Accounts!$K$5:$K$336,MATCH(B506,Accounts!$A$5:$A$336,0))</f>
        <v>Real Estate &amp; Infrastructure</v>
      </c>
      <c r="Q506" s="17" t="str">
        <f aca="false">INDEX(Accounts!$D$5:$D$336,MATCH(B506,Accounts!$A$5:$A$336,0))</f>
        <v>Key</v>
      </c>
      <c r="R506" s="7" t="n">
        <f aca="false">INDEX(Inputs!$B$11:$B$16,MATCH(E506,Inputs!$A$11:$A$16,0))</f>
        <v>0</v>
      </c>
      <c r="S506" s="27" t="n">
        <f aca="false">IF(F506="",0,F506)*R506/100</f>
        <v>0</v>
      </c>
      <c r="T506" s="7" t="n">
        <f aca="false">Inputs!$B$4-J506</f>
        <v>30</v>
      </c>
      <c r="U506" s="7" t="n">
        <f aca="false">IF(OR(F506="",F506=0),1,0)</f>
        <v>0</v>
      </c>
      <c r="V506" s="7" t="n">
        <f aca="false">IF(K506="",1,0)</f>
        <v>0</v>
      </c>
      <c r="W506" s="7" t="n">
        <f aca="false">IF(AND(O506=1,K506&lt;&gt;"",COUNTIFS(Owners!$A$5:$A$32,K506,Owners!$E$5:$E$32,"No")&gt;0),1,0)</f>
        <v>0</v>
      </c>
      <c r="X506" s="7" t="n">
        <f aca="false">IF(AND(O506=1,I506&lt;Inputs!$B$4),1,0)</f>
        <v>0</v>
      </c>
      <c r="Y506" s="7" t="n">
        <f aca="false">IF(AND(O506=1,T506&gt;Inputs!$B$5),1,0)</f>
        <v>0</v>
      </c>
      <c r="Z506" s="7" t="n">
        <f aca="false">IF(AND(O506=1,G506&lt;&gt;R506),1,0)</f>
        <v>0</v>
      </c>
      <c r="AA506" s="7" t="n">
        <f aca="false">IF(AND(O506=1,M506=""),1,0)</f>
        <v>0</v>
      </c>
      <c r="AB506" s="7" t="n">
        <f aca="false">IF(AND(E506="Closed Lost",N506=""),1,0)</f>
        <v>0</v>
      </c>
      <c r="AC506" s="7" t="n">
        <f aca="false">SUM(U506:AB506)</f>
        <v>0</v>
      </c>
      <c r="AD506" s="7" t="n">
        <f aca="false">IF(AC506=0,1,0)</f>
        <v>1</v>
      </c>
      <c r="AE506" s="7" t="n">
        <f aca="false">IF(AND(O506=1,I506&gt;=Inputs!$B$6,I506&lt;=Inputs!$B$7),1,0)</f>
        <v>0</v>
      </c>
      <c r="AF506" s="7" t="n">
        <f aca="false">IF(AND(E506="Closed Won",I506&gt;=Inputs!$B$6,I506&lt;=Inputs!$B$4),1,0)</f>
        <v>0</v>
      </c>
      <c r="AG506" s="7" t="n">
        <f aca="false">IF(AND(O506=0,I506&gt;Inputs!$B$4-Inputs!$B$8,I506&lt;=Inputs!$B$4),1,0)</f>
        <v>1</v>
      </c>
      <c r="AH506" s="7" t="n">
        <f aca="false">I506-H506</f>
        <v>278</v>
      </c>
    </row>
    <row r="507" customFormat="false" ht="15" hidden="false" customHeight="false" outlineLevel="0" collapsed="false">
      <c r="A507" s="16" t="s">
        <v>1708</v>
      </c>
      <c r="B507" s="16" t="s">
        <v>182</v>
      </c>
      <c r="C507" s="16" t="s">
        <v>1709</v>
      </c>
      <c r="D507" s="16" t="s">
        <v>162</v>
      </c>
      <c r="E507" s="16" t="s">
        <v>531</v>
      </c>
      <c r="F507" s="26" t="n">
        <v>16547000</v>
      </c>
      <c r="G507" s="25" t="n">
        <v>0</v>
      </c>
      <c r="H507" s="22" t="n">
        <v>46126</v>
      </c>
      <c r="I507" s="22" t="n">
        <v>46191</v>
      </c>
      <c r="J507" s="22" t="n">
        <v>46191</v>
      </c>
      <c r="K507" s="16" t="s">
        <v>573</v>
      </c>
      <c r="L507" s="16" t="s">
        <v>568</v>
      </c>
      <c r="M507" s="16"/>
      <c r="N507" s="16" t="s">
        <v>597</v>
      </c>
      <c r="O507" s="7" t="n">
        <f aca="false">IF(OR(E507="Closed Won",E507="Closed Lost"),0,1)</f>
        <v>0</v>
      </c>
      <c r="P507" s="17" t="str">
        <f aca="false">INDEX(Accounts!$K$5:$K$336,MATCH(B507,Accounts!$A$5:$A$336,0))</f>
        <v>Public Sector &amp; Development</v>
      </c>
      <c r="Q507" s="17" t="str">
        <f aca="false">INDEX(Accounts!$D$5:$D$336,MATCH(B507,Accounts!$A$5:$A$336,0))</f>
        <v>Key</v>
      </c>
      <c r="R507" s="7" t="n">
        <f aca="false">INDEX(Inputs!$B$11:$B$16,MATCH(E507,Inputs!$A$11:$A$16,0))</f>
        <v>0</v>
      </c>
      <c r="S507" s="27" t="n">
        <f aca="false">IF(F507="",0,F507)*R507/100</f>
        <v>0</v>
      </c>
      <c r="T507" s="7" t="n">
        <f aca="false">Inputs!$B$4-J507</f>
        <v>123</v>
      </c>
      <c r="U507" s="7" t="n">
        <f aca="false">IF(OR(F507="",F507=0),1,0)</f>
        <v>0</v>
      </c>
      <c r="V507" s="7" t="n">
        <f aca="false">IF(K507="",1,0)</f>
        <v>0</v>
      </c>
      <c r="W507" s="7" t="n">
        <f aca="false">IF(AND(O507=1,K507&lt;&gt;"",COUNTIFS(Owners!$A$5:$A$32,K507,Owners!$E$5:$E$32,"No")&gt;0),1,0)</f>
        <v>0</v>
      </c>
      <c r="X507" s="7" t="n">
        <f aca="false">IF(AND(O507=1,I507&lt;Inputs!$B$4),1,0)</f>
        <v>0</v>
      </c>
      <c r="Y507" s="7" t="n">
        <f aca="false">IF(AND(O507=1,T507&gt;Inputs!$B$5),1,0)</f>
        <v>0</v>
      </c>
      <c r="Z507" s="7" t="n">
        <f aca="false">IF(AND(O507=1,G507&lt;&gt;R507),1,0)</f>
        <v>0</v>
      </c>
      <c r="AA507" s="7" t="n">
        <f aca="false">IF(AND(O507=1,M507=""),1,0)</f>
        <v>0</v>
      </c>
      <c r="AB507" s="7" t="n">
        <f aca="false">IF(AND(E507="Closed Lost",N507=""),1,0)</f>
        <v>0</v>
      </c>
      <c r="AC507" s="7" t="n">
        <f aca="false">SUM(U507:AB507)</f>
        <v>0</v>
      </c>
      <c r="AD507" s="7" t="n">
        <f aca="false">IF(AC507=0,1,0)</f>
        <v>1</v>
      </c>
      <c r="AE507" s="7" t="n">
        <f aca="false">IF(AND(O507=1,I507&gt;=Inputs!$B$6,I507&lt;=Inputs!$B$7),1,0)</f>
        <v>0</v>
      </c>
      <c r="AF507" s="7" t="n">
        <f aca="false">IF(AND(E507="Closed Won",I507&gt;=Inputs!$B$6,I507&lt;=Inputs!$B$4),1,0)</f>
        <v>0</v>
      </c>
      <c r="AG507" s="7" t="n">
        <f aca="false">IF(AND(O507=0,I507&gt;Inputs!$B$4-Inputs!$B$8,I507&lt;=Inputs!$B$4),1,0)</f>
        <v>1</v>
      </c>
      <c r="AH507" s="7" t="n">
        <f aca="false">I507-H507</f>
        <v>65</v>
      </c>
    </row>
    <row r="508" customFormat="false" ht="15" hidden="false" customHeight="false" outlineLevel="0" collapsed="false">
      <c r="A508" s="16" t="s">
        <v>1710</v>
      </c>
      <c r="B508" s="16" t="s">
        <v>94</v>
      </c>
      <c r="C508" s="16" t="s">
        <v>1711</v>
      </c>
      <c r="D508" s="16" t="s">
        <v>177</v>
      </c>
      <c r="E508" s="16" t="s">
        <v>530</v>
      </c>
      <c r="F508" s="26" t="n">
        <v>14553000</v>
      </c>
      <c r="G508" s="25" t="n">
        <v>100</v>
      </c>
      <c r="H508" s="22" t="n">
        <v>46150</v>
      </c>
      <c r="I508" s="22" t="n">
        <v>46254</v>
      </c>
      <c r="J508" s="22" t="n">
        <v>46254</v>
      </c>
      <c r="K508" s="16"/>
      <c r="L508" s="16" t="s">
        <v>568</v>
      </c>
      <c r="M508" s="16"/>
      <c r="N508" s="16"/>
      <c r="O508" s="7" t="n">
        <f aca="false">IF(OR(E508="Closed Won",E508="Closed Lost"),0,1)</f>
        <v>0</v>
      </c>
      <c r="P508" s="17" t="str">
        <f aca="false">INDEX(Accounts!$K$5:$K$336,MATCH(B508,Accounts!$A$5:$A$336,0))</f>
        <v>Technology, Media &amp; Telecom</v>
      </c>
      <c r="Q508" s="17" t="str">
        <f aca="false">INDEX(Accounts!$D$5:$D$336,MATCH(B508,Accounts!$A$5:$A$336,0))</f>
        <v>Priority</v>
      </c>
      <c r="R508" s="7" t="n">
        <f aca="false">INDEX(Inputs!$B$11:$B$16,MATCH(E508,Inputs!$A$11:$A$16,0))</f>
        <v>100</v>
      </c>
      <c r="S508" s="27" t="n">
        <f aca="false">IF(F508="",0,F508)*R508/100</f>
        <v>14553000</v>
      </c>
      <c r="T508" s="7" t="n">
        <f aca="false">Inputs!$B$4-J508</f>
        <v>60</v>
      </c>
      <c r="U508" s="7" t="n">
        <f aca="false">IF(OR(F508="",F508=0),1,0)</f>
        <v>0</v>
      </c>
      <c r="V508" s="7" t="n">
        <f aca="false">IF(K508="",1,0)</f>
        <v>1</v>
      </c>
      <c r="W508" s="7" t="n">
        <f aca="false">IF(AND(O508=1,K508&lt;&gt;"",COUNTIFS(Owners!$A$5:$A$32,K508,Owners!$E$5:$E$32,"No")&gt;0),1,0)</f>
        <v>0</v>
      </c>
      <c r="X508" s="7" t="n">
        <f aca="false">IF(AND(O508=1,I508&lt;Inputs!$B$4),1,0)</f>
        <v>0</v>
      </c>
      <c r="Y508" s="7" t="n">
        <f aca="false">IF(AND(O508=1,T508&gt;Inputs!$B$5),1,0)</f>
        <v>0</v>
      </c>
      <c r="Z508" s="7" t="n">
        <f aca="false">IF(AND(O508=1,G508&lt;&gt;R508),1,0)</f>
        <v>0</v>
      </c>
      <c r="AA508" s="7" t="n">
        <f aca="false">IF(AND(O508=1,M508=""),1,0)</f>
        <v>0</v>
      </c>
      <c r="AB508" s="7" t="n">
        <f aca="false">IF(AND(E508="Closed Lost",N508=""),1,0)</f>
        <v>0</v>
      </c>
      <c r="AC508" s="7" t="n">
        <f aca="false">SUM(U508:AB508)</f>
        <v>1</v>
      </c>
      <c r="AD508" s="7" t="n">
        <f aca="false">IF(AC508=0,1,0)</f>
        <v>0</v>
      </c>
      <c r="AE508" s="7" t="n">
        <f aca="false">IF(AND(O508=1,I508&gt;=Inputs!$B$6,I508&lt;=Inputs!$B$7),1,0)</f>
        <v>0</v>
      </c>
      <c r="AF508" s="7" t="n">
        <f aca="false">IF(AND(E508="Closed Won",I508&gt;=Inputs!$B$6,I508&lt;=Inputs!$B$4),1,0)</f>
        <v>1</v>
      </c>
      <c r="AG508" s="7" t="n">
        <f aca="false">IF(AND(O508=0,I508&gt;Inputs!$B$4-Inputs!$B$8,I508&lt;=Inputs!$B$4),1,0)</f>
        <v>1</v>
      </c>
      <c r="AH508" s="7" t="n">
        <f aca="false">I508-H508</f>
        <v>104</v>
      </c>
    </row>
    <row r="509" customFormat="false" ht="15" hidden="false" customHeight="false" outlineLevel="0" collapsed="false">
      <c r="A509" s="16" t="s">
        <v>1712</v>
      </c>
      <c r="B509" s="16" t="s">
        <v>668</v>
      </c>
      <c r="C509" s="16" t="s">
        <v>1713</v>
      </c>
      <c r="D509" s="16" t="s">
        <v>158</v>
      </c>
      <c r="E509" s="16" t="s">
        <v>529</v>
      </c>
      <c r="F509" s="26" t="n">
        <v>18123000</v>
      </c>
      <c r="G509" s="25" t="n">
        <v>75</v>
      </c>
      <c r="H509" s="22" t="n">
        <v>46156</v>
      </c>
      <c r="I509" s="22" t="n">
        <v>46486</v>
      </c>
      <c r="J509" s="22" t="n">
        <v>46308</v>
      </c>
      <c r="K509" s="16" t="s">
        <v>583</v>
      </c>
      <c r="L509" s="16" t="s">
        <v>609</v>
      </c>
      <c r="M509" s="16" t="s">
        <v>619</v>
      </c>
      <c r="N509" s="16"/>
      <c r="O509" s="7" t="n">
        <f aca="false">IF(OR(E509="Closed Won",E509="Closed Lost"),0,1)</f>
        <v>1</v>
      </c>
      <c r="P509" s="17" t="str">
        <f aca="false">INDEX(Accounts!$K$5:$K$336,MATCH(B509,Accounts!$A$5:$A$336,0))</f>
        <v>Public Sector &amp; Development</v>
      </c>
      <c r="Q509" s="17" t="str">
        <f aca="false">INDEX(Accounts!$D$5:$D$336,MATCH(B509,Accounts!$A$5:$A$336,0))</f>
        <v>Key</v>
      </c>
      <c r="R509" s="7" t="n">
        <f aca="false">INDEX(Inputs!$B$11:$B$16,MATCH(E509,Inputs!$A$11:$A$16,0))</f>
        <v>75</v>
      </c>
      <c r="S509" s="27" t="n">
        <f aca="false">IF(F509="",0,F509)*R509/100</f>
        <v>13592250</v>
      </c>
      <c r="T509" s="7" t="n">
        <f aca="false">Inputs!$B$4-J509</f>
        <v>6</v>
      </c>
      <c r="U509" s="7" t="n">
        <f aca="false">IF(OR(F509="",F509=0),1,0)</f>
        <v>0</v>
      </c>
      <c r="V509" s="7" t="n">
        <f aca="false">IF(K509="",1,0)</f>
        <v>0</v>
      </c>
      <c r="W509" s="7" t="n">
        <f aca="false">IF(AND(O509=1,K509&lt;&gt;"",COUNTIFS(Owners!$A$5:$A$32,K509,Owners!$E$5:$E$32,"No")&gt;0),1,0)</f>
        <v>1</v>
      </c>
      <c r="X509" s="7" t="n">
        <f aca="false">IF(AND(O509=1,I509&lt;Inputs!$B$4),1,0)</f>
        <v>0</v>
      </c>
      <c r="Y509" s="7" t="n">
        <f aca="false">IF(AND(O509=1,T509&gt;Inputs!$B$5),1,0)</f>
        <v>0</v>
      </c>
      <c r="Z509" s="7" t="n">
        <f aca="false">IF(AND(O509=1,G509&lt;&gt;R509),1,0)</f>
        <v>0</v>
      </c>
      <c r="AA509" s="7" t="n">
        <f aca="false">IF(AND(O509=1,M509=""),1,0)</f>
        <v>0</v>
      </c>
      <c r="AB509" s="7" t="n">
        <f aca="false">IF(AND(E509="Closed Lost",N509=""),1,0)</f>
        <v>0</v>
      </c>
      <c r="AC509" s="7" t="n">
        <f aca="false">SUM(U509:AB509)</f>
        <v>1</v>
      </c>
      <c r="AD509" s="7" t="n">
        <f aca="false">IF(AC509=0,1,0)</f>
        <v>0</v>
      </c>
      <c r="AE509" s="7" t="n">
        <f aca="false">IF(AND(O509=1,I509&gt;=Inputs!$B$6,I509&lt;=Inputs!$B$7),1,0)</f>
        <v>1</v>
      </c>
      <c r="AF509" s="7" t="n">
        <f aca="false">IF(AND(E509="Closed Won",I509&gt;=Inputs!$B$6,I509&lt;=Inputs!$B$4),1,0)</f>
        <v>0</v>
      </c>
      <c r="AG509" s="7" t="n">
        <f aca="false">IF(AND(O509=0,I509&gt;Inputs!$B$4-Inputs!$B$8,I509&lt;=Inputs!$B$4),1,0)</f>
        <v>0</v>
      </c>
      <c r="AH509" s="7" t="n">
        <f aca="false">I509-H509</f>
        <v>330</v>
      </c>
    </row>
    <row r="510" customFormat="false" ht="15" hidden="false" customHeight="false" outlineLevel="0" collapsed="false">
      <c r="A510" s="16" t="s">
        <v>1714</v>
      </c>
      <c r="B510" s="16" t="s">
        <v>57</v>
      </c>
      <c r="C510" s="16" t="s">
        <v>1715</v>
      </c>
      <c r="D510" s="16" t="s">
        <v>167</v>
      </c>
      <c r="E510" s="16" t="s">
        <v>530</v>
      </c>
      <c r="F510" s="26" t="n">
        <v>8950000</v>
      </c>
      <c r="G510" s="25" t="n">
        <v>100</v>
      </c>
      <c r="H510" s="22" t="n">
        <v>45933</v>
      </c>
      <c r="I510" s="22" t="n">
        <v>46218</v>
      </c>
      <c r="J510" s="22" t="n">
        <v>46218</v>
      </c>
      <c r="K510" s="16" t="s">
        <v>691</v>
      </c>
      <c r="L510" s="16" t="s">
        <v>500</v>
      </c>
      <c r="M510" s="16"/>
      <c r="N510" s="16"/>
      <c r="O510" s="7" t="n">
        <f aca="false">IF(OR(E510="Closed Won",E510="Closed Lost"),0,1)</f>
        <v>0</v>
      </c>
      <c r="P510" s="17" t="str">
        <f aca="false">INDEX(Accounts!$K$5:$K$336,MATCH(B510,Accounts!$A$5:$A$336,0))</f>
        <v>Financial Services</v>
      </c>
      <c r="Q510" s="17" t="str">
        <f aca="false">INDEX(Accounts!$D$5:$D$336,MATCH(B510,Accounts!$A$5:$A$336,0))</f>
        <v>Priority</v>
      </c>
      <c r="R510" s="7" t="n">
        <f aca="false">INDEX(Inputs!$B$11:$B$16,MATCH(E510,Inputs!$A$11:$A$16,0))</f>
        <v>100</v>
      </c>
      <c r="S510" s="27" t="n">
        <f aca="false">IF(F510="",0,F510)*R510/100</f>
        <v>8950000</v>
      </c>
      <c r="T510" s="7" t="n">
        <f aca="false">Inputs!$B$4-J510</f>
        <v>96</v>
      </c>
      <c r="U510" s="7" t="n">
        <f aca="false">IF(OR(F510="",F510=0),1,0)</f>
        <v>0</v>
      </c>
      <c r="V510" s="7" t="n">
        <f aca="false">IF(K510="",1,0)</f>
        <v>0</v>
      </c>
      <c r="W510" s="7" t="n">
        <f aca="false">IF(AND(O510=1,K510&lt;&gt;"",COUNTIFS(Owners!$A$5:$A$32,K510,Owners!$E$5:$E$32,"No")&gt;0),1,0)</f>
        <v>0</v>
      </c>
      <c r="X510" s="7" t="n">
        <f aca="false">IF(AND(O510=1,I510&lt;Inputs!$B$4),1,0)</f>
        <v>0</v>
      </c>
      <c r="Y510" s="7" t="n">
        <f aca="false">IF(AND(O510=1,T510&gt;Inputs!$B$5),1,0)</f>
        <v>0</v>
      </c>
      <c r="Z510" s="7" t="n">
        <f aca="false">IF(AND(O510=1,G510&lt;&gt;R510),1,0)</f>
        <v>0</v>
      </c>
      <c r="AA510" s="7" t="n">
        <f aca="false">IF(AND(O510=1,M510=""),1,0)</f>
        <v>0</v>
      </c>
      <c r="AB510" s="7" t="n">
        <f aca="false">IF(AND(E510="Closed Lost",N510=""),1,0)</f>
        <v>0</v>
      </c>
      <c r="AC510" s="7" t="n">
        <f aca="false">SUM(U510:AB510)</f>
        <v>0</v>
      </c>
      <c r="AD510" s="7" t="n">
        <f aca="false">IF(AC510=0,1,0)</f>
        <v>1</v>
      </c>
      <c r="AE510" s="7" t="n">
        <f aca="false">IF(AND(O510=1,I510&gt;=Inputs!$B$6,I510&lt;=Inputs!$B$7),1,0)</f>
        <v>0</v>
      </c>
      <c r="AF510" s="7" t="n">
        <f aca="false">IF(AND(E510="Closed Won",I510&gt;=Inputs!$B$6,I510&lt;=Inputs!$B$4),1,0)</f>
        <v>1</v>
      </c>
      <c r="AG510" s="7" t="n">
        <f aca="false">IF(AND(O510=0,I510&gt;Inputs!$B$4-Inputs!$B$8,I510&lt;=Inputs!$B$4),1,0)</f>
        <v>1</v>
      </c>
      <c r="AH510" s="7" t="n">
        <f aca="false">I510-H510</f>
        <v>285</v>
      </c>
    </row>
    <row r="511" customFormat="false" ht="15" hidden="false" customHeight="false" outlineLevel="0" collapsed="false">
      <c r="A511" s="16" t="s">
        <v>1716</v>
      </c>
      <c r="B511" s="16" t="s">
        <v>81</v>
      </c>
      <c r="C511" s="16" t="s">
        <v>1717</v>
      </c>
      <c r="D511" s="16" t="s">
        <v>165</v>
      </c>
      <c r="E511" s="16" t="s">
        <v>530</v>
      </c>
      <c r="F511" s="26" t="n">
        <v>15979000</v>
      </c>
      <c r="G511" s="25" t="n">
        <v>100</v>
      </c>
      <c r="H511" s="22" t="n">
        <v>45897</v>
      </c>
      <c r="I511" s="22" t="n">
        <v>45989</v>
      </c>
      <c r="J511" s="22" t="n">
        <v>45989</v>
      </c>
      <c r="K511" s="16" t="s">
        <v>596</v>
      </c>
      <c r="L511" s="16" t="s">
        <v>574</v>
      </c>
      <c r="M511" s="16"/>
      <c r="N511" s="16"/>
      <c r="O511" s="7" t="n">
        <f aca="false">IF(OR(E511="Closed Won",E511="Closed Lost"),0,1)</f>
        <v>0</v>
      </c>
      <c r="P511" s="17" t="str">
        <f aca="false">INDEX(Accounts!$K$5:$K$336,MATCH(B511,Accounts!$A$5:$A$336,0))</f>
        <v>Financial Services</v>
      </c>
      <c r="Q511" s="17" t="str">
        <f aca="false">INDEX(Accounts!$D$5:$D$336,MATCH(B511,Accounts!$A$5:$A$336,0))</f>
        <v>Priority</v>
      </c>
      <c r="R511" s="7" t="n">
        <f aca="false">INDEX(Inputs!$B$11:$B$16,MATCH(E511,Inputs!$A$11:$A$16,0))</f>
        <v>100</v>
      </c>
      <c r="S511" s="27" t="n">
        <f aca="false">IF(F511="",0,F511)*R511/100</f>
        <v>15979000</v>
      </c>
      <c r="T511" s="7" t="n">
        <f aca="false">Inputs!$B$4-J511</f>
        <v>325</v>
      </c>
      <c r="U511" s="7" t="n">
        <f aca="false">IF(OR(F511="",F511=0),1,0)</f>
        <v>0</v>
      </c>
      <c r="V511" s="7" t="n">
        <f aca="false">IF(K511="",1,0)</f>
        <v>0</v>
      </c>
      <c r="W511" s="7" t="n">
        <f aca="false">IF(AND(O511=1,K511&lt;&gt;"",COUNTIFS(Owners!$A$5:$A$32,K511,Owners!$E$5:$E$32,"No")&gt;0),1,0)</f>
        <v>0</v>
      </c>
      <c r="X511" s="7" t="n">
        <f aca="false">IF(AND(O511=1,I511&lt;Inputs!$B$4),1,0)</f>
        <v>0</v>
      </c>
      <c r="Y511" s="7" t="n">
        <f aca="false">IF(AND(O511=1,T511&gt;Inputs!$B$5),1,0)</f>
        <v>0</v>
      </c>
      <c r="Z511" s="7" t="n">
        <f aca="false">IF(AND(O511=1,G511&lt;&gt;R511),1,0)</f>
        <v>0</v>
      </c>
      <c r="AA511" s="7" t="n">
        <f aca="false">IF(AND(O511=1,M511=""),1,0)</f>
        <v>0</v>
      </c>
      <c r="AB511" s="7" t="n">
        <f aca="false">IF(AND(E511="Closed Lost",N511=""),1,0)</f>
        <v>0</v>
      </c>
      <c r="AC511" s="7" t="n">
        <f aca="false">SUM(U511:AB511)</f>
        <v>0</v>
      </c>
      <c r="AD511" s="7" t="n">
        <f aca="false">IF(AC511=0,1,0)</f>
        <v>1</v>
      </c>
      <c r="AE511" s="7" t="n">
        <f aca="false">IF(AND(O511=1,I511&gt;=Inputs!$B$6,I511&lt;=Inputs!$B$7),1,0)</f>
        <v>0</v>
      </c>
      <c r="AF511" s="7" t="n">
        <f aca="false">IF(AND(E511="Closed Won",I511&gt;=Inputs!$B$6,I511&lt;=Inputs!$B$4),1,0)</f>
        <v>0</v>
      </c>
      <c r="AG511" s="7" t="n">
        <f aca="false">IF(AND(O511=0,I511&gt;Inputs!$B$4-Inputs!$B$8,I511&lt;=Inputs!$B$4),1,0)</f>
        <v>1</v>
      </c>
      <c r="AH511" s="7" t="n">
        <f aca="false">I511-H511</f>
        <v>92</v>
      </c>
    </row>
    <row r="512" customFormat="false" ht="15" hidden="false" customHeight="false" outlineLevel="0" collapsed="false">
      <c r="A512" s="16" t="s">
        <v>1718</v>
      </c>
      <c r="B512" s="16" t="s">
        <v>1719</v>
      </c>
      <c r="C512" s="16" t="s">
        <v>1720</v>
      </c>
      <c r="D512" s="16" t="s">
        <v>162</v>
      </c>
      <c r="E512" s="16" t="s">
        <v>531</v>
      </c>
      <c r="F512" s="26" t="n">
        <v>11352000</v>
      </c>
      <c r="G512" s="25" t="n">
        <v>0</v>
      </c>
      <c r="H512" s="22" t="n">
        <v>46120</v>
      </c>
      <c r="I512" s="22" t="n">
        <v>46271</v>
      </c>
      <c r="J512" s="22" t="n">
        <v>46271</v>
      </c>
      <c r="K512" s="16" t="s">
        <v>578</v>
      </c>
      <c r="L512" s="16" t="s">
        <v>568</v>
      </c>
      <c r="M512" s="16"/>
      <c r="N512" s="16" t="s">
        <v>713</v>
      </c>
      <c r="O512" s="7" t="n">
        <f aca="false">IF(OR(E512="Closed Won",E512="Closed Lost"),0,1)</f>
        <v>0</v>
      </c>
      <c r="P512" s="17" t="str">
        <f aca="false">INDEX(Accounts!$K$5:$K$336,MATCH(B512,Accounts!$A$5:$A$336,0))</f>
        <v>Consumer &amp; Retail</v>
      </c>
      <c r="Q512" s="17" t="str">
        <f aca="false">INDEX(Accounts!$D$5:$D$336,MATCH(B512,Accounts!$A$5:$A$336,0))</f>
        <v>Standard</v>
      </c>
      <c r="R512" s="7" t="n">
        <f aca="false">INDEX(Inputs!$B$11:$B$16,MATCH(E512,Inputs!$A$11:$A$16,0))</f>
        <v>0</v>
      </c>
      <c r="S512" s="27" t="n">
        <f aca="false">IF(F512="",0,F512)*R512/100</f>
        <v>0</v>
      </c>
      <c r="T512" s="7" t="n">
        <f aca="false">Inputs!$B$4-J512</f>
        <v>43</v>
      </c>
      <c r="U512" s="7" t="n">
        <f aca="false">IF(OR(F512="",F512=0),1,0)</f>
        <v>0</v>
      </c>
      <c r="V512" s="7" t="n">
        <f aca="false">IF(K512="",1,0)</f>
        <v>0</v>
      </c>
      <c r="W512" s="7" t="n">
        <f aca="false">IF(AND(O512=1,K512&lt;&gt;"",COUNTIFS(Owners!$A$5:$A$32,K512,Owners!$E$5:$E$32,"No")&gt;0),1,0)</f>
        <v>0</v>
      </c>
      <c r="X512" s="7" t="n">
        <f aca="false">IF(AND(O512=1,I512&lt;Inputs!$B$4),1,0)</f>
        <v>0</v>
      </c>
      <c r="Y512" s="7" t="n">
        <f aca="false">IF(AND(O512=1,T512&gt;Inputs!$B$5),1,0)</f>
        <v>0</v>
      </c>
      <c r="Z512" s="7" t="n">
        <f aca="false">IF(AND(O512=1,G512&lt;&gt;R512),1,0)</f>
        <v>0</v>
      </c>
      <c r="AA512" s="7" t="n">
        <f aca="false">IF(AND(O512=1,M512=""),1,0)</f>
        <v>0</v>
      </c>
      <c r="AB512" s="7" t="n">
        <f aca="false">IF(AND(E512="Closed Lost",N512=""),1,0)</f>
        <v>0</v>
      </c>
      <c r="AC512" s="7" t="n">
        <f aca="false">SUM(U512:AB512)</f>
        <v>0</v>
      </c>
      <c r="AD512" s="7" t="n">
        <f aca="false">IF(AC512=0,1,0)</f>
        <v>1</v>
      </c>
      <c r="AE512" s="7" t="n">
        <f aca="false">IF(AND(O512=1,I512&gt;=Inputs!$B$6,I512&lt;=Inputs!$B$7),1,0)</f>
        <v>0</v>
      </c>
      <c r="AF512" s="7" t="n">
        <f aca="false">IF(AND(E512="Closed Won",I512&gt;=Inputs!$B$6,I512&lt;=Inputs!$B$4),1,0)</f>
        <v>0</v>
      </c>
      <c r="AG512" s="7" t="n">
        <f aca="false">IF(AND(O512=0,I512&gt;Inputs!$B$4-Inputs!$B$8,I512&lt;=Inputs!$B$4),1,0)</f>
        <v>1</v>
      </c>
      <c r="AH512" s="7" t="n">
        <f aca="false">I512-H512</f>
        <v>151</v>
      </c>
    </row>
    <row r="513" customFormat="false" ht="15" hidden="false" customHeight="false" outlineLevel="0" collapsed="false">
      <c r="A513" s="16" t="s">
        <v>1721</v>
      </c>
      <c r="B513" s="16" t="s">
        <v>77</v>
      </c>
      <c r="C513" s="16" t="s">
        <v>1722</v>
      </c>
      <c r="D513" s="16" t="s">
        <v>167</v>
      </c>
      <c r="E513" s="16" t="s">
        <v>527</v>
      </c>
      <c r="F513" s="26" t="n">
        <v>12938000</v>
      </c>
      <c r="G513" s="25" t="n">
        <v>25</v>
      </c>
      <c r="H513" s="22" t="n">
        <v>46093</v>
      </c>
      <c r="I513" s="22" t="n">
        <v>46391</v>
      </c>
      <c r="J513" s="22" t="n">
        <v>46275</v>
      </c>
      <c r="K513" s="16" t="s">
        <v>600</v>
      </c>
      <c r="L513" s="16" t="s">
        <v>568</v>
      </c>
      <c r="M513" s="16" t="s">
        <v>593</v>
      </c>
      <c r="N513" s="16"/>
      <c r="O513" s="7" t="n">
        <f aca="false">IF(OR(E513="Closed Won",E513="Closed Lost"),0,1)</f>
        <v>1</v>
      </c>
      <c r="P513" s="17" t="str">
        <f aca="false">INDEX(Accounts!$K$5:$K$336,MATCH(B513,Accounts!$A$5:$A$336,0))</f>
        <v>Financial Services</v>
      </c>
      <c r="Q513" s="17" t="str">
        <f aca="false">INDEX(Accounts!$D$5:$D$336,MATCH(B513,Accounts!$A$5:$A$336,0))</f>
        <v>Priority</v>
      </c>
      <c r="R513" s="7" t="n">
        <f aca="false">INDEX(Inputs!$B$11:$B$16,MATCH(E513,Inputs!$A$11:$A$16,0))</f>
        <v>25</v>
      </c>
      <c r="S513" s="27" t="n">
        <f aca="false">IF(F513="",0,F513)*R513/100</f>
        <v>3234500</v>
      </c>
      <c r="T513" s="7" t="n">
        <f aca="false">Inputs!$B$4-J513</f>
        <v>39</v>
      </c>
      <c r="U513" s="7" t="n">
        <f aca="false">IF(OR(F513="",F513=0),1,0)</f>
        <v>0</v>
      </c>
      <c r="V513" s="7" t="n">
        <f aca="false">IF(K513="",1,0)</f>
        <v>0</v>
      </c>
      <c r="W513" s="7" t="n">
        <f aca="false">IF(AND(O513=1,K513&lt;&gt;"",COUNTIFS(Owners!$A$5:$A$32,K513,Owners!$E$5:$E$32,"No")&gt;0),1,0)</f>
        <v>0</v>
      </c>
      <c r="X513" s="7" t="n">
        <f aca="false">IF(AND(O513=1,I513&lt;Inputs!$B$4),1,0)</f>
        <v>0</v>
      </c>
      <c r="Y513" s="7" t="n">
        <f aca="false">IF(AND(O513=1,T513&gt;Inputs!$B$5),1,0)</f>
        <v>0</v>
      </c>
      <c r="Z513" s="7" t="n">
        <f aca="false">IF(AND(O513=1,G513&lt;&gt;R513),1,0)</f>
        <v>0</v>
      </c>
      <c r="AA513" s="7" t="n">
        <f aca="false">IF(AND(O513=1,M513=""),1,0)</f>
        <v>0</v>
      </c>
      <c r="AB513" s="7" t="n">
        <f aca="false">IF(AND(E513="Closed Lost",N513=""),1,0)</f>
        <v>0</v>
      </c>
      <c r="AC513" s="7" t="n">
        <f aca="false">SUM(U513:AB513)</f>
        <v>0</v>
      </c>
      <c r="AD513" s="7" t="n">
        <f aca="false">IF(AC513=0,1,0)</f>
        <v>1</v>
      </c>
      <c r="AE513" s="7" t="n">
        <f aca="false">IF(AND(O513=1,I513&gt;=Inputs!$B$6,I513&lt;=Inputs!$B$7),1,0)</f>
        <v>1</v>
      </c>
      <c r="AF513" s="7" t="n">
        <f aca="false">IF(AND(E513="Closed Won",I513&gt;=Inputs!$B$6,I513&lt;=Inputs!$B$4),1,0)</f>
        <v>0</v>
      </c>
      <c r="AG513" s="7" t="n">
        <f aca="false">IF(AND(O513=0,I513&gt;Inputs!$B$4-Inputs!$B$8,I513&lt;=Inputs!$B$4),1,0)</f>
        <v>0</v>
      </c>
      <c r="AH513" s="7" t="n">
        <f aca="false">I513-H513</f>
        <v>298</v>
      </c>
    </row>
    <row r="514" customFormat="false" ht="15" hidden="false" customHeight="false" outlineLevel="0" collapsed="false">
      <c r="A514" s="16" t="s">
        <v>1723</v>
      </c>
      <c r="B514" s="16" t="s">
        <v>86</v>
      </c>
      <c r="C514" s="16" t="s">
        <v>1724</v>
      </c>
      <c r="D514" s="16" t="s">
        <v>165</v>
      </c>
      <c r="E514" s="16" t="s">
        <v>531</v>
      </c>
      <c r="F514" s="26" t="n">
        <v>72805000</v>
      </c>
      <c r="G514" s="25" t="n">
        <v>0</v>
      </c>
      <c r="H514" s="22" t="n">
        <v>46038</v>
      </c>
      <c r="I514" s="22" t="n">
        <v>46309</v>
      </c>
      <c r="J514" s="22" t="n">
        <v>46309</v>
      </c>
      <c r="K514" s="16" t="s">
        <v>654</v>
      </c>
      <c r="L514" s="16" t="s">
        <v>584</v>
      </c>
      <c r="M514" s="16"/>
      <c r="N514" s="16" t="s">
        <v>713</v>
      </c>
      <c r="O514" s="7" t="n">
        <f aca="false">IF(OR(E514="Closed Won",E514="Closed Lost"),0,1)</f>
        <v>0</v>
      </c>
      <c r="P514" s="17" t="str">
        <f aca="false">INDEX(Accounts!$K$5:$K$336,MATCH(B514,Accounts!$A$5:$A$336,0))</f>
        <v>Technology, Media &amp; Telecom</v>
      </c>
      <c r="Q514" s="17" t="str">
        <f aca="false">INDEX(Accounts!$D$5:$D$336,MATCH(B514,Accounts!$A$5:$A$336,0))</f>
        <v>Priority</v>
      </c>
      <c r="R514" s="7" t="n">
        <f aca="false">INDEX(Inputs!$B$11:$B$16,MATCH(E514,Inputs!$A$11:$A$16,0))</f>
        <v>0</v>
      </c>
      <c r="S514" s="27" t="n">
        <f aca="false">IF(F514="",0,F514)*R514/100</f>
        <v>0</v>
      </c>
      <c r="T514" s="7" t="n">
        <f aca="false">Inputs!$B$4-J514</f>
        <v>5</v>
      </c>
      <c r="U514" s="7" t="n">
        <f aca="false">IF(OR(F514="",F514=0),1,0)</f>
        <v>0</v>
      </c>
      <c r="V514" s="7" t="n">
        <f aca="false">IF(K514="",1,0)</f>
        <v>0</v>
      </c>
      <c r="W514" s="7" t="n">
        <f aca="false">IF(AND(O514=1,K514&lt;&gt;"",COUNTIFS(Owners!$A$5:$A$32,K514,Owners!$E$5:$E$32,"No")&gt;0),1,0)</f>
        <v>0</v>
      </c>
      <c r="X514" s="7" t="n">
        <f aca="false">IF(AND(O514=1,I514&lt;Inputs!$B$4),1,0)</f>
        <v>0</v>
      </c>
      <c r="Y514" s="7" t="n">
        <f aca="false">IF(AND(O514=1,T514&gt;Inputs!$B$5),1,0)</f>
        <v>0</v>
      </c>
      <c r="Z514" s="7" t="n">
        <f aca="false">IF(AND(O514=1,G514&lt;&gt;R514),1,0)</f>
        <v>0</v>
      </c>
      <c r="AA514" s="7" t="n">
        <f aca="false">IF(AND(O514=1,M514=""),1,0)</f>
        <v>0</v>
      </c>
      <c r="AB514" s="7" t="n">
        <f aca="false">IF(AND(E514="Closed Lost",N514=""),1,0)</f>
        <v>0</v>
      </c>
      <c r="AC514" s="7" t="n">
        <f aca="false">SUM(U514:AB514)</f>
        <v>0</v>
      </c>
      <c r="AD514" s="7" t="n">
        <f aca="false">IF(AC514=0,1,0)</f>
        <v>1</v>
      </c>
      <c r="AE514" s="7" t="n">
        <f aca="false">IF(AND(O514=1,I514&gt;=Inputs!$B$6,I514&lt;=Inputs!$B$7),1,0)</f>
        <v>0</v>
      </c>
      <c r="AF514" s="7" t="n">
        <f aca="false">IF(AND(E514="Closed Won",I514&gt;=Inputs!$B$6,I514&lt;=Inputs!$B$4),1,0)</f>
        <v>0</v>
      </c>
      <c r="AG514" s="7" t="n">
        <f aca="false">IF(AND(O514=0,I514&gt;Inputs!$B$4-Inputs!$B$8,I514&lt;=Inputs!$B$4),1,0)</f>
        <v>1</v>
      </c>
      <c r="AH514" s="7" t="n">
        <f aca="false">I514-H514</f>
        <v>271</v>
      </c>
    </row>
    <row r="515" customFormat="false" ht="15" hidden="false" customHeight="false" outlineLevel="0" collapsed="false">
      <c r="A515" s="16" t="s">
        <v>1725</v>
      </c>
      <c r="B515" s="16" t="s">
        <v>715</v>
      </c>
      <c r="C515" s="16" t="s">
        <v>1726</v>
      </c>
      <c r="D515" s="16" t="s">
        <v>167</v>
      </c>
      <c r="E515" s="16" t="s">
        <v>527</v>
      </c>
      <c r="F515" s="26" t="n">
        <v>7197000</v>
      </c>
      <c r="G515" s="25" t="n">
        <v>90</v>
      </c>
      <c r="H515" s="22" t="n">
        <v>46185</v>
      </c>
      <c r="I515" s="22" t="n">
        <v>46539</v>
      </c>
      <c r="J515" s="22" t="n">
        <v>46293</v>
      </c>
      <c r="K515" s="16" t="s">
        <v>717</v>
      </c>
      <c r="L515" s="16" t="s">
        <v>574</v>
      </c>
      <c r="M515" s="16" t="s">
        <v>593</v>
      </c>
      <c r="N515" s="16"/>
      <c r="O515" s="7" t="n">
        <f aca="false">IF(OR(E515="Closed Won",E515="Closed Lost"),0,1)</f>
        <v>1</v>
      </c>
      <c r="P515" s="17" t="str">
        <f aca="false">INDEX(Accounts!$K$5:$K$336,MATCH(B515,Accounts!$A$5:$A$336,0))</f>
        <v>Unassigned</v>
      </c>
      <c r="Q515" s="17" t="str">
        <f aca="false">INDEX(Accounts!$D$5:$D$336,MATCH(B515,Accounts!$A$5:$A$336,0))</f>
        <v>Standard</v>
      </c>
      <c r="R515" s="7" t="n">
        <f aca="false">INDEX(Inputs!$B$11:$B$16,MATCH(E515,Inputs!$A$11:$A$16,0))</f>
        <v>25</v>
      </c>
      <c r="S515" s="27" t="n">
        <f aca="false">IF(F515="",0,F515)*R515/100</f>
        <v>1799250</v>
      </c>
      <c r="T515" s="7" t="n">
        <f aca="false">Inputs!$B$4-J515</f>
        <v>21</v>
      </c>
      <c r="U515" s="7" t="n">
        <f aca="false">IF(OR(F515="",F515=0),1,0)</f>
        <v>0</v>
      </c>
      <c r="V515" s="7" t="n">
        <f aca="false">IF(K515="",1,0)</f>
        <v>0</v>
      </c>
      <c r="W515" s="7" t="n">
        <f aca="false">IF(AND(O515=1,K515&lt;&gt;"",COUNTIFS(Owners!$A$5:$A$32,K515,Owners!$E$5:$E$32,"No")&gt;0),1,0)</f>
        <v>0</v>
      </c>
      <c r="X515" s="7" t="n">
        <f aca="false">IF(AND(O515=1,I515&lt;Inputs!$B$4),1,0)</f>
        <v>0</v>
      </c>
      <c r="Y515" s="7" t="n">
        <f aca="false">IF(AND(O515=1,T515&gt;Inputs!$B$5),1,0)</f>
        <v>0</v>
      </c>
      <c r="Z515" s="7" t="n">
        <f aca="false">IF(AND(O515=1,G515&lt;&gt;R515),1,0)</f>
        <v>1</v>
      </c>
      <c r="AA515" s="7" t="n">
        <f aca="false">IF(AND(O515=1,M515=""),1,0)</f>
        <v>0</v>
      </c>
      <c r="AB515" s="7" t="n">
        <f aca="false">IF(AND(E515="Closed Lost",N515=""),1,0)</f>
        <v>0</v>
      </c>
      <c r="AC515" s="7" t="n">
        <f aca="false">SUM(U515:AB515)</f>
        <v>1</v>
      </c>
      <c r="AD515" s="7" t="n">
        <f aca="false">IF(AC515=0,1,0)</f>
        <v>0</v>
      </c>
      <c r="AE515" s="7" t="n">
        <f aca="false">IF(AND(O515=1,I515&gt;=Inputs!$B$6,I515&lt;=Inputs!$B$7),1,0)</f>
        <v>1</v>
      </c>
      <c r="AF515" s="7" t="n">
        <f aca="false">IF(AND(E515="Closed Won",I515&gt;=Inputs!$B$6,I515&lt;=Inputs!$B$4),1,0)</f>
        <v>0</v>
      </c>
      <c r="AG515" s="7" t="n">
        <f aca="false">IF(AND(O515=0,I515&gt;Inputs!$B$4-Inputs!$B$8,I515&lt;=Inputs!$B$4),1,0)</f>
        <v>0</v>
      </c>
      <c r="AH515" s="7" t="n">
        <f aca="false">I515-H515</f>
        <v>354</v>
      </c>
    </row>
    <row r="516" customFormat="false" ht="15" hidden="false" customHeight="false" outlineLevel="0" collapsed="false">
      <c r="A516" s="16" t="s">
        <v>1727</v>
      </c>
      <c r="B516" s="16" t="s">
        <v>695</v>
      </c>
      <c r="C516" s="16" t="s">
        <v>1728</v>
      </c>
      <c r="D516" s="16" t="s">
        <v>165</v>
      </c>
      <c r="E516" s="16" t="s">
        <v>530</v>
      </c>
      <c r="F516" s="26" t="n">
        <v>84976000</v>
      </c>
      <c r="G516" s="25" t="n">
        <v>100</v>
      </c>
      <c r="H516" s="22" t="n">
        <v>46116</v>
      </c>
      <c r="I516" s="22" t="n">
        <v>46221</v>
      </c>
      <c r="J516" s="22" t="n">
        <v>46221</v>
      </c>
      <c r="K516" s="16" t="s">
        <v>704</v>
      </c>
      <c r="L516" s="16" t="s">
        <v>568</v>
      </c>
      <c r="M516" s="16"/>
      <c r="N516" s="16"/>
      <c r="O516" s="7" t="n">
        <f aca="false">IF(OR(E516="Closed Won",E516="Closed Lost"),0,1)</f>
        <v>0</v>
      </c>
      <c r="P516" s="17" t="str">
        <f aca="false">INDEX(Accounts!$K$5:$K$336,MATCH(B516,Accounts!$A$5:$A$336,0))</f>
        <v>Technology, Media &amp; Telecom</v>
      </c>
      <c r="Q516" s="17" t="str">
        <f aca="false">INDEX(Accounts!$D$5:$D$336,MATCH(B516,Accounts!$A$5:$A$336,0))</f>
        <v>Key</v>
      </c>
      <c r="R516" s="7" t="n">
        <f aca="false">INDEX(Inputs!$B$11:$B$16,MATCH(E516,Inputs!$A$11:$A$16,0))</f>
        <v>100</v>
      </c>
      <c r="S516" s="27" t="n">
        <f aca="false">IF(F516="",0,F516)*R516/100</f>
        <v>84976000</v>
      </c>
      <c r="T516" s="7" t="n">
        <f aca="false">Inputs!$B$4-J516</f>
        <v>93</v>
      </c>
      <c r="U516" s="7" t="n">
        <f aca="false">IF(OR(F516="",F516=0),1,0)</f>
        <v>0</v>
      </c>
      <c r="V516" s="7" t="n">
        <f aca="false">IF(K516="",1,0)</f>
        <v>0</v>
      </c>
      <c r="W516" s="7" t="n">
        <f aca="false">IF(AND(O516=1,K516&lt;&gt;"",COUNTIFS(Owners!$A$5:$A$32,K516,Owners!$E$5:$E$32,"No")&gt;0),1,0)</f>
        <v>0</v>
      </c>
      <c r="X516" s="7" t="n">
        <f aca="false">IF(AND(O516=1,I516&lt;Inputs!$B$4),1,0)</f>
        <v>0</v>
      </c>
      <c r="Y516" s="7" t="n">
        <f aca="false">IF(AND(O516=1,T516&gt;Inputs!$B$5),1,0)</f>
        <v>0</v>
      </c>
      <c r="Z516" s="7" t="n">
        <f aca="false">IF(AND(O516=1,G516&lt;&gt;R516),1,0)</f>
        <v>0</v>
      </c>
      <c r="AA516" s="7" t="n">
        <f aca="false">IF(AND(O516=1,M516=""),1,0)</f>
        <v>0</v>
      </c>
      <c r="AB516" s="7" t="n">
        <f aca="false">IF(AND(E516="Closed Lost",N516=""),1,0)</f>
        <v>0</v>
      </c>
      <c r="AC516" s="7" t="n">
        <f aca="false">SUM(U516:AB516)</f>
        <v>0</v>
      </c>
      <c r="AD516" s="7" t="n">
        <f aca="false">IF(AC516=0,1,0)</f>
        <v>1</v>
      </c>
      <c r="AE516" s="7" t="n">
        <f aca="false">IF(AND(O516=1,I516&gt;=Inputs!$B$6,I516&lt;=Inputs!$B$7),1,0)</f>
        <v>0</v>
      </c>
      <c r="AF516" s="7" t="n">
        <f aca="false">IF(AND(E516="Closed Won",I516&gt;=Inputs!$B$6,I516&lt;=Inputs!$B$4),1,0)</f>
        <v>1</v>
      </c>
      <c r="AG516" s="7" t="n">
        <f aca="false">IF(AND(O516=0,I516&gt;Inputs!$B$4-Inputs!$B$8,I516&lt;=Inputs!$B$4),1,0)</f>
        <v>1</v>
      </c>
      <c r="AH516" s="7" t="n">
        <f aca="false">I516-H516</f>
        <v>105</v>
      </c>
    </row>
    <row r="517" customFormat="false" ht="15" hidden="false" customHeight="false" outlineLevel="0" collapsed="false">
      <c r="A517" s="16" t="s">
        <v>1729</v>
      </c>
      <c r="B517" s="16" t="s">
        <v>64</v>
      </c>
      <c r="C517" s="16" t="s">
        <v>1730</v>
      </c>
      <c r="D517" s="16" t="s">
        <v>158</v>
      </c>
      <c r="E517" s="16" t="s">
        <v>531</v>
      </c>
      <c r="F517" s="26" t="n">
        <v>49291000</v>
      </c>
      <c r="G517" s="25" t="n">
        <v>0</v>
      </c>
      <c r="H517" s="22" t="n">
        <v>46181</v>
      </c>
      <c r="I517" s="22" t="n">
        <v>46252</v>
      </c>
      <c r="J517" s="22" t="n">
        <v>46252</v>
      </c>
      <c r="K517" s="16" t="s">
        <v>691</v>
      </c>
      <c r="L517" s="16" t="s">
        <v>500</v>
      </c>
      <c r="M517" s="16"/>
      <c r="N517" s="16" t="s">
        <v>713</v>
      </c>
      <c r="O517" s="7" t="n">
        <f aca="false">IF(OR(E517="Closed Won",E517="Closed Lost"),0,1)</f>
        <v>0</v>
      </c>
      <c r="P517" s="17" t="str">
        <f aca="false">INDEX(Accounts!$K$5:$K$336,MATCH(B517,Accounts!$A$5:$A$336,0))</f>
        <v>Financial Services</v>
      </c>
      <c r="Q517" s="17" t="str">
        <f aca="false">INDEX(Accounts!$D$5:$D$336,MATCH(B517,Accounts!$A$5:$A$336,0))</f>
        <v>Priority</v>
      </c>
      <c r="R517" s="7" t="n">
        <f aca="false">INDEX(Inputs!$B$11:$B$16,MATCH(E517,Inputs!$A$11:$A$16,0))</f>
        <v>0</v>
      </c>
      <c r="S517" s="27" t="n">
        <f aca="false">IF(F517="",0,F517)*R517/100</f>
        <v>0</v>
      </c>
      <c r="T517" s="7" t="n">
        <f aca="false">Inputs!$B$4-J517</f>
        <v>62</v>
      </c>
      <c r="U517" s="7" t="n">
        <f aca="false">IF(OR(F517="",F517=0),1,0)</f>
        <v>0</v>
      </c>
      <c r="V517" s="7" t="n">
        <f aca="false">IF(K517="",1,0)</f>
        <v>0</v>
      </c>
      <c r="W517" s="7" t="n">
        <f aca="false">IF(AND(O517=1,K517&lt;&gt;"",COUNTIFS(Owners!$A$5:$A$32,K517,Owners!$E$5:$E$32,"No")&gt;0),1,0)</f>
        <v>0</v>
      </c>
      <c r="X517" s="7" t="n">
        <f aca="false">IF(AND(O517=1,I517&lt;Inputs!$B$4),1,0)</f>
        <v>0</v>
      </c>
      <c r="Y517" s="7" t="n">
        <f aca="false">IF(AND(O517=1,T517&gt;Inputs!$B$5),1,0)</f>
        <v>0</v>
      </c>
      <c r="Z517" s="7" t="n">
        <f aca="false">IF(AND(O517=1,G517&lt;&gt;R517),1,0)</f>
        <v>0</v>
      </c>
      <c r="AA517" s="7" t="n">
        <f aca="false">IF(AND(O517=1,M517=""),1,0)</f>
        <v>0</v>
      </c>
      <c r="AB517" s="7" t="n">
        <f aca="false">IF(AND(E517="Closed Lost",N517=""),1,0)</f>
        <v>0</v>
      </c>
      <c r="AC517" s="7" t="n">
        <f aca="false">SUM(U517:AB517)</f>
        <v>0</v>
      </c>
      <c r="AD517" s="7" t="n">
        <f aca="false">IF(AC517=0,1,0)</f>
        <v>1</v>
      </c>
      <c r="AE517" s="7" t="n">
        <f aca="false">IF(AND(O517=1,I517&gt;=Inputs!$B$6,I517&lt;=Inputs!$B$7),1,0)</f>
        <v>0</v>
      </c>
      <c r="AF517" s="7" t="n">
        <f aca="false">IF(AND(E517="Closed Won",I517&gt;=Inputs!$B$6,I517&lt;=Inputs!$B$4),1,0)</f>
        <v>0</v>
      </c>
      <c r="AG517" s="7" t="n">
        <f aca="false">IF(AND(O517=0,I517&gt;Inputs!$B$4-Inputs!$B$8,I517&lt;=Inputs!$B$4),1,0)</f>
        <v>1</v>
      </c>
      <c r="AH517" s="7" t="n">
        <f aca="false">I517-H517</f>
        <v>71</v>
      </c>
    </row>
    <row r="518" customFormat="false" ht="15" hidden="false" customHeight="false" outlineLevel="0" collapsed="false">
      <c r="A518" s="16" t="s">
        <v>1731</v>
      </c>
      <c r="B518" s="16" t="s">
        <v>833</v>
      </c>
      <c r="C518" s="16" t="s">
        <v>1732</v>
      </c>
      <c r="D518" s="16" t="s">
        <v>167</v>
      </c>
      <c r="E518" s="16" t="s">
        <v>531</v>
      </c>
      <c r="F518" s="26" t="n">
        <v>17480000</v>
      </c>
      <c r="G518" s="25" t="n">
        <v>0</v>
      </c>
      <c r="H518" s="22" t="n">
        <v>45907</v>
      </c>
      <c r="I518" s="22" t="n">
        <v>46069</v>
      </c>
      <c r="J518" s="22" t="n">
        <v>46069</v>
      </c>
      <c r="K518" s="16" t="s">
        <v>717</v>
      </c>
      <c r="L518" s="16" t="s">
        <v>574</v>
      </c>
      <c r="M518" s="16"/>
      <c r="N518" s="16"/>
      <c r="O518" s="7" t="n">
        <f aca="false">IF(OR(E518="Closed Won",E518="Closed Lost"),0,1)</f>
        <v>0</v>
      </c>
      <c r="P518" s="17" t="str">
        <f aca="false">INDEX(Accounts!$K$5:$K$336,MATCH(B518,Accounts!$A$5:$A$336,0))</f>
        <v>Agribusiness</v>
      </c>
      <c r="Q518" s="17" t="str">
        <f aca="false">INDEX(Accounts!$D$5:$D$336,MATCH(B518,Accounts!$A$5:$A$336,0))</f>
        <v>Standard</v>
      </c>
      <c r="R518" s="7" t="n">
        <f aca="false">INDEX(Inputs!$B$11:$B$16,MATCH(E518,Inputs!$A$11:$A$16,0))</f>
        <v>0</v>
      </c>
      <c r="S518" s="27" t="n">
        <f aca="false">IF(F518="",0,F518)*R518/100</f>
        <v>0</v>
      </c>
      <c r="T518" s="7" t="n">
        <f aca="false">Inputs!$B$4-J518</f>
        <v>245</v>
      </c>
      <c r="U518" s="7" t="n">
        <f aca="false">IF(OR(F518="",F518=0),1,0)</f>
        <v>0</v>
      </c>
      <c r="V518" s="7" t="n">
        <f aca="false">IF(K518="",1,0)</f>
        <v>0</v>
      </c>
      <c r="W518" s="7" t="n">
        <f aca="false">IF(AND(O518=1,K518&lt;&gt;"",COUNTIFS(Owners!$A$5:$A$32,K518,Owners!$E$5:$E$32,"No")&gt;0),1,0)</f>
        <v>0</v>
      </c>
      <c r="X518" s="7" t="n">
        <f aca="false">IF(AND(O518=1,I518&lt;Inputs!$B$4),1,0)</f>
        <v>0</v>
      </c>
      <c r="Y518" s="7" t="n">
        <f aca="false">IF(AND(O518=1,T518&gt;Inputs!$B$5),1,0)</f>
        <v>0</v>
      </c>
      <c r="Z518" s="7" t="n">
        <f aca="false">IF(AND(O518=1,G518&lt;&gt;R518),1,0)</f>
        <v>0</v>
      </c>
      <c r="AA518" s="7" t="n">
        <f aca="false">IF(AND(O518=1,M518=""),1,0)</f>
        <v>0</v>
      </c>
      <c r="AB518" s="7" t="n">
        <f aca="false">IF(AND(E518="Closed Lost",N518=""),1,0)</f>
        <v>1</v>
      </c>
      <c r="AC518" s="7" t="n">
        <f aca="false">SUM(U518:AB518)</f>
        <v>1</v>
      </c>
      <c r="AD518" s="7" t="n">
        <f aca="false">IF(AC518=0,1,0)</f>
        <v>0</v>
      </c>
      <c r="AE518" s="7" t="n">
        <f aca="false">IF(AND(O518=1,I518&gt;=Inputs!$B$6,I518&lt;=Inputs!$B$7),1,0)</f>
        <v>0</v>
      </c>
      <c r="AF518" s="7" t="n">
        <f aca="false">IF(AND(E518="Closed Won",I518&gt;=Inputs!$B$6,I518&lt;=Inputs!$B$4),1,0)</f>
        <v>0</v>
      </c>
      <c r="AG518" s="7" t="n">
        <f aca="false">IF(AND(O518=0,I518&gt;Inputs!$B$4-Inputs!$B$8,I518&lt;=Inputs!$B$4),1,0)</f>
        <v>1</v>
      </c>
      <c r="AH518" s="7" t="n">
        <f aca="false">I518-H518</f>
        <v>162</v>
      </c>
    </row>
    <row r="519" customFormat="false" ht="15" hidden="false" customHeight="false" outlineLevel="0" collapsed="false">
      <c r="A519" s="16" t="s">
        <v>1733</v>
      </c>
      <c r="B519" s="16" t="s">
        <v>1292</v>
      </c>
      <c r="C519" s="16" t="s">
        <v>1734</v>
      </c>
      <c r="D519" s="16" t="s">
        <v>162</v>
      </c>
      <c r="E519" s="16" t="s">
        <v>531</v>
      </c>
      <c r="F519" s="26" t="n">
        <v>2873000</v>
      </c>
      <c r="G519" s="25" t="n">
        <v>0</v>
      </c>
      <c r="H519" s="22" t="n">
        <v>45904</v>
      </c>
      <c r="I519" s="22" t="n">
        <v>46104</v>
      </c>
      <c r="J519" s="22" t="n">
        <v>46104</v>
      </c>
      <c r="K519" s="16" t="s">
        <v>831</v>
      </c>
      <c r="L519" s="16" t="s">
        <v>568</v>
      </c>
      <c r="M519" s="16"/>
      <c r="N519" s="16" t="s">
        <v>597</v>
      </c>
      <c r="O519" s="7" t="n">
        <f aca="false">IF(OR(E519="Closed Won",E519="Closed Lost"),0,1)</f>
        <v>0</v>
      </c>
      <c r="P519" s="17" t="str">
        <f aca="false">INDEX(Accounts!$K$5:$K$336,MATCH(B519,Accounts!$A$5:$A$336,0))</f>
        <v>Agribusiness</v>
      </c>
      <c r="Q519" s="17" t="str">
        <f aca="false">INDEX(Accounts!$D$5:$D$336,MATCH(B519,Accounts!$A$5:$A$336,0))</f>
        <v>Key</v>
      </c>
      <c r="R519" s="7" t="n">
        <f aca="false">INDEX(Inputs!$B$11:$B$16,MATCH(E519,Inputs!$A$11:$A$16,0))</f>
        <v>0</v>
      </c>
      <c r="S519" s="27" t="n">
        <f aca="false">IF(F519="",0,F519)*R519/100</f>
        <v>0</v>
      </c>
      <c r="T519" s="7" t="n">
        <f aca="false">Inputs!$B$4-J519</f>
        <v>210</v>
      </c>
      <c r="U519" s="7" t="n">
        <f aca="false">IF(OR(F519="",F519=0),1,0)</f>
        <v>0</v>
      </c>
      <c r="V519" s="7" t="n">
        <f aca="false">IF(K519="",1,0)</f>
        <v>0</v>
      </c>
      <c r="W519" s="7" t="n">
        <f aca="false">IF(AND(O519=1,K519&lt;&gt;"",COUNTIFS(Owners!$A$5:$A$32,K519,Owners!$E$5:$E$32,"No")&gt;0),1,0)</f>
        <v>0</v>
      </c>
      <c r="X519" s="7" t="n">
        <f aca="false">IF(AND(O519=1,I519&lt;Inputs!$B$4),1,0)</f>
        <v>0</v>
      </c>
      <c r="Y519" s="7" t="n">
        <f aca="false">IF(AND(O519=1,T519&gt;Inputs!$B$5),1,0)</f>
        <v>0</v>
      </c>
      <c r="Z519" s="7" t="n">
        <f aca="false">IF(AND(O519=1,G519&lt;&gt;R519),1,0)</f>
        <v>0</v>
      </c>
      <c r="AA519" s="7" t="n">
        <f aca="false">IF(AND(O519=1,M519=""),1,0)</f>
        <v>0</v>
      </c>
      <c r="AB519" s="7" t="n">
        <f aca="false">IF(AND(E519="Closed Lost",N519=""),1,0)</f>
        <v>0</v>
      </c>
      <c r="AC519" s="7" t="n">
        <f aca="false">SUM(U519:AB519)</f>
        <v>0</v>
      </c>
      <c r="AD519" s="7" t="n">
        <f aca="false">IF(AC519=0,1,0)</f>
        <v>1</v>
      </c>
      <c r="AE519" s="7" t="n">
        <f aca="false">IF(AND(O519=1,I519&gt;=Inputs!$B$6,I519&lt;=Inputs!$B$7),1,0)</f>
        <v>0</v>
      </c>
      <c r="AF519" s="7" t="n">
        <f aca="false">IF(AND(E519="Closed Won",I519&gt;=Inputs!$B$6,I519&lt;=Inputs!$B$4),1,0)</f>
        <v>0</v>
      </c>
      <c r="AG519" s="7" t="n">
        <f aca="false">IF(AND(O519=0,I519&gt;Inputs!$B$4-Inputs!$B$8,I519&lt;=Inputs!$B$4),1,0)</f>
        <v>1</v>
      </c>
      <c r="AH519" s="7" t="n">
        <f aca="false">I519-H519</f>
        <v>200</v>
      </c>
    </row>
    <row r="520" customFormat="false" ht="15" hidden="false" customHeight="false" outlineLevel="0" collapsed="false">
      <c r="A520" s="16" t="s">
        <v>1735</v>
      </c>
      <c r="B520" s="16" t="s">
        <v>1692</v>
      </c>
      <c r="C520" s="16" t="s">
        <v>1736</v>
      </c>
      <c r="D520" s="16" t="s">
        <v>162</v>
      </c>
      <c r="E520" s="16" t="s">
        <v>530</v>
      </c>
      <c r="F520" s="26" t="n">
        <v>14252000</v>
      </c>
      <c r="G520" s="25" t="n">
        <v>100</v>
      </c>
      <c r="H520" s="22" t="n">
        <v>45899</v>
      </c>
      <c r="I520" s="22" t="n">
        <v>46150</v>
      </c>
      <c r="J520" s="22" t="n">
        <v>46150</v>
      </c>
      <c r="K520" s="16" t="s">
        <v>717</v>
      </c>
      <c r="L520" s="16" t="s">
        <v>592</v>
      </c>
      <c r="M520" s="16"/>
      <c r="N520" s="16"/>
      <c r="O520" s="7" t="n">
        <f aca="false">IF(OR(E520="Closed Won",E520="Closed Lost"),0,1)</f>
        <v>0</v>
      </c>
      <c r="P520" s="17" t="str">
        <f aca="false">INDEX(Accounts!$K$5:$K$336,MATCH(B520,Accounts!$A$5:$A$336,0))</f>
        <v>Financial Services</v>
      </c>
      <c r="Q520" s="17" t="str">
        <f aca="false">INDEX(Accounts!$D$5:$D$336,MATCH(B520,Accounts!$A$5:$A$336,0))</f>
        <v>Standard</v>
      </c>
      <c r="R520" s="7" t="n">
        <f aca="false">INDEX(Inputs!$B$11:$B$16,MATCH(E520,Inputs!$A$11:$A$16,0))</f>
        <v>100</v>
      </c>
      <c r="S520" s="27" t="n">
        <f aca="false">IF(F520="",0,F520)*R520/100</f>
        <v>14252000</v>
      </c>
      <c r="T520" s="7" t="n">
        <f aca="false">Inputs!$B$4-J520</f>
        <v>164</v>
      </c>
      <c r="U520" s="7" t="n">
        <f aca="false">IF(OR(F520="",F520=0),1,0)</f>
        <v>0</v>
      </c>
      <c r="V520" s="7" t="n">
        <f aca="false">IF(K520="",1,0)</f>
        <v>0</v>
      </c>
      <c r="W520" s="7" t="n">
        <f aca="false">IF(AND(O520=1,K520&lt;&gt;"",COUNTIFS(Owners!$A$5:$A$32,K520,Owners!$E$5:$E$32,"No")&gt;0),1,0)</f>
        <v>0</v>
      </c>
      <c r="X520" s="7" t="n">
        <f aca="false">IF(AND(O520=1,I520&lt;Inputs!$B$4),1,0)</f>
        <v>0</v>
      </c>
      <c r="Y520" s="7" t="n">
        <f aca="false">IF(AND(O520=1,T520&gt;Inputs!$B$5),1,0)</f>
        <v>0</v>
      </c>
      <c r="Z520" s="7" t="n">
        <f aca="false">IF(AND(O520=1,G520&lt;&gt;R520),1,0)</f>
        <v>0</v>
      </c>
      <c r="AA520" s="7" t="n">
        <f aca="false">IF(AND(O520=1,M520=""),1,0)</f>
        <v>0</v>
      </c>
      <c r="AB520" s="7" t="n">
        <f aca="false">IF(AND(E520="Closed Lost",N520=""),1,0)</f>
        <v>0</v>
      </c>
      <c r="AC520" s="7" t="n">
        <f aca="false">SUM(U520:AB520)</f>
        <v>0</v>
      </c>
      <c r="AD520" s="7" t="n">
        <f aca="false">IF(AC520=0,1,0)</f>
        <v>1</v>
      </c>
      <c r="AE520" s="7" t="n">
        <f aca="false">IF(AND(O520=1,I520&gt;=Inputs!$B$6,I520&lt;=Inputs!$B$7),1,0)</f>
        <v>0</v>
      </c>
      <c r="AF520" s="7" t="n">
        <f aca="false">IF(AND(E520="Closed Won",I520&gt;=Inputs!$B$6,I520&lt;=Inputs!$B$4),1,0)</f>
        <v>0</v>
      </c>
      <c r="AG520" s="7" t="n">
        <f aca="false">IF(AND(O520=0,I520&gt;Inputs!$B$4-Inputs!$B$8,I520&lt;=Inputs!$B$4),1,0)</f>
        <v>1</v>
      </c>
      <c r="AH520" s="7" t="n">
        <f aca="false">I520-H520</f>
        <v>251</v>
      </c>
    </row>
    <row r="521" customFormat="false" ht="15" hidden="false" customHeight="false" outlineLevel="0" collapsed="false">
      <c r="A521" s="16" t="s">
        <v>1737</v>
      </c>
      <c r="B521" s="16" t="s">
        <v>329</v>
      </c>
      <c r="C521" s="16" t="s">
        <v>1738</v>
      </c>
      <c r="D521" s="16" t="s">
        <v>167</v>
      </c>
      <c r="E521" s="16" t="s">
        <v>530</v>
      </c>
      <c r="F521" s="26" t="n">
        <v>2941000</v>
      </c>
      <c r="G521" s="25" t="n">
        <v>100</v>
      </c>
      <c r="H521" s="22" t="n">
        <v>45925</v>
      </c>
      <c r="I521" s="22" t="n">
        <v>46018</v>
      </c>
      <c r="J521" s="22" t="n">
        <v>46018</v>
      </c>
      <c r="K521" s="16" t="s">
        <v>691</v>
      </c>
      <c r="L521" s="16" t="s">
        <v>568</v>
      </c>
      <c r="M521" s="16"/>
      <c r="N521" s="16"/>
      <c r="O521" s="7" t="n">
        <f aca="false">IF(OR(E521="Closed Won",E521="Closed Lost"),0,1)</f>
        <v>0</v>
      </c>
      <c r="P521" s="17" t="str">
        <f aca="false">INDEX(Accounts!$K$5:$K$336,MATCH(B521,Accounts!$A$5:$A$336,0))</f>
        <v>Public Sector &amp; Development</v>
      </c>
      <c r="Q521" s="17" t="str">
        <f aca="false">INDEX(Accounts!$D$5:$D$336,MATCH(B521,Accounts!$A$5:$A$336,0))</f>
        <v>Standard</v>
      </c>
      <c r="R521" s="7" t="n">
        <f aca="false">INDEX(Inputs!$B$11:$B$16,MATCH(E521,Inputs!$A$11:$A$16,0))</f>
        <v>100</v>
      </c>
      <c r="S521" s="27" t="n">
        <f aca="false">IF(F521="",0,F521)*R521/100</f>
        <v>2941000</v>
      </c>
      <c r="T521" s="7" t="n">
        <f aca="false">Inputs!$B$4-J521</f>
        <v>296</v>
      </c>
      <c r="U521" s="7" t="n">
        <f aca="false">IF(OR(F521="",F521=0),1,0)</f>
        <v>0</v>
      </c>
      <c r="V521" s="7" t="n">
        <f aca="false">IF(K521="",1,0)</f>
        <v>0</v>
      </c>
      <c r="W521" s="7" t="n">
        <f aca="false">IF(AND(O521=1,K521&lt;&gt;"",COUNTIFS(Owners!$A$5:$A$32,K521,Owners!$E$5:$E$32,"No")&gt;0),1,0)</f>
        <v>0</v>
      </c>
      <c r="X521" s="7" t="n">
        <f aca="false">IF(AND(O521=1,I521&lt;Inputs!$B$4),1,0)</f>
        <v>0</v>
      </c>
      <c r="Y521" s="7" t="n">
        <f aca="false">IF(AND(O521=1,T521&gt;Inputs!$B$5),1,0)</f>
        <v>0</v>
      </c>
      <c r="Z521" s="7" t="n">
        <f aca="false">IF(AND(O521=1,G521&lt;&gt;R521),1,0)</f>
        <v>0</v>
      </c>
      <c r="AA521" s="7" t="n">
        <f aca="false">IF(AND(O521=1,M521=""),1,0)</f>
        <v>0</v>
      </c>
      <c r="AB521" s="7" t="n">
        <f aca="false">IF(AND(E521="Closed Lost",N521=""),1,0)</f>
        <v>0</v>
      </c>
      <c r="AC521" s="7" t="n">
        <f aca="false">SUM(U521:AB521)</f>
        <v>0</v>
      </c>
      <c r="AD521" s="7" t="n">
        <f aca="false">IF(AC521=0,1,0)</f>
        <v>1</v>
      </c>
      <c r="AE521" s="7" t="n">
        <f aca="false">IF(AND(O521=1,I521&gt;=Inputs!$B$6,I521&lt;=Inputs!$B$7),1,0)</f>
        <v>0</v>
      </c>
      <c r="AF521" s="7" t="n">
        <f aca="false">IF(AND(E521="Closed Won",I521&gt;=Inputs!$B$6,I521&lt;=Inputs!$B$4),1,0)</f>
        <v>0</v>
      </c>
      <c r="AG521" s="7" t="n">
        <f aca="false">IF(AND(O521=0,I521&gt;Inputs!$B$4-Inputs!$B$8,I521&lt;=Inputs!$B$4),1,0)</f>
        <v>1</v>
      </c>
      <c r="AH521" s="7" t="n">
        <f aca="false">I521-H521</f>
        <v>93</v>
      </c>
    </row>
    <row r="522" customFormat="false" ht="15" hidden="false" customHeight="false" outlineLevel="0" collapsed="false">
      <c r="A522" s="16" t="s">
        <v>1739</v>
      </c>
      <c r="B522" s="16" t="s">
        <v>193</v>
      </c>
      <c r="C522" s="16" t="s">
        <v>1740</v>
      </c>
      <c r="D522" s="16" t="s">
        <v>167</v>
      </c>
      <c r="E522" s="16" t="s">
        <v>528</v>
      </c>
      <c r="F522" s="26" t="n">
        <v>23672000</v>
      </c>
      <c r="G522" s="25" t="n">
        <v>50</v>
      </c>
      <c r="H522" s="22" t="n">
        <v>46294</v>
      </c>
      <c r="I522" s="22" t="n">
        <v>46396</v>
      </c>
      <c r="J522" s="22" t="n">
        <v>46313</v>
      </c>
      <c r="K522" s="16" t="s">
        <v>640</v>
      </c>
      <c r="L522" s="16" t="s">
        <v>584</v>
      </c>
      <c r="M522" s="16" t="s">
        <v>593</v>
      </c>
      <c r="N522" s="16"/>
      <c r="O522" s="7" t="n">
        <f aca="false">IF(OR(E522="Closed Won",E522="Closed Lost"),0,1)</f>
        <v>1</v>
      </c>
      <c r="P522" s="17" t="str">
        <f aca="false">INDEX(Accounts!$K$5:$K$336,MATCH(B522,Accounts!$A$5:$A$336,0))</f>
        <v>Unassigned</v>
      </c>
      <c r="Q522" s="17" t="str">
        <f aca="false">INDEX(Accounts!$D$5:$D$336,MATCH(B522,Accounts!$A$5:$A$336,0))</f>
        <v>Key</v>
      </c>
      <c r="R522" s="7" t="n">
        <f aca="false">INDEX(Inputs!$B$11:$B$16,MATCH(E522,Inputs!$A$11:$A$16,0))</f>
        <v>50</v>
      </c>
      <c r="S522" s="27" t="n">
        <f aca="false">IF(F522="",0,F522)*R522/100</f>
        <v>11836000</v>
      </c>
      <c r="T522" s="7" t="n">
        <f aca="false">Inputs!$B$4-J522</f>
        <v>1</v>
      </c>
      <c r="U522" s="7" t="n">
        <f aca="false">IF(OR(F522="",F522=0),1,0)</f>
        <v>0</v>
      </c>
      <c r="V522" s="7" t="n">
        <f aca="false">IF(K522="",1,0)</f>
        <v>0</v>
      </c>
      <c r="W522" s="7" t="n">
        <f aca="false">IF(AND(O522=1,K522&lt;&gt;"",COUNTIFS(Owners!$A$5:$A$32,K522,Owners!$E$5:$E$32,"No")&gt;0),1,0)</f>
        <v>0</v>
      </c>
      <c r="X522" s="7" t="n">
        <f aca="false">IF(AND(O522=1,I522&lt;Inputs!$B$4),1,0)</f>
        <v>0</v>
      </c>
      <c r="Y522" s="7" t="n">
        <f aca="false">IF(AND(O522=1,T522&gt;Inputs!$B$5),1,0)</f>
        <v>0</v>
      </c>
      <c r="Z522" s="7" t="n">
        <f aca="false">IF(AND(O522=1,G522&lt;&gt;R522),1,0)</f>
        <v>0</v>
      </c>
      <c r="AA522" s="7" t="n">
        <f aca="false">IF(AND(O522=1,M522=""),1,0)</f>
        <v>0</v>
      </c>
      <c r="AB522" s="7" t="n">
        <f aca="false">IF(AND(E522="Closed Lost",N522=""),1,0)</f>
        <v>0</v>
      </c>
      <c r="AC522" s="7" t="n">
        <f aca="false">SUM(U522:AB522)</f>
        <v>0</v>
      </c>
      <c r="AD522" s="7" t="n">
        <f aca="false">IF(AC522=0,1,0)</f>
        <v>1</v>
      </c>
      <c r="AE522" s="7" t="n">
        <f aca="false">IF(AND(O522=1,I522&gt;=Inputs!$B$6,I522&lt;=Inputs!$B$7),1,0)</f>
        <v>1</v>
      </c>
      <c r="AF522" s="7" t="n">
        <f aca="false">IF(AND(E522="Closed Won",I522&gt;=Inputs!$B$6,I522&lt;=Inputs!$B$4),1,0)</f>
        <v>0</v>
      </c>
      <c r="AG522" s="7" t="n">
        <f aca="false">IF(AND(O522=0,I522&gt;Inputs!$B$4-Inputs!$B$8,I522&lt;=Inputs!$B$4),1,0)</f>
        <v>0</v>
      </c>
      <c r="AH522" s="7" t="n">
        <f aca="false">I522-H522</f>
        <v>102</v>
      </c>
    </row>
    <row r="523" customFormat="false" ht="15" hidden="false" customHeight="false" outlineLevel="0" collapsed="false">
      <c r="A523" s="16" t="s">
        <v>1741</v>
      </c>
      <c r="B523" s="16" t="s">
        <v>369</v>
      </c>
      <c r="C523" s="16" t="s">
        <v>1742</v>
      </c>
      <c r="D523" s="16" t="s">
        <v>177</v>
      </c>
      <c r="E523" s="16" t="s">
        <v>531</v>
      </c>
      <c r="F523" s="26" t="n">
        <v>12658000</v>
      </c>
      <c r="G523" s="25" t="n">
        <v>0</v>
      </c>
      <c r="H523" s="22" t="n">
        <v>46182</v>
      </c>
      <c r="I523" s="22" t="n">
        <v>46267</v>
      </c>
      <c r="J523" s="22" t="n">
        <v>46267</v>
      </c>
      <c r="K523" s="16" t="s">
        <v>588</v>
      </c>
      <c r="L523" s="16" t="s">
        <v>592</v>
      </c>
      <c r="M523" s="16"/>
      <c r="N523" s="16" t="s">
        <v>597</v>
      </c>
      <c r="O523" s="7" t="n">
        <f aca="false">IF(OR(E523="Closed Won",E523="Closed Lost"),0,1)</f>
        <v>0</v>
      </c>
      <c r="P523" s="17" t="str">
        <f aca="false">INDEX(Accounts!$K$5:$K$336,MATCH(B523,Accounts!$A$5:$A$336,0))</f>
        <v>Health</v>
      </c>
      <c r="Q523" s="17" t="str">
        <f aca="false">INDEX(Accounts!$D$5:$D$336,MATCH(B523,Accounts!$A$5:$A$336,0))</f>
        <v>Standard</v>
      </c>
      <c r="R523" s="7" t="n">
        <f aca="false">INDEX(Inputs!$B$11:$B$16,MATCH(E523,Inputs!$A$11:$A$16,0))</f>
        <v>0</v>
      </c>
      <c r="S523" s="27" t="n">
        <f aca="false">IF(F523="",0,F523)*R523/100</f>
        <v>0</v>
      </c>
      <c r="T523" s="7" t="n">
        <f aca="false">Inputs!$B$4-J523</f>
        <v>47</v>
      </c>
      <c r="U523" s="7" t="n">
        <f aca="false">IF(OR(F523="",F523=0),1,0)</f>
        <v>0</v>
      </c>
      <c r="V523" s="7" t="n">
        <f aca="false">IF(K523="",1,0)</f>
        <v>0</v>
      </c>
      <c r="W523" s="7" t="n">
        <f aca="false">IF(AND(O523=1,K523&lt;&gt;"",COUNTIFS(Owners!$A$5:$A$32,K523,Owners!$E$5:$E$32,"No")&gt;0),1,0)</f>
        <v>0</v>
      </c>
      <c r="X523" s="7" t="n">
        <f aca="false">IF(AND(O523=1,I523&lt;Inputs!$B$4),1,0)</f>
        <v>0</v>
      </c>
      <c r="Y523" s="7" t="n">
        <f aca="false">IF(AND(O523=1,T523&gt;Inputs!$B$5),1,0)</f>
        <v>0</v>
      </c>
      <c r="Z523" s="7" t="n">
        <f aca="false">IF(AND(O523=1,G523&lt;&gt;R523),1,0)</f>
        <v>0</v>
      </c>
      <c r="AA523" s="7" t="n">
        <f aca="false">IF(AND(O523=1,M523=""),1,0)</f>
        <v>0</v>
      </c>
      <c r="AB523" s="7" t="n">
        <f aca="false">IF(AND(E523="Closed Lost",N523=""),1,0)</f>
        <v>0</v>
      </c>
      <c r="AC523" s="7" t="n">
        <f aca="false">SUM(U523:AB523)</f>
        <v>0</v>
      </c>
      <c r="AD523" s="7" t="n">
        <f aca="false">IF(AC523=0,1,0)</f>
        <v>1</v>
      </c>
      <c r="AE523" s="7" t="n">
        <f aca="false">IF(AND(O523=1,I523&gt;=Inputs!$B$6,I523&lt;=Inputs!$B$7),1,0)</f>
        <v>0</v>
      </c>
      <c r="AF523" s="7" t="n">
        <f aca="false">IF(AND(E523="Closed Won",I523&gt;=Inputs!$B$6,I523&lt;=Inputs!$B$4),1,0)</f>
        <v>0</v>
      </c>
      <c r="AG523" s="7" t="n">
        <f aca="false">IF(AND(O523=0,I523&gt;Inputs!$B$4-Inputs!$B$8,I523&lt;=Inputs!$B$4),1,0)</f>
        <v>1</v>
      </c>
      <c r="AH523" s="7" t="n">
        <f aca="false">I523-H523</f>
        <v>85</v>
      </c>
    </row>
    <row r="524" customFormat="false" ht="15" hidden="false" customHeight="false" outlineLevel="0" collapsed="false">
      <c r="A524" s="16" t="s">
        <v>1743</v>
      </c>
      <c r="B524" s="16" t="s">
        <v>254</v>
      </c>
      <c r="C524" s="16" t="s">
        <v>1744</v>
      </c>
      <c r="D524" s="16" t="s">
        <v>158</v>
      </c>
      <c r="E524" s="16" t="s">
        <v>531</v>
      </c>
      <c r="F524" s="26" t="n">
        <v>8799000</v>
      </c>
      <c r="G524" s="25" t="n">
        <v>0</v>
      </c>
      <c r="H524" s="22" t="n">
        <v>45907</v>
      </c>
      <c r="I524" s="22" t="n">
        <v>46156</v>
      </c>
      <c r="J524" s="22" t="n">
        <v>46156</v>
      </c>
      <c r="K524" s="16" t="s">
        <v>567</v>
      </c>
      <c r="L524" s="16" t="s">
        <v>500</v>
      </c>
      <c r="M524" s="16"/>
      <c r="N524" s="16" t="s">
        <v>722</v>
      </c>
      <c r="O524" s="7" t="n">
        <f aca="false">IF(OR(E524="Closed Won",E524="Closed Lost"),0,1)</f>
        <v>0</v>
      </c>
      <c r="P524" s="17" t="str">
        <f aca="false">INDEX(Accounts!$K$5:$K$336,MATCH(B524,Accounts!$A$5:$A$336,0))</f>
        <v>Technology, Media &amp; Telecom</v>
      </c>
      <c r="Q524" s="17" t="str">
        <f aca="false">INDEX(Accounts!$D$5:$D$336,MATCH(B524,Accounts!$A$5:$A$336,0))</f>
        <v>Key</v>
      </c>
      <c r="R524" s="7" t="n">
        <f aca="false">INDEX(Inputs!$B$11:$B$16,MATCH(E524,Inputs!$A$11:$A$16,0))</f>
        <v>0</v>
      </c>
      <c r="S524" s="27" t="n">
        <f aca="false">IF(F524="",0,F524)*R524/100</f>
        <v>0</v>
      </c>
      <c r="T524" s="7" t="n">
        <f aca="false">Inputs!$B$4-J524</f>
        <v>158</v>
      </c>
      <c r="U524" s="7" t="n">
        <f aca="false">IF(OR(F524="",F524=0),1,0)</f>
        <v>0</v>
      </c>
      <c r="V524" s="7" t="n">
        <f aca="false">IF(K524="",1,0)</f>
        <v>0</v>
      </c>
      <c r="W524" s="7" t="n">
        <f aca="false">IF(AND(O524=1,K524&lt;&gt;"",COUNTIFS(Owners!$A$5:$A$32,K524,Owners!$E$5:$E$32,"No")&gt;0),1,0)</f>
        <v>0</v>
      </c>
      <c r="X524" s="7" t="n">
        <f aca="false">IF(AND(O524=1,I524&lt;Inputs!$B$4),1,0)</f>
        <v>0</v>
      </c>
      <c r="Y524" s="7" t="n">
        <f aca="false">IF(AND(O524=1,T524&gt;Inputs!$B$5),1,0)</f>
        <v>0</v>
      </c>
      <c r="Z524" s="7" t="n">
        <f aca="false">IF(AND(O524=1,G524&lt;&gt;R524),1,0)</f>
        <v>0</v>
      </c>
      <c r="AA524" s="7" t="n">
        <f aca="false">IF(AND(O524=1,M524=""),1,0)</f>
        <v>0</v>
      </c>
      <c r="AB524" s="7" t="n">
        <f aca="false">IF(AND(E524="Closed Lost",N524=""),1,0)</f>
        <v>0</v>
      </c>
      <c r="AC524" s="7" t="n">
        <f aca="false">SUM(U524:AB524)</f>
        <v>0</v>
      </c>
      <c r="AD524" s="7" t="n">
        <f aca="false">IF(AC524=0,1,0)</f>
        <v>1</v>
      </c>
      <c r="AE524" s="7" t="n">
        <f aca="false">IF(AND(O524=1,I524&gt;=Inputs!$B$6,I524&lt;=Inputs!$B$7),1,0)</f>
        <v>0</v>
      </c>
      <c r="AF524" s="7" t="n">
        <f aca="false">IF(AND(E524="Closed Won",I524&gt;=Inputs!$B$6,I524&lt;=Inputs!$B$4),1,0)</f>
        <v>0</v>
      </c>
      <c r="AG524" s="7" t="n">
        <f aca="false">IF(AND(O524=0,I524&gt;Inputs!$B$4-Inputs!$B$8,I524&lt;=Inputs!$B$4),1,0)</f>
        <v>1</v>
      </c>
      <c r="AH524" s="7" t="n">
        <f aca="false">I524-H524</f>
        <v>249</v>
      </c>
    </row>
    <row r="525" customFormat="false" ht="15" hidden="false" customHeight="false" outlineLevel="0" collapsed="false">
      <c r="A525" s="16" t="s">
        <v>1745</v>
      </c>
      <c r="B525" s="16" t="s">
        <v>329</v>
      </c>
      <c r="C525" s="16" t="s">
        <v>1746</v>
      </c>
      <c r="D525" s="16" t="s">
        <v>167</v>
      </c>
      <c r="E525" s="16" t="s">
        <v>531</v>
      </c>
      <c r="F525" s="26" t="n">
        <v>4712000</v>
      </c>
      <c r="G525" s="25" t="n">
        <v>0</v>
      </c>
      <c r="H525" s="22" t="n">
        <v>46055</v>
      </c>
      <c r="I525" s="22" t="n">
        <v>46226</v>
      </c>
      <c r="J525" s="22" t="n">
        <v>46226</v>
      </c>
      <c r="K525" s="16" t="s">
        <v>651</v>
      </c>
      <c r="L525" s="16" t="s">
        <v>500</v>
      </c>
      <c r="M525" s="16"/>
      <c r="N525" s="16" t="s">
        <v>610</v>
      </c>
      <c r="O525" s="7" t="n">
        <f aca="false">IF(OR(E525="Closed Won",E525="Closed Lost"),0,1)</f>
        <v>0</v>
      </c>
      <c r="P525" s="17" t="str">
        <f aca="false">INDEX(Accounts!$K$5:$K$336,MATCH(B525,Accounts!$A$5:$A$336,0))</f>
        <v>Public Sector &amp; Development</v>
      </c>
      <c r="Q525" s="17" t="str">
        <f aca="false">INDEX(Accounts!$D$5:$D$336,MATCH(B525,Accounts!$A$5:$A$336,0))</f>
        <v>Standard</v>
      </c>
      <c r="R525" s="7" t="n">
        <f aca="false">INDEX(Inputs!$B$11:$B$16,MATCH(E525,Inputs!$A$11:$A$16,0))</f>
        <v>0</v>
      </c>
      <c r="S525" s="27" t="n">
        <f aca="false">IF(F525="",0,F525)*R525/100</f>
        <v>0</v>
      </c>
      <c r="T525" s="7" t="n">
        <f aca="false">Inputs!$B$4-J525</f>
        <v>88</v>
      </c>
      <c r="U525" s="7" t="n">
        <f aca="false">IF(OR(F525="",F525=0),1,0)</f>
        <v>0</v>
      </c>
      <c r="V525" s="7" t="n">
        <f aca="false">IF(K525="",1,0)</f>
        <v>0</v>
      </c>
      <c r="W525" s="7" t="n">
        <f aca="false">IF(AND(O525=1,K525&lt;&gt;"",COUNTIFS(Owners!$A$5:$A$32,K525,Owners!$E$5:$E$32,"No")&gt;0),1,0)</f>
        <v>0</v>
      </c>
      <c r="X525" s="7" t="n">
        <f aca="false">IF(AND(O525=1,I525&lt;Inputs!$B$4),1,0)</f>
        <v>0</v>
      </c>
      <c r="Y525" s="7" t="n">
        <f aca="false">IF(AND(O525=1,T525&gt;Inputs!$B$5),1,0)</f>
        <v>0</v>
      </c>
      <c r="Z525" s="7" t="n">
        <f aca="false">IF(AND(O525=1,G525&lt;&gt;R525),1,0)</f>
        <v>0</v>
      </c>
      <c r="AA525" s="7" t="n">
        <f aca="false">IF(AND(O525=1,M525=""),1,0)</f>
        <v>0</v>
      </c>
      <c r="AB525" s="7" t="n">
        <f aca="false">IF(AND(E525="Closed Lost",N525=""),1,0)</f>
        <v>0</v>
      </c>
      <c r="AC525" s="7" t="n">
        <f aca="false">SUM(U525:AB525)</f>
        <v>0</v>
      </c>
      <c r="AD525" s="7" t="n">
        <f aca="false">IF(AC525=0,1,0)</f>
        <v>1</v>
      </c>
      <c r="AE525" s="7" t="n">
        <f aca="false">IF(AND(O525=1,I525&gt;=Inputs!$B$6,I525&lt;=Inputs!$B$7),1,0)</f>
        <v>0</v>
      </c>
      <c r="AF525" s="7" t="n">
        <f aca="false">IF(AND(E525="Closed Won",I525&gt;=Inputs!$B$6,I525&lt;=Inputs!$B$4),1,0)</f>
        <v>0</v>
      </c>
      <c r="AG525" s="7" t="n">
        <f aca="false">IF(AND(O525=0,I525&gt;Inputs!$B$4-Inputs!$B$8,I525&lt;=Inputs!$B$4),1,0)</f>
        <v>1</v>
      </c>
      <c r="AH525" s="7" t="n">
        <f aca="false">I525-H525</f>
        <v>171</v>
      </c>
    </row>
    <row r="526" customFormat="false" ht="15" hidden="false" customHeight="false" outlineLevel="0" collapsed="false">
      <c r="A526" s="16" t="s">
        <v>1747</v>
      </c>
      <c r="B526" s="16" t="s">
        <v>92</v>
      </c>
      <c r="C526" s="16" t="s">
        <v>1748</v>
      </c>
      <c r="D526" s="16" t="s">
        <v>162</v>
      </c>
      <c r="E526" s="16" t="s">
        <v>531</v>
      </c>
      <c r="F526" s="26" t="n">
        <v>7676000</v>
      </c>
      <c r="G526" s="25" t="n">
        <v>0</v>
      </c>
      <c r="H526" s="22" t="n">
        <v>45963</v>
      </c>
      <c r="I526" s="22" t="n">
        <v>46069</v>
      </c>
      <c r="J526" s="22" t="n">
        <v>46069</v>
      </c>
      <c r="K526" s="16" t="s">
        <v>637</v>
      </c>
      <c r="L526" s="16" t="s">
        <v>574</v>
      </c>
      <c r="M526" s="16"/>
      <c r="N526" s="16" t="s">
        <v>697</v>
      </c>
      <c r="O526" s="7" t="n">
        <f aca="false">IF(OR(E526="Closed Won",E526="Closed Lost"),0,1)</f>
        <v>0</v>
      </c>
      <c r="P526" s="17" t="str">
        <f aca="false">INDEX(Accounts!$K$5:$K$336,MATCH(B526,Accounts!$A$5:$A$336,0))</f>
        <v>Public Sector &amp; Development</v>
      </c>
      <c r="Q526" s="17" t="str">
        <f aca="false">INDEX(Accounts!$D$5:$D$336,MATCH(B526,Accounts!$A$5:$A$336,0))</f>
        <v>Priority</v>
      </c>
      <c r="R526" s="7" t="n">
        <f aca="false">INDEX(Inputs!$B$11:$B$16,MATCH(E526,Inputs!$A$11:$A$16,0))</f>
        <v>0</v>
      </c>
      <c r="S526" s="27" t="n">
        <f aca="false">IF(F526="",0,F526)*R526/100</f>
        <v>0</v>
      </c>
      <c r="T526" s="7" t="n">
        <f aca="false">Inputs!$B$4-J526</f>
        <v>245</v>
      </c>
      <c r="U526" s="7" t="n">
        <f aca="false">IF(OR(F526="",F526=0),1,0)</f>
        <v>0</v>
      </c>
      <c r="V526" s="7" t="n">
        <f aca="false">IF(K526="",1,0)</f>
        <v>0</v>
      </c>
      <c r="W526" s="7" t="n">
        <f aca="false">IF(AND(O526=1,K526&lt;&gt;"",COUNTIFS(Owners!$A$5:$A$32,K526,Owners!$E$5:$E$32,"No")&gt;0),1,0)</f>
        <v>0</v>
      </c>
      <c r="X526" s="7" t="n">
        <f aca="false">IF(AND(O526=1,I526&lt;Inputs!$B$4),1,0)</f>
        <v>0</v>
      </c>
      <c r="Y526" s="7" t="n">
        <f aca="false">IF(AND(O526=1,T526&gt;Inputs!$B$5),1,0)</f>
        <v>0</v>
      </c>
      <c r="Z526" s="7" t="n">
        <f aca="false">IF(AND(O526=1,G526&lt;&gt;R526),1,0)</f>
        <v>0</v>
      </c>
      <c r="AA526" s="7" t="n">
        <f aca="false">IF(AND(O526=1,M526=""),1,0)</f>
        <v>0</v>
      </c>
      <c r="AB526" s="7" t="n">
        <f aca="false">IF(AND(E526="Closed Lost",N526=""),1,0)</f>
        <v>0</v>
      </c>
      <c r="AC526" s="7" t="n">
        <f aca="false">SUM(U526:AB526)</f>
        <v>0</v>
      </c>
      <c r="AD526" s="7" t="n">
        <f aca="false">IF(AC526=0,1,0)</f>
        <v>1</v>
      </c>
      <c r="AE526" s="7" t="n">
        <f aca="false">IF(AND(O526=1,I526&gt;=Inputs!$B$6,I526&lt;=Inputs!$B$7),1,0)</f>
        <v>0</v>
      </c>
      <c r="AF526" s="7" t="n">
        <f aca="false">IF(AND(E526="Closed Won",I526&gt;=Inputs!$B$6,I526&lt;=Inputs!$B$4),1,0)</f>
        <v>0</v>
      </c>
      <c r="AG526" s="7" t="n">
        <f aca="false">IF(AND(O526=0,I526&gt;Inputs!$B$4-Inputs!$B$8,I526&lt;=Inputs!$B$4),1,0)</f>
        <v>1</v>
      </c>
      <c r="AH526" s="7" t="n">
        <f aca="false">I526-H526</f>
        <v>106</v>
      </c>
    </row>
    <row r="527" customFormat="false" ht="15" hidden="false" customHeight="false" outlineLevel="0" collapsed="false">
      <c r="A527" s="16" t="s">
        <v>1749</v>
      </c>
      <c r="B527" s="16" t="s">
        <v>258</v>
      </c>
      <c r="C527" s="16" t="s">
        <v>1750</v>
      </c>
      <c r="D527" s="16" t="s">
        <v>165</v>
      </c>
      <c r="E527" s="16" t="s">
        <v>526</v>
      </c>
      <c r="F527" s="26" t="n">
        <v>115531000</v>
      </c>
      <c r="G527" s="25" t="n">
        <v>10</v>
      </c>
      <c r="H527" s="22" t="n">
        <v>46227</v>
      </c>
      <c r="I527" s="22" t="n">
        <v>46308</v>
      </c>
      <c r="J527" s="22" t="n">
        <v>46287</v>
      </c>
      <c r="K527" s="16" t="s">
        <v>633</v>
      </c>
      <c r="L527" s="16" t="s">
        <v>574</v>
      </c>
      <c r="M527" s="16" t="s">
        <v>569</v>
      </c>
      <c r="N527" s="16"/>
      <c r="O527" s="7" t="n">
        <f aca="false">IF(OR(E527="Closed Won",E527="Closed Lost"),0,1)</f>
        <v>1</v>
      </c>
      <c r="P527" s="17" t="str">
        <f aca="false">INDEX(Accounts!$K$5:$K$336,MATCH(B527,Accounts!$A$5:$A$336,0))</f>
        <v>Energy &amp; Resources</v>
      </c>
      <c r="Q527" s="17" t="str">
        <f aca="false">INDEX(Accounts!$D$5:$D$336,MATCH(B527,Accounts!$A$5:$A$336,0))</f>
        <v>Standard</v>
      </c>
      <c r="R527" s="7" t="n">
        <f aca="false">INDEX(Inputs!$B$11:$B$16,MATCH(E527,Inputs!$A$11:$A$16,0))</f>
        <v>10</v>
      </c>
      <c r="S527" s="27" t="n">
        <f aca="false">IF(F527="",0,F527)*R527/100</f>
        <v>11553100</v>
      </c>
      <c r="T527" s="7" t="n">
        <f aca="false">Inputs!$B$4-J527</f>
        <v>27</v>
      </c>
      <c r="U527" s="7" t="n">
        <f aca="false">IF(OR(F527="",F527=0),1,0)</f>
        <v>0</v>
      </c>
      <c r="V527" s="7" t="n">
        <f aca="false">IF(K527="",1,0)</f>
        <v>0</v>
      </c>
      <c r="W527" s="7" t="n">
        <f aca="false">IF(AND(O527=1,K527&lt;&gt;"",COUNTIFS(Owners!$A$5:$A$32,K527,Owners!$E$5:$E$32,"No")&gt;0),1,0)</f>
        <v>0</v>
      </c>
      <c r="X527" s="7" t="n">
        <f aca="false">IF(AND(O527=1,I527&lt;Inputs!$B$4),1,0)</f>
        <v>1</v>
      </c>
      <c r="Y527" s="7" t="n">
        <f aca="false">IF(AND(O527=1,T527&gt;Inputs!$B$5),1,0)</f>
        <v>0</v>
      </c>
      <c r="Z527" s="7" t="n">
        <f aca="false">IF(AND(O527=1,G527&lt;&gt;R527),1,0)</f>
        <v>0</v>
      </c>
      <c r="AA527" s="7" t="n">
        <f aca="false">IF(AND(O527=1,M527=""),1,0)</f>
        <v>0</v>
      </c>
      <c r="AB527" s="7" t="n">
        <f aca="false">IF(AND(E527="Closed Lost",N527=""),1,0)</f>
        <v>0</v>
      </c>
      <c r="AC527" s="7" t="n">
        <f aca="false">SUM(U527:AB527)</f>
        <v>1</v>
      </c>
      <c r="AD527" s="7" t="n">
        <f aca="false">IF(AC527=0,1,0)</f>
        <v>0</v>
      </c>
      <c r="AE527" s="7" t="n">
        <f aca="false">IF(AND(O527=1,I527&gt;=Inputs!$B$6,I527&lt;=Inputs!$B$7),1,0)</f>
        <v>1</v>
      </c>
      <c r="AF527" s="7" t="n">
        <f aca="false">IF(AND(E527="Closed Won",I527&gt;=Inputs!$B$6,I527&lt;=Inputs!$B$4),1,0)</f>
        <v>0</v>
      </c>
      <c r="AG527" s="7" t="n">
        <f aca="false">IF(AND(O527=0,I527&gt;Inputs!$B$4-Inputs!$B$8,I527&lt;=Inputs!$B$4),1,0)</f>
        <v>0</v>
      </c>
      <c r="AH527" s="7" t="n">
        <f aca="false">I527-H527</f>
        <v>81</v>
      </c>
    </row>
    <row r="528" customFormat="false" ht="15" hidden="false" customHeight="false" outlineLevel="0" collapsed="false">
      <c r="A528" s="16" t="s">
        <v>1751</v>
      </c>
      <c r="B528" s="16" t="s">
        <v>88</v>
      </c>
      <c r="C528" s="16" t="s">
        <v>842</v>
      </c>
      <c r="D528" s="16" t="s">
        <v>165</v>
      </c>
      <c r="E528" s="16" t="s">
        <v>531</v>
      </c>
      <c r="F528" s="26" t="n">
        <v>6071000</v>
      </c>
      <c r="G528" s="25" t="n">
        <v>0</v>
      </c>
      <c r="H528" s="22" t="n">
        <v>46000</v>
      </c>
      <c r="I528" s="22" t="n">
        <v>46232</v>
      </c>
      <c r="J528" s="22" t="n">
        <v>46232</v>
      </c>
      <c r="K528" s="16" t="s">
        <v>604</v>
      </c>
      <c r="L528" s="16" t="s">
        <v>592</v>
      </c>
      <c r="M528" s="16"/>
      <c r="N528" s="16" t="s">
        <v>597</v>
      </c>
      <c r="O528" s="7" t="n">
        <f aca="false">IF(OR(E528="Closed Won",E528="Closed Lost"),0,1)</f>
        <v>0</v>
      </c>
      <c r="P528" s="17" t="str">
        <f aca="false">INDEX(Accounts!$K$5:$K$336,MATCH(B528,Accounts!$A$5:$A$336,0))</f>
        <v>Agribusiness</v>
      </c>
      <c r="Q528" s="17" t="str">
        <f aca="false">INDEX(Accounts!$D$5:$D$336,MATCH(B528,Accounts!$A$5:$A$336,0))</f>
        <v>Priority</v>
      </c>
      <c r="R528" s="7" t="n">
        <f aca="false">INDEX(Inputs!$B$11:$B$16,MATCH(E528,Inputs!$A$11:$A$16,0))</f>
        <v>0</v>
      </c>
      <c r="S528" s="27" t="n">
        <f aca="false">IF(F528="",0,F528)*R528/100</f>
        <v>0</v>
      </c>
      <c r="T528" s="7" t="n">
        <f aca="false">Inputs!$B$4-J528</f>
        <v>82</v>
      </c>
      <c r="U528" s="7" t="n">
        <f aca="false">IF(OR(F528="",F528=0),1,0)</f>
        <v>0</v>
      </c>
      <c r="V528" s="7" t="n">
        <f aca="false">IF(K528="",1,0)</f>
        <v>0</v>
      </c>
      <c r="W528" s="7" t="n">
        <f aca="false">IF(AND(O528=1,K528&lt;&gt;"",COUNTIFS(Owners!$A$5:$A$32,K528,Owners!$E$5:$E$32,"No")&gt;0),1,0)</f>
        <v>0</v>
      </c>
      <c r="X528" s="7" t="n">
        <f aca="false">IF(AND(O528=1,I528&lt;Inputs!$B$4),1,0)</f>
        <v>0</v>
      </c>
      <c r="Y528" s="7" t="n">
        <f aca="false">IF(AND(O528=1,T528&gt;Inputs!$B$5),1,0)</f>
        <v>0</v>
      </c>
      <c r="Z528" s="7" t="n">
        <f aca="false">IF(AND(O528=1,G528&lt;&gt;R528),1,0)</f>
        <v>0</v>
      </c>
      <c r="AA528" s="7" t="n">
        <f aca="false">IF(AND(O528=1,M528=""),1,0)</f>
        <v>0</v>
      </c>
      <c r="AB528" s="7" t="n">
        <f aca="false">IF(AND(E528="Closed Lost",N528=""),1,0)</f>
        <v>0</v>
      </c>
      <c r="AC528" s="7" t="n">
        <f aca="false">SUM(U528:AB528)</f>
        <v>0</v>
      </c>
      <c r="AD528" s="7" t="n">
        <f aca="false">IF(AC528=0,1,0)</f>
        <v>1</v>
      </c>
      <c r="AE528" s="7" t="n">
        <f aca="false">IF(AND(O528=1,I528&gt;=Inputs!$B$6,I528&lt;=Inputs!$B$7),1,0)</f>
        <v>0</v>
      </c>
      <c r="AF528" s="7" t="n">
        <f aca="false">IF(AND(E528="Closed Won",I528&gt;=Inputs!$B$6,I528&lt;=Inputs!$B$4),1,0)</f>
        <v>0</v>
      </c>
      <c r="AG528" s="7" t="n">
        <f aca="false">IF(AND(O528=0,I528&gt;Inputs!$B$4-Inputs!$B$8,I528&lt;=Inputs!$B$4),1,0)</f>
        <v>1</v>
      </c>
      <c r="AH528" s="7" t="n">
        <f aca="false">I528-H528</f>
        <v>232</v>
      </c>
    </row>
    <row r="529" customFormat="false" ht="15" hidden="false" customHeight="false" outlineLevel="0" collapsed="false">
      <c r="A529" s="16" t="s">
        <v>1752</v>
      </c>
      <c r="B529" s="16" t="s">
        <v>93</v>
      </c>
      <c r="C529" s="16" t="s">
        <v>1753</v>
      </c>
      <c r="D529" s="16" t="s">
        <v>177</v>
      </c>
      <c r="E529" s="16" t="s">
        <v>531</v>
      </c>
      <c r="F529" s="26" t="n">
        <v>1344000</v>
      </c>
      <c r="G529" s="25" t="n">
        <v>0</v>
      </c>
      <c r="H529" s="22" t="n">
        <v>45939</v>
      </c>
      <c r="I529" s="22" t="n">
        <v>46021</v>
      </c>
      <c r="J529" s="22" t="n">
        <v>46021</v>
      </c>
      <c r="K529" s="16" t="s">
        <v>654</v>
      </c>
      <c r="L529" s="16" t="s">
        <v>574</v>
      </c>
      <c r="M529" s="16"/>
      <c r="N529" s="16"/>
      <c r="O529" s="7" t="n">
        <f aca="false">IF(OR(E529="Closed Won",E529="Closed Lost"),0,1)</f>
        <v>0</v>
      </c>
      <c r="P529" s="17" t="str">
        <f aca="false">INDEX(Accounts!$K$5:$K$336,MATCH(B529,Accounts!$A$5:$A$336,0))</f>
        <v>Unassigned</v>
      </c>
      <c r="Q529" s="17" t="str">
        <f aca="false">INDEX(Accounts!$D$5:$D$336,MATCH(B529,Accounts!$A$5:$A$336,0))</f>
        <v>Priority</v>
      </c>
      <c r="R529" s="7" t="n">
        <f aca="false">INDEX(Inputs!$B$11:$B$16,MATCH(E529,Inputs!$A$11:$A$16,0))</f>
        <v>0</v>
      </c>
      <c r="S529" s="27" t="n">
        <f aca="false">IF(F529="",0,F529)*R529/100</f>
        <v>0</v>
      </c>
      <c r="T529" s="7" t="n">
        <f aca="false">Inputs!$B$4-J529</f>
        <v>293</v>
      </c>
      <c r="U529" s="7" t="n">
        <f aca="false">IF(OR(F529="",F529=0),1,0)</f>
        <v>0</v>
      </c>
      <c r="V529" s="7" t="n">
        <f aca="false">IF(K529="",1,0)</f>
        <v>0</v>
      </c>
      <c r="W529" s="7" t="n">
        <f aca="false">IF(AND(O529=1,K529&lt;&gt;"",COUNTIFS(Owners!$A$5:$A$32,K529,Owners!$E$5:$E$32,"No")&gt;0),1,0)</f>
        <v>0</v>
      </c>
      <c r="X529" s="7" t="n">
        <f aca="false">IF(AND(O529=1,I529&lt;Inputs!$B$4),1,0)</f>
        <v>0</v>
      </c>
      <c r="Y529" s="7" t="n">
        <f aca="false">IF(AND(O529=1,T529&gt;Inputs!$B$5),1,0)</f>
        <v>0</v>
      </c>
      <c r="Z529" s="7" t="n">
        <f aca="false">IF(AND(O529=1,G529&lt;&gt;R529),1,0)</f>
        <v>0</v>
      </c>
      <c r="AA529" s="7" t="n">
        <f aca="false">IF(AND(O529=1,M529=""),1,0)</f>
        <v>0</v>
      </c>
      <c r="AB529" s="7" t="n">
        <f aca="false">IF(AND(E529="Closed Lost",N529=""),1,0)</f>
        <v>1</v>
      </c>
      <c r="AC529" s="7" t="n">
        <f aca="false">SUM(U529:AB529)</f>
        <v>1</v>
      </c>
      <c r="AD529" s="7" t="n">
        <f aca="false">IF(AC529=0,1,0)</f>
        <v>0</v>
      </c>
      <c r="AE529" s="7" t="n">
        <f aca="false">IF(AND(O529=1,I529&gt;=Inputs!$B$6,I529&lt;=Inputs!$B$7),1,0)</f>
        <v>0</v>
      </c>
      <c r="AF529" s="7" t="n">
        <f aca="false">IF(AND(E529="Closed Won",I529&gt;=Inputs!$B$6,I529&lt;=Inputs!$B$4),1,0)</f>
        <v>0</v>
      </c>
      <c r="AG529" s="7" t="n">
        <f aca="false">IF(AND(O529=0,I529&gt;Inputs!$B$4-Inputs!$B$8,I529&lt;=Inputs!$B$4),1,0)</f>
        <v>1</v>
      </c>
      <c r="AH529" s="7" t="n">
        <f aca="false">I529-H529</f>
        <v>82</v>
      </c>
    </row>
    <row r="530" customFormat="false" ht="15" hidden="false" customHeight="false" outlineLevel="0" collapsed="false">
      <c r="A530" s="16" t="s">
        <v>1754</v>
      </c>
      <c r="B530" s="16" t="s">
        <v>1755</v>
      </c>
      <c r="C530" s="16" t="s">
        <v>1756</v>
      </c>
      <c r="D530" s="16" t="s">
        <v>158</v>
      </c>
      <c r="E530" s="16" t="s">
        <v>529</v>
      </c>
      <c r="F530" s="26" t="n">
        <v>152041000</v>
      </c>
      <c r="G530" s="25" t="n">
        <v>75</v>
      </c>
      <c r="H530" s="22" t="n">
        <v>46272</v>
      </c>
      <c r="I530" s="22" t="n">
        <v>46399</v>
      </c>
      <c r="J530" s="22" t="n">
        <v>46162</v>
      </c>
      <c r="K530" s="16" t="s">
        <v>677</v>
      </c>
      <c r="L530" s="16" t="s">
        <v>592</v>
      </c>
      <c r="M530" s="16" t="s">
        <v>601</v>
      </c>
      <c r="N530" s="16"/>
      <c r="O530" s="7" t="n">
        <f aca="false">IF(OR(E530="Closed Won",E530="Closed Lost"),0,1)</f>
        <v>1</v>
      </c>
      <c r="P530" s="17" t="str">
        <f aca="false">INDEX(Accounts!$K$5:$K$336,MATCH(B530,Accounts!$A$5:$A$336,0))</f>
        <v>Real Estate &amp; Infrastructure</v>
      </c>
      <c r="Q530" s="17" t="str">
        <f aca="false">INDEX(Accounts!$D$5:$D$336,MATCH(B530,Accounts!$A$5:$A$336,0))</f>
        <v>Standard</v>
      </c>
      <c r="R530" s="7" t="n">
        <f aca="false">INDEX(Inputs!$B$11:$B$16,MATCH(E530,Inputs!$A$11:$A$16,0))</f>
        <v>75</v>
      </c>
      <c r="S530" s="27" t="n">
        <f aca="false">IF(F530="",0,F530)*R530/100</f>
        <v>114030750</v>
      </c>
      <c r="T530" s="7" t="n">
        <f aca="false">Inputs!$B$4-J530</f>
        <v>152</v>
      </c>
      <c r="U530" s="7" t="n">
        <f aca="false">IF(OR(F530="",F530=0),1,0)</f>
        <v>0</v>
      </c>
      <c r="V530" s="7" t="n">
        <f aca="false">IF(K530="",1,0)</f>
        <v>0</v>
      </c>
      <c r="W530" s="7" t="n">
        <f aca="false">IF(AND(O530=1,K530&lt;&gt;"",COUNTIFS(Owners!$A$5:$A$32,K530,Owners!$E$5:$E$32,"No")&gt;0),1,0)</f>
        <v>0</v>
      </c>
      <c r="X530" s="7" t="n">
        <f aca="false">IF(AND(O530=1,I530&lt;Inputs!$B$4),1,0)</f>
        <v>0</v>
      </c>
      <c r="Y530" s="7" t="n">
        <f aca="false">IF(AND(O530=1,T530&gt;Inputs!$B$5),1,0)</f>
        <v>1</v>
      </c>
      <c r="Z530" s="7" t="n">
        <f aca="false">IF(AND(O530=1,G530&lt;&gt;R530),1,0)</f>
        <v>0</v>
      </c>
      <c r="AA530" s="7" t="n">
        <f aca="false">IF(AND(O530=1,M530=""),1,0)</f>
        <v>0</v>
      </c>
      <c r="AB530" s="7" t="n">
        <f aca="false">IF(AND(E530="Closed Lost",N530=""),1,0)</f>
        <v>0</v>
      </c>
      <c r="AC530" s="7" t="n">
        <f aca="false">SUM(U530:AB530)</f>
        <v>1</v>
      </c>
      <c r="AD530" s="7" t="n">
        <f aca="false">IF(AC530=0,1,0)</f>
        <v>0</v>
      </c>
      <c r="AE530" s="7" t="n">
        <f aca="false">IF(AND(O530=1,I530&gt;=Inputs!$B$6,I530&lt;=Inputs!$B$7),1,0)</f>
        <v>1</v>
      </c>
      <c r="AF530" s="7" t="n">
        <f aca="false">IF(AND(E530="Closed Won",I530&gt;=Inputs!$B$6,I530&lt;=Inputs!$B$4),1,0)</f>
        <v>0</v>
      </c>
      <c r="AG530" s="7" t="n">
        <f aca="false">IF(AND(O530=0,I530&gt;Inputs!$B$4-Inputs!$B$8,I530&lt;=Inputs!$B$4),1,0)</f>
        <v>0</v>
      </c>
      <c r="AH530" s="7" t="n">
        <f aca="false">I530-H530</f>
        <v>127</v>
      </c>
    </row>
    <row r="531" customFormat="false" ht="15" hidden="false" customHeight="false" outlineLevel="0" collapsed="false">
      <c r="A531" s="16" t="s">
        <v>1757</v>
      </c>
      <c r="B531" s="16" t="s">
        <v>799</v>
      </c>
      <c r="C531" s="16" t="s">
        <v>1758</v>
      </c>
      <c r="D531" s="16" t="s">
        <v>167</v>
      </c>
      <c r="E531" s="16" t="s">
        <v>531</v>
      </c>
      <c r="F531" s="26" t="n">
        <v>5651000</v>
      </c>
      <c r="G531" s="25" t="n">
        <v>0</v>
      </c>
      <c r="H531" s="22" t="n">
        <v>45909</v>
      </c>
      <c r="I531" s="22" t="n">
        <v>46172</v>
      </c>
      <c r="J531" s="22" t="n">
        <v>46172</v>
      </c>
      <c r="K531" s="16" t="s">
        <v>646</v>
      </c>
      <c r="L531" s="16" t="s">
        <v>592</v>
      </c>
      <c r="M531" s="16"/>
      <c r="N531" s="16"/>
      <c r="O531" s="7" t="n">
        <f aca="false">IF(OR(E531="Closed Won",E531="Closed Lost"),0,1)</f>
        <v>0</v>
      </c>
      <c r="P531" s="17" t="str">
        <f aca="false">INDEX(Accounts!$K$5:$K$336,MATCH(B531,Accounts!$A$5:$A$336,0))</f>
        <v>Technology, Media &amp; Telecom</v>
      </c>
      <c r="Q531" s="17" t="str">
        <f aca="false">INDEX(Accounts!$D$5:$D$336,MATCH(B531,Accounts!$A$5:$A$336,0))</f>
        <v>Standard</v>
      </c>
      <c r="R531" s="7" t="n">
        <f aca="false">INDEX(Inputs!$B$11:$B$16,MATCH(E531,Inputs!$A$11:$A$16,0))</f>
        <v>0</v>
      </c>
      <c r="S531" s="27" t="n">
        <f aca="false">IF(F531="",0,F531)*R531/100</f>
        <v>0</v>
      </c>
      <c r="T531" s="7" t="n">
        <f aca="false">Inputs!$B$4-J531</f>
        <v>142</v>
      </c>
      <c r="U531" s="7" t="n">
        <f aca="false">IF(OR(F531="",F531=0),1,0)</f>
        <v>0</v>
      </c>
      <c r="V531" s="7" t="n">
        <f aca="false">IF(K531="",1,0)</f>
        <v>0</v>
      </c>
      <c r="W531" s="7" t="n">
        <f aca="false">IF(AND(O531=1,K531&lt;&gt;"",COUNTIFS(Owners!$A$5:$A$32,K531,Owners!$E$5:$E$32,"No")&gt;0),1,0)</f>
        <v>0</v>
      </c>
      <c r="X531" s="7" t="n">
        <f aca="false">IF(AND(O531=1,I531&lt;Inputs!$B$4),1,0)</f>
        <v>0</v>
      </c>
      <c r="Y531" s="7" t="n">
        <f aca="false">IF(AND(O531=1,T531&gt;Inputs!$B$5),1,0)</f>
        <v>0</v>
      </c>
      <c r="Z531" s="7" t="n">
        <f aca="false">IF(AND(O531=1,G531&lt;&gt;R531),1,0)</f>
        <v>0</v>
      </c>
      <c r="AA531" s="7" t="n">
        <f aca="false">IF(AND(O531=1,M531=""),1,0)</f>
        <v>0</v>
      </c>
      <c r="AB531" s="7" t="n">
        <f aca="false">IF(AND(E531="Closed Lost",N531=""),1,0)</f>
        <v>1</v>
      </c>
      <c r="AC531" s="7" t="n">
        <f aca="false">SUM(U531:AB531)</f>
        <v>1</v>
      </c>
      <c r="AD531" s="7" t="n">
        <f aca="false">IF(AC531=0,1,0)</f>
        <v>0</v>
      </c>
      <c r="AE531" s="7" t="n">
        <f aca="false">IF(AND(O531=1,I531&gt;=Inputs!$B$6,I531&lt;=Inputs!$B$7),1,0)</f>
        <v>0</v>
      </c>
      <c r="AF531" s="7" t="n">
        <f aca="false">IF(AND(E531="Closed Won",I531&gt;=Inputs!$B$6,I531&lt;=Inputs!$B$4),1,0)</f>
        <v>0</v>
      </c>
      <c r="AG531" s="7" t="n">
        <f aca="false">IF(AND(O531=0,I531&gt;Inputs!$B$4-Inputs!$B$8,I531&lt;=Inputs!$B$4),1,0)</f>
        <v>1</v>
      </c>
      <c r="AH531" s="7" t="n">
        <f aca="false">I531-H531</f>
        <v>263</v>
      </c>
    </row>
    <row r="532" customFormat="false" ht="15" hidden="false" customHeight="false" outlineLevel="0" collapsed="false">
      <c r="A532" s="16" t="s">
        <v>1759</v>
      </c>
      <c r="B532" s="16" t="s">
        <v>763</v>
      </c>
      <c r="C532" s="16" t="s">
        <v>1760</v>
      </c>
      <c r="D532" s="16" t="s">
        <v>165</v>
      </c>
      <c r="E532" s="16" t="s">
        <v>528</v>
      </c>
      <c r="F532" s="26" t="n">
        <v>14180000</v>
      </c>
      <c r="G532" s="25" t="n">
        <v>50</v>
      </c>
      <c r="H532" s="22" t="n">
        <v>46259</v>
      </c>
      <c r="I532" s="22" t="n">
        <v>46495</v>
      </c>
      <c r="J532" s="22" t="n">
        <v>46275</v>
      </c>
      <c r="K532" s="16" t="s">
        <v>651</v>
      </c>
      <c r="L532" s="16" t="s">
        <v>584</v>
      </c>
      <c r="M532" s="16" t="s">
        <v>575</v>
      </c>
      <c r="N532" s="16"/>
      <c r="O532" s="7" t="n">
        <f aca="false">IF(OR(E532="Closed Won",E532="Closed Lost"),0,1)</f>
        <v>1</v>
      </c>
      <c r="P532" s="17" t="str">
        <f aca="false">INDEX(Accounts!$K$5:$K$336,MATCH(B532,Accounts!$A$5:$A$336,0))</f>
        <v>Health</v>
      </c>
      <c r="Q532" s="17" t="str">
        <f aca="false">INDEX(Accounts!$D$5:$D$336,MATCH(B532,Accounts!$A$5:$A$336,0))</f>
        <v>Standard</v>
      </c>
      <c r="R532" s="7" t="n">
        <f aca="false">INDEX(Inputs!$B$11:$B$16,MATCH(E532,Inputs!$A$11:$A$16,0))</f>
        <v>50</v>
      </c>
      <c r="S532" s="27" t="n">
        <f aca="false">IF(F532="",0,F532)*R532/100</f>
        <v>7090000</v>
      </c>
      <c r="T532" s="7" t="n">
        <f aca="false">Inputs!$B$4-J532</f>
        <v>39</v>
      </c>
      <c r="U532" s="7" t="n">
        <f aca="false">IF(OR(F532="",F532=0),1,0)</f>
        <v>0</v>
      </c>
      <c r="V532" s="7" t="n">
        <f aca="false">IF(K532="",1,0)</f>
        <v>0</v>
      </c>
      <c r="W532" s="7" t="n">
        <f aca="false">IF(AND(O532=1,K532&lt;&gt;"",COUNTIFS(Owners!$A$5:$A$32,K532,Owners!$E$5:$E$32,"No")&gt;0),1,0)</f>
        <v>0</v>
      </c>
      <c r="X532" s="7" t="n">
        <f aca="false">IF(AND(O532=1,I532&lt;Inputs!$B$4),1,0)</f>
        <v>0</v>
      </c>
      <c r="Y532" s="7" t="n">
        <f aca="false">IF(AND(O532=1,T532&gt;Inputs!$B$5),1,0)</f>
        <v>0</v>
      </c>
      <c r="Z532" s="7" t="n">
        <f aca="false">IF(AND(O532=1,G532&lt;&gt;R532),1,0)</f>
        <v>0</v>
      </c>
      <c r="AA532" s="7" t="n">
        <f aca="false">IF(AND(O532=1,M532=""),1,0)</f>
        <v>0</v>
      </c>
      <c r="AB532" s="7" t="n">
        <f aca="false">IF(AND(E532="Closed Lost",N532=""),1,0)</f>
        <v>0</v>
      </c>
      <c r="AC532" s="7" t="n">
        <f aca="false">SUM(U532:AB532)</f>
        <v>0</v>
      </c>
      <c r="AD532" s="7" t="n">
        <f aca="false">IF(AC532=0,1,0)</f>
        <v>1</v>
      </c>
      <c r="AE532" s="7" t="n">
        <f aca="false">IF(AND(O532=1,I532&gt;=Inputs!$B$6,I532&lt;=Inputs!$B$7),1,0)</f>
        <v>1</v>
      </c>
      <c r="AF532" s="7" t="n">
        <f aca="false">IF(AND(E532="Closed Won",I532&gt;=Inputs!$B$6,I532&lt;=Inputs!$B$4),1,0)</f>
        <v>0</v>
      </c>
      <c r="AG532" s="7" t="n">
        <f aca="false">IF(AND(O532=0,I532&gt;Inputs!$B$4-Inputs!$B$8,I532&lt;=Inputs!$B$4),1,0)</f>
        <v>0</v>
      </c>
      <c r="AH532" s="7" t="n">
        <f aca="false">I532-H532</f>
        <v>236</v>
      </c>
    </row>
    <row r="533" customFormat="false" ht="15" hidden="false" customHeight="false" outlineLevel="0" collapsed="false">
      <c r="A533" s="16" t="s">
        <v>1761</v>
      </c>
      <c r="B533" s="16" t="s">
        <v>66</v>
      </c>
      <c r="C533" s="16" t="s">
        <v>1762</v>
      </c>
      <c r="D533" s="16" t="s">
        <v>167</v>
      </c>
      <c r="E533" s="16" t="s">
        <v>531</v>
      </c>
      <c r="F533" s="26" t="n">
        <v>8022000</v>
      </c>
      <c r="G533" s="25" t="n">
        <v>0</v>
      </c>
      <c r="H533" s="22" t="n">
        <v>46193</v>
      </c>
      <c r="I533" s="22" t="n">
        <v>46308</v>
      </c>
      <c r="J533" s="22" t="n">
        <v>46308</v>
      </c>
      <c r="K533" s="16" t="s">
        <v>640</v>
      </c>
      <c r="L533" s="16" t="s">
        <v>584</v>
      </c>
      <c r="M533" s="16"/>
      <c r="N533" s="16" t="s">
        <v>597</v>
      </c>
      <c r="O533" s="7" t="n">
        <f aca="false">IF(OR(E533="Closed Won",E533="Closed Lost"),0,1)</f>
        <v>0</v>
      </c>
      <c r="P533" s="17" t="str">
        <f aca="false">INDEX(Accounts!$K$5:$K$336,MATCH(B533,Accounts!$A$5:$A$336,0))</f>
        <v>Financial Services</v>
      </c>
      <c r="Q533" s="17" t="str">
        <f aca="false">INDEX(Accounts!$D$5:$D$336,MATCH(B533,Accounts!$A$5:$A$336,0))</f>
        <v>Priority</v>
      </c>
      <c r="R533" s="7" t="n">
        <f aca="false">INDEX(Inputs!$B$11:$B$16,MATCH(E533,Inputs!$A$11:$A$16,0))</f>
        <v>0</v>
      </c>
      <c r="S533" s="27" t="n">
        <f aca="false">IF(F533="",0,F533)*R533/100</f>
        <v>0</v>
      </c>
      <c r="T533" s="7" t="n">
        <f aca="false">Inputs!$B$4-J533</f>
        <v>6</v>
      </c>
      <c r="U533" s="7" t="n">
        <f aca="false">IF(OR(F533="",F533=0),1,0)</f>
        <v>0</v>
      </c>
      <c r="V533" s="7" t="n">
        <f aca="false">IF(K533="",1,0)</f>
        <v>0</v>
      </c>
      <c r="W533" s="7" t="n">
        <f aca="false">IF(AND(O533=1,K533&lt;&gt;"",COUNTIFS(Owners!$A$5:$A$32,K533,Owners!$E$5:$E$32,"No")&gt;0),1,0)</f>
        <v>0</v>
      </c>
      <c r="X533" s="7" t="n">
        <f aca="false">IF(AND(O533=1,I533&lt;Inputs!$B$4),1,0)</f>
        <v>0</v>
      </c>
      <c r="Y533" s="7" t="n">
        <f aca="false">IF(AND(O533=1,T533&gt;Inputs!$B$5),1,0)</f>
        <v>0</v>
      </c>
      <c r="Z533" s="7" t="n">
        <f aca="false">IF(AND(O533=1,G533&lt;&gt;R533),1,0)</f>
        <v>0</v>
      </c>
      <c r="AA533" s="7" t="n">
        <f aca="false">IF(AND(O533=1,M533=""),1,0)</f>
        <v>0</v>
      </c>
      <c r="AB533" s="7" t="n">
        <f aca="false">IF(AND(E533="Closed Lost",N533=""),1,0)</f>
        <v>0</v>
      </c>
      <c r="AC533" s="7" t="n">
        <f aca="false">SUM(U533:AB533)</f>
        <v>0</v>
      </c>
      <c r="AD533" s="7" t="n">
        <f aca="false">IF(AC533=0,1,0)</f>
        <v>1</v>
      </c>
      <c r="AE533" s="7" t="n">
        <f aca="false">IF(AND(O533=1,I533&gt;=Inputs!$B$6,I533&lt;=Inputs!$B$7),1,0)</f>
        <v>0</v>
      </c>
      <c r="AF533" s="7" t="n">
        <f aca="false">IF(AND(E533="Closed Won",I533&gt;=Inputs!$B$6,I533&lt;=Inputs!$B$4),1,0)</f>
        <v>0</v>
      </c>
      <c r="AG533" s="7" t="n">
        <f aca="false">IF(AND(O533=0,I533&gt;Inputs!$B$4-Inputs!$B$8,I533&lt;=Inputs!$B$4),1,0)</f>
        <v>1</v>
      </c>
      <c r="AH533" s="7" t="n">
        <f aca="false">I533-H533</f>
        <v>115</v>
      </c>
    </row>
    <row r="534" customFormat="false" ht="15" hidden="false" customHeight="false" outlineLevel="0" collapsed="false">
      <c r="A534" s="16" t="s">
        <v>1763</v>
      </c>
      <c r="B534" s="16" t="s">
        <v>365</v>
      </c>
      <c r="C534" s="16" t="s">
        <v>1764</v>
      </c>
      <c r="D534" s="16" t="s">
        <v>167</v>
      </c>
      <c r="E534" s="16" t="s">
        <v>530</v>
      </c>
      <c r="F534" s="26" t="n">
        <v>13109000</v>
      </c>
      <c r="G534" s="25" t="n">
        <v>100</v>
      </c>
      <c r="H534" s="22" t="n">
        <v>45905</v>
      </c>
      <c r="I534" s="22" t="n">
        <v>46038</v>
      </c>
      <c r="J534" s="22" t="n">
        <v>46038</v>
      </c>
      <c r="K534" s="16" t="s">
        <v>666</v>
      </c>
      <c r="L534" s="16" t="s">
        <v>568</v>
      </c>
      <c r="M534" s="16"/>
      <c r="N534" s="16"/>
      <c r="O534" s="7" t="n">
        <f aca="false">IF(OR(E534="Closed Won",E534="Closed Lost"),0,1)</f>
        <v>0</v>
      </c>
      <c r="P534" s="17" t="str">
        <f aca="false">INDEX(Accounts!$K$5:$K$336,MATCH(B534,Accounts!$A$5:$A$336,0))</f>
        <v>Energy &amp; Resources</v>
      </c>
      <c r="Q534" s="17" t="str">
        <f aca="false">INDEX(Accounts!$D$5:$D$336,MATCH(B534,Accounts!$A$5:$A$336,0))</f>
        <v>Key</v>
      </c>
      <c r="R534" s="7" t="n">
        <f aca="false">INDEX(Inputs!$B$11:$B$16,MATCH(E534,Inputs!$A$11:$A$16,0))</f>
        <v>100</v>
      </c>
      <c r="S534" s="27" t="n">
        <f aca="false">IF(F534="",0,F534)*R534/100</f>
        <v>13109000</v>
      </c>
      <c r="T534" s="7" t="n">
        <f aca="false">Inputs!$B$4-J534</f>
        <v>276</v>
      </c>
      <c r="U534" s="7" t="n">
        <f aca="false">IF(OR(F534="",F534=0),1,0)</f>
        <v>0</v>
      </c>
      <c r="V534" s="7" t="n">
        <f aca="false">IF(K534="",1,0)</f>
        <v>0</v>
      </c>
      <c r="W534" s="7" t="n">
        <f aca="false">IF(AND(O534=1,K534&lt;&gt;"",COUNTIFS(Owners!$A$5:$A$32,K534,Owners!$E$5:$E$32,"No")&gt;0),1,0)</f>
        <v>0</v>
      </c>
      <c r="X534" s="7" t="n">
        <f aca="false">IF(AND(O534=1,I534&lt;Inputs!$B$4),1,0)</f>
        <v>0</v>
      </c>
      <c r="Y534" s="7" t="n">
        <f aca="false">IF(AND(O534=1,T534&gt;Inputs!$B$5),1,0)</f>
        <v>0</v>
      </c>
      <c r="Z534" s="7" t="n">
        <f aca="false">IF(AND(O534=1,G534&lt;&gt;R534),1,0)</f>
        <v>0</v>
      </c>
      <c r="AA534" s="7" t="n">
        <f aca="false">IF(AND(O534=1,M534=""),1,0)</f>
        <v>0</v>
      </c>
      <c r="AB534" s="7" t="n">
        <f aca="false">IF(AND(E534="Closed Lost",N534=""),1,0)</f>
        <v>0</v>
      </c>
      <c r="AC534" s="7" t="n">
        <f aca="false">SUM(U534:AB534)</f>
        <v>0</v>
      </c>
      <c r="AD534" s="7" t="n">
        <f aca="false">IF(AC534=0,1,0)</f>
        <v>1</v>
      </c>
      <c r="AE534" s="7" t="n">
        <f aca="false">IF(AND(O534=1,I534&gt;=Inputs!$B$6,I534&lt;=Inputs!$B$7),1,0)</f>
        <v>0</v>
      </c>
      <c r="AF534" s="7" t="n">
        <f aca="false">IF(AND(E534="Closed Won",I534&gt;=Inputs!$B$6,I534&lt;=Inputs!$B$4),1,0)</f>
        <v>0</v>
      </c>
      <c r="AG534" s="7" t="n">
        <f aca="false">IF(AND(O534=0,I534&gt;Inputs!$B$4-Inputs!$B$8,I534&lt;=Inputs!$B$4),1,0)</f>
        <v>1</v>
      </c>
      <c r="AH534" s="7" t="n">
        <f aca="false">I534-H534</f>
        <v>133</v>
      </c>
    </row>
    <row r="535" customFormat="false" ht="15" hidden="false" customHeight="false" outlineLevel="0" collapsed="false">
      <c r="A535" s="16" t="s">
        <v>1765</v>
      </c>
      <c r="B535" s="16" t="s">
        <v>80</v>
      </c>
      <c r="C535" s="16" t="s">
        <v>1766</v>
      </c>
      <c r="D535" s="16" t="s">
        <v>165</v>
      </c>
      <c r="E535" s="16" t="s">
        <v>531</v>
      </c>
      <c r="F535" s="26" t="n">
        <v>6276000</v>
      </c>
      <c r="G535" s="25" t="n">
        <v>0</v>
      </c>
      <c r="H535" s="22" t="n">
        <v>46097</v>
      </c>
      <c r="I535" s="22" t="n">
        <v>46166</v>
      </c>
      <c r="J535" s="22" t="n">
        <v>46166</v>
      </c>
      <c r="K535" s="16" t="s">
        <v>640</v>
      </c>
      <c r="L535" s="16" t="s">
        <v>592</v>
      </c>
      <c r="M535" s="16"/>
      <c r="N535" s="16" t="s">
        <v>722</v>
      </c>
      <c r="O535" s="7" t="n">
        <f aca="false">IF(OR(E535="Closed Won",E535="Closed Lost"),0,1)</f>
        <v>0</v>
      </c>
      <c r="P535" s="17" t="str">
        <f aca="false">INDEX(Accounts!$K$5:$K$336,MATCH(B535,Accounts!$A$5:$A$336,0))</f>
        <v>Public Sector &amp; Development</v>
      </c>
      <c r="Q535" s="17" t="str">
        <f aca="false">INDEX(Accounts!$D$5:$D$336,MATCH(B535,Accounts!$A$5:$A$336,0))</f>
        <v>Priority</v>
      </c>
      <c r="R535" s="7" t="n">
        <f aca="false">INDEX(Inputs!$B$11:$B$16,MATCH(E535,Inputs!$A$11:$A$16,0))</f>
        <v>0</v>
      </c>
      <c r="S535" s="27" t="n">
        <f aca="false">IF(F535="",0,F535)*R535/100</f>
        <v>0</v>
      </c>
      <c r="T535" s="7" t="n">
        <f aca="false">Inputs!$B$4-J535</f>
        <v>148</v>
      </c>
      <c r="U535" s="7" t="n">
        <f aca="false">IF(OR(F535="",F535=0),1,0)</f>
        <v>0</v>
      </c>
      <c r="V535" s="7" t="n">
        <f aca="false">IF(K535="",1,0)</f>
        <v>0</v>
      </c>
      <c r="W535" s="7" t="n">
        <f aca="false">IF(AND(O535=1,K535&lt;&gt;"",COUNTIFS(Owners!$A$5:$A$32,K535,Owners!$E$5:$E$32,"No")&gt;0),1,0)</f>
        <v>0</v>
      </c>
      <c r="X535" s="7" t="n">
        <f aca="false">IF(AND(O535=1,I535&lt;Inputs!$B$4),1,0)</f>
        <v>0</v>
      </c>
      <c r="Y535" s="7" t="n">
        <f aca="false">IF(AND(O535=1,T535&gt;Inputs!$B$5),1,0)</f>
        <v>0</v>
      </c>
      <c r="Z535" s="7" t="n">
        <f aca="false">IF(AND(O535=1,G535&lt;&gt;R535),1,0)</f>
        <v>0</v>
      </c>
      <c r="AA535" s="7" t="n">
        <f aca="false">IF(AND(O535=1,M535=""),1,0)</f>
        <v>0</v>
      </c>
      <c r="AB535" s="7" t="n">
        <f aca="false">IF(AND(E535="Closed Lost",N535=""),1,0)</f>
        <v>0</v>
      </c>
      <c r="AC535" s="7" t="n">
        <f aca="false">SUM(U535:AB535)</f>
        <v>0</v>
      </c>
      <c r="AD535" s="7" t="n">
        <f aca="false">IF(AC535=0,1,0)</f>
        <v>1</v>
      </c>
      <c r="AE535" s="7" t="n">
        <f aca="false">IF(AND(O535=1,I535&gt;=Inputs!$B$6,I535&lt;=Inputs!$B$7),1,0)</f>
        <v>0</v>
      </c>
      <c r="AF535" s="7" t="n">
        <f aca="false">IF(AND(E535="Closed Won",I535&gt;=Inputs!$B$6,I535&lt;=Inputs!$B$4),1,0)</f>
        <v>0</v>
      </c>
      <c r="AG535" s="7" t="n">
        <f aca="false">IF(AND(O535=0,I535&gt;Inputs!$B$4-Inputs!$B$8,I535&lt;=Inputs!$B$4),1,0)</f>
        <v>1</v>
      </c>
      <c r="AH535" s="7" t="n">
        <f aca="false">I535-H535</f>
        <v>69</v>
      </c>
    </row>
    <row r="536" customFormat="false" ht="15" hidden="false" customHeight="false" outlineLevel="0" collapsed="false">
      <c r="A536" s="16" t="s">
        <v>1767</v>
      </c>
      <c r="B536" s="16" t="s">
        <v>355</v>
      </c>
      <c r="C536" s="16" t="s">
        <v>1768</v>
      </c>
      <c r="D536" s="16" t="s">
        <v>177</v>
      </c>
      <c r="E536" s="16" t="s">
        <v>531</v>
      </c>
      <c r="F536" s="26" t="n">
        <v>4972000</v>
      </c>
      <c r="G536" s="25" t="n">
        <v>0</v>
      </c>
      <c r="H536" s="22" t="n">
        <v>45897</v>
      </c>
      <c r="I536" s="22" t="n">
        <v>46106</v>
      </c>
      <c r="J536" s="22" t="n">
        <v>46106</v>
      </c>
      <c r="K536" s="16" t="s">
        <v>633</v>
      </c>
      <c r="L536" s="16" t="s">
        <v>574</v>
      </c>
      <c r="M536" s="16"/>
      <c r="N536" s="16"/>
      <c r="O536" s="7" t="n">
        <f aca="false">IF(OR(E536="Closed Won",E536="Closed Lost"),0,1)</f>
        <v>0</v>
      </c>
      <c r="P536" s="17" t="str">
        <f aca="false">INDEX(Accounts!$K$5:$K$336,MATCH(B536,Accounts!$A$5:$A$336,0))</f>
        <v>Consumer &amp; Retail</v>
      </c>
      <c r="Q536" s="17" t="str">
        <f aca="false">INDEX(Accounts!$D$5:$D$336,MATCH(B536,Accounts!$A$5:$A$336,0))</f>
        <v>Standard</v>
      </c>
      <c r="R536" s="7" t="n">
        <f aca="false">INDEX(Inputs!$B$11:$B$16,MATCH(E536,Inputs!$A$11:$A$16,0))</f>
        <v>0</v>
      </c>
      <c r="S536" s="27" t="n">
        <f aca="false">IF(F536="",0,F536)*R536/100</f>
        <v>0</v>
      </c>
      <c r="T536" s="7" t="n">
        <f aca="false">Inputs!$B$4-J536</f>
        <v>208</v>
      </c>
      <c r="U536" s="7" t="n">
        <f aca="false">IF(OR(F536="",F536=0),1,0)</f>
        <v>0</v>
      </c>
      <c r="V536" s="7" t="n">
        <f aca="false">IF(K536="",1,0)</f>
        <v>0</v>
      </c>
      <c r="W536" s="7" t="n">
        <f aca="false">IF(AND(O536=1,K536&lt;&gt;"",COUNTIFS(Owners!$A$5:$A$32,K536,Owners!$E$5:$E$32,"No")&gt;0),1,0)</f>
        <v>0</v>
      </c>
      <c r="X536" s="7" t="n">
        <f aca="false">IF(AND(O536=1,I536&lt;Inputs!$B$4),1,0)</f>
        <v>0</v>
      </c>
      <c r="Y536" s="7" t="n">
        <f aca="false">IF(AND(O536=1,T536&gt;Inputs!$B$5),1,0)</f>
        <v>0</v>
      </c>
      <c r="Z536" s="7" t="n">
        <f aca="false">IF(AND(O536=1,G536&lt;&gt;R536),1,0)</f>
        <v>0</v>
      </c>
      <c r="AA536" s="7" t="n">
        <f aca="false">IF(AND(O536=1,M536=""),1,0)</f>
        <v>0</v>
      </c>
      <c r="AB536" s="7" t="n">
        <f aca="false">IF(AND(E536="Closed Lost",N536=""),1,0)</f>
        <v>1</v>
      </c>
      <c r="AC536" s="7" t="n">
        <f aca="false">SUM(U536:AB536)</f>
        <v>1</v>
      </c>
      <c r="AD536" s="7" t="n">
        <f aca="false">IF(AC536=0,1,0)</f>
        <v>0</v>
      </c>
      <c r="AE536" s="7" t="n">
        <f aca="false">IF(AND(O536=1,I536&gt;=Inputs!$B$6,I536&lt;=Inputs!$B$7),1,0)</f>
        <v>0</v>
      </c>
      <c r="AF536" s="7" t="n">
        <f aca="false">IF(AND(E536="Closed Won",I536&gt;=Inputs!$B$6,I536&lt;=Inputs!$B$4),1,0)</f>
        <v>0</v>
      </c>
      <c r="AG536" s="7" t="n">
        <f aca="false">IF(AND(O536=0,I536&gt;Inputs!$B$4-Inputs!$B$8,I536&lt;=Inputs!$B$4),1,0)</f>
        <v>1</v>
      </c>
      <c r="AH536" s="7" t="n">
        <f aca="false">I536-H536</f>
        <v>209</v>
      </c>
    </row>
    <row r="537" customFormat="false" ht="15" hidden="false" customHeight="false" outlineLevel="0" collapsed="false">
      <c r="A537" s="16" t="s">
        <v>1769</v>
      </c>
      <c r="B537" s="16" t="s">
        <v>448</v>
      </c>
      <c r="C537" s="16" t="s">
        <v>1770</v>
      </c>
      <c r="D537" s="16" t="s">
        <v>177</v>
      </c>
      <c r="E537" s="16" t="s">
        <v>530</v>
      </c>
      <c r="F537" s="26" t="n">
        <v>4664000</v>
      </c>
      <c r="G537" s="25" t="n">
        <v>100</v>
      </c>
      <c r="H537" s="22" t="n">
        <v>45932</v>
      </c>
      <c r="I537" s="22" t="n">
        <v>46030</v>
      </c>
      <c r="J537" s="22" t="n">
        <v>46030</v>
      </c>
      <c r="K537" s="16" t="s">
        <v>831</v>
      </c>
      <c r="L537" s="16" t="s">
        <v>584</v>
      </c>
      <c r="M537" s="16"/>
      <c r="N537" s="16"/>
      <c r="O537" s="7" t="n">
        <f aca="false">IF(OR(E537="Closed Won",E537="Closed Lost"),0,1)</f>
        <v>0</v>
      </c>
      <c r="P537" s="17" t="str">
        <f aca="false">INDEX(Accounts!$K$5:$K$336,MATCH(B537,Accounts!$A$5:$A$336,0))</f>
        <v>Technology, Media &amp; Telecom</v>
      </c>
      <c r="Q537" s="17" t="str">
        <f aca="false">INDEX(Accounts!$D$5:$D$336,MATCH(B537,Accounts!$A$5:$A$336,0))</f>
        <v>Key</v>
      </c>
      <c r="R537" s="7" t="n">
        <f aca="false">INDEX(Inputs!$B$11:$B$16,MATCH(E537,Inputs!$A$11:$A$16,0))</f>
        <v>100</v>
      </c>
      <c r="S537" s="27" t="n">
        <f aca="false">IF(F537="",0,F537)*R537/100</f>
        <v>4664000</v>
      </c>
      <c r="T537" s="7" t="n">
        <f aca="false">Inputs!$B$4-J537</f>
        <v>284</v>
      </c>
      <c r="U537" s="7" t="n">
        <f aca="false">IF(OR(F537="",F537=0),1,0)</f>
        <v>0</v>
      </c>
      <c r="V537" s="7" t="n">
        <f aca="false">IF(K537="",1,0)</f>
        <v>0</v>
      </c>
      <c r="W537" s="7" t="n">
        <f aca="false">IF(AND(O537=1,K537&lt;&gt;"",COUNTIFS(Owners!$A$5:$A$32,K537,Owners!$E$5:$E$32,"No")&gt;0),1,0)</f>
        <v>0</v>
      </c>
      <c r="X537" s="7" t="n">
        <f aca="false">IF(AND(O537=1,I537&lt;Inputs!$B$4),1,0)</f>
        <v>0</v>
      </c>
      <c r="Y537" s="7" t="n">
        <f aca="false">IF(AND(O537=1,T537&gt;Inputs!$B$5),1,0)</f>
        <v>0</v>
      </c>
      <c r="Z537" s="7" t="n">
        <f aca="false">IF(AND(O537=1,G537&lt;&gt;R537),1,0)</f>
        <v>0</v>
      </c>
      <c r="AA537" s="7" t="n">
        <f aca="false">IF(AND(O537=1,M537=""),1,0)</f>
        <v>0</v>
      </c>
      <c r="AB537" s="7" t="n">
        <f aca="false">IF(AND(E537="Closed Lost",N537=""),1,0)</f>
        <v>0</v>
      </c>
      <c r="AC537" s="7" t="n">
        <f aca="false">SUM(U537:AB537)</f>
        <v>0</v>
      </c>
      <c r="AD537" s="7" t="n">
        <f aca="false">IF(AC537=0,1,0)</f>
        <v>1</v>
      </c>
      <c r="AE537" s="7" t="n">
        <f aca="false">IF(AND(O537=1,I537&gt;=Inputs!$B$6,I537&lt;=Inputs!$B$7),1,0)</f>
        <v>0</v>
      </c>
      <c r="AF537" s="7" t="n">
        <f aca="false">IF(AND(E537="Closed Won",I537&gt;=Inputs!$B$6,I537&lt;=Inputs!$B$4),1,0)</f>
        <v>0</v>
      </c>
      <c r="AG537" s="7" t="n">
        <f aca="false">IF(AND(O537=0,I537&gt;Inputs!$B$4-Inputs!$B$8,I537&lt;=Inputs!$B$4),1,0)</f>
        <v>1</v>
      </c>
      <c r="AH537" s="7" t="n">
        <f aca="false">I537-H537</f>
        <v>98</v>
      </c>
    </row>
    <row r="538" customFormat="false" ht="15" hidden="false" customHeight="false" outlineLevel="0" collapsed="false">
      <c r="A538" s="16" t="s">
        <v>1771</v>
      </c>
      <c r="B538" s="16" t="s">
        <v>61</v>
      </c>
      <c r="C538" s="16" t="s">
        <v>1772</v>
      </c>
      <c r="D538" s="16" t="s">
        <v>162</v>
      </c>
      <c r="E538" s="16" t="s">
        <v>527</v>
      </c>
      <c r="F538" s="26" t="n">
        <v>11189000</v>
      </c>
      <c r="G538" s="25" t="n">
        <v>25</v>
      </c>
      <c r="H538" s="22" t="n">
        <v>46091</v>
      </c>
      <c r="I538" s="22" t="n">
        <v>46482</v>
      </c>
      <c r="J538" s="22" t="n">
        <v>46125</v>
      </c>
      <c r="K538" s="16" t="s">
        <v>704</v>
      </c>
      <c r="L538" s="16" t="s">
        <v>584</v>
      </c>
      <c r="M538" s="16" t="s">
        <v>619</v>
      </c>
      <c r="N538" s="16"/>
      <c r="O538" s="7" t="n">
        <f aca="false">IF(OR(E538="Closed Won",E538="Closed Lost"),0,1)</f>
        <v>1</v>
      </c>
      <c r="P538" s="17" t="str">
        <f aca="false">INDEX(Accounts!$K$5:$K$336,MATCH(B538,Accounts!$A$5:$A$336,0))</f>
        <v>Agribusiness</v>
      </c>
      <c r="Q538" s="17" t="str">
        <f aca="false">INDEX(Accounts!$D$5:$D$336,MATCH(B538,Accounts!$A$5:$A$336,0))</f>
        <v>Priority</v>
      </c>
      <c r="R538" s="7" t="n">
        <f aca="false">INDEX(Inputs!$B$11:$B$16,MATCH(E538,Inputs!$A$11:$A$16,0))</f>
        <v>25</v>
      </c>
      <c r="S538" s="27" t="n">
        <f aca="false">IF(F538="",0,F538)*R538/100</f>
        <v>2797250</v>
      </c>
      <c r="T538" s="7" t="n">
        <f aca="false">Inputs!$B$4-J538</f>
        <v>189</v>
      </c>
      <c r="U538" s="7" t="n">
        <f aca="false">IF(OR(F538="",F538=0),1,0)</f>
        <v>0</v>
      </c>
      <c r="V538" s="7" t="n">
        <f aca="false">IF(K538="",1,0)</f>
        <v>0</v>
      </c>
      <c r="W538" s="7" t="n">
        <f aca="false">IF(AND(O538=1,K538&lt;&gt;"",COUNTIFS(Owners!$A$5:$A$32,K538,Owners!$E$5:$E$32,"No")&gt;0),1,0)</f>
        <v>0</v>
      </c>
      <c r="X538" s="7" t="n">
        <f aca="false">IF(AND(O538=1,I538&lt;Inputs!$B$4),1,0)</f>
        <v>0</v>
      </c>
      <c r="Y538" s="7" t="n">
        <f aca="false">IF(AND(O538=1,T538&gt;Inputs!$B$5),1,0)</f>
        <v>1</v>
      </c>
      <c r="Z538" s="7" t="n">
        <f aca="false">IF(AND(O538=1,G538&lt;&gt;R538),1,0)</f>
        <v>0</v>
      </c>
      <c r="AA538" s="7" t="n">
        <f aca="false">IF(AND(O538=1,M538=""),1,0)</f>
        <v>0</v>
      </c>
      <c r="AB538" s="7" t="n">
        <f aca="false">IF(AND(E538="Closed Lost",N538=""),1,0)</f>
        <v>0</v>
      </c>
      <c r="AC538" s="7" t="n">
        <f aca="false">SUM(U538:AB538)</f>
        <v>1</v>
      </c>
      <c r="AD538" s="7" t="n">
        <f aca="false">IF(AC538=0,1,0)</f>
        <v>0</v>
      </c>
      <c r="AE538" s="7" t="n">
        <f aca="false">IF(AND(O538=1,I538&gt;=Inputs!$B$6,I538&lt;=Inputs!$B$7),1,0)</f>
        <v>1</v>
      </c>
      <c r="AF538" s="7" t="n">
        <f aca="false">IF(AND(E538="Closed Won",I538&gt;=Inputs!$B$6,I538&lt;=Inputs!$B$4),1,0)</f>
        <v>0</v>
      </c>
      <c r="AG538" s="7" t="n">
        <f aca="false">IF(AND(O538=0,I538&gt;Inputs!$B$4-Inputs!$B$8,I538&lt;=Inputs!$B$4),1,0)</f>
        <v>0</v>
      </c>
      <c r="AH538" s="7" t="n">
        <f aca="false">I538-H538</f>
        <v>391</v>
      </c>
    </row>
    <row r="539" customFormat="false" ht="15" hidden="false" customHeight="false" outlineLevel="0" collapsed="false">
      <c r="A539" s="16" t="s">
        <v>1773</v>
      </c>
      <c r="B539" s="16" t="s">
        <v>361</v>
      </c>
      <c r="C539" s="16" t="s">
        <v>1774</v>
      </c>
      <c r="D539" s="16" t="s">
        <v>158</v>
      </c>
      <c r="E539" s="16" t="s">
        <v>530</v>
      </c>
      <c r="F539" s="26" t="n">
        <v>18933000</v>
      </c>
      <c r="G539" s="25" t="n">
        <v>100</v>
      </c>
      <c r="H539" s="22" t="n">
        <v>45931</v>
      </c>
      <c r="I539" s="22" t="n">
        <v>46031</v>
      </c>
      <c r="J539" s="22" t="n">
        <v>46031</v>
      </c>
      <c r="K539" s="16" t="s">
        <v>604</v>
      </c>
      <c r="L539" s="16" t="s">
        <v>584</v>
      </c>
      <c r="M539" s="16"/>
      <c r="N539" s="16"/>
      <c r="O539" s="7" t="n">
        <f aca="false">IF(OR(E539="Closed Won",E539="Closed Lost"),0,1)</f>
        <v>0</v>
      </c>
      <c r="P539" s="17" t="str">
        <f aca="false">INDEX(Accounts!$K$5:$K$336,MATCH(B539,Accounts!$A$5:$A$336,0))</f>
        <v>Technology, Media &amp; Telecom</v>
      </c>
      <c r="Q539" s="17" t="str">
        <f aca="false">INDEX(Accounts!$D$5:$D$336,MATCH(B539,Accounts!$A$5:$A$336,0))</f>
        <v>Key</v>
      </c>
      <c r="R539" s="7" t="n">
        <f aca="false">INDEX(Inputs!$B$11:$B$16,MATCH(E539,Inputs!$A$11:$A$16,0))</f>
        <v>100</v>
      </c>
      <c r="S539" s="27" t="n">
        <f aca="false">IF(F539="",0,F539)*R539/100</f>
        <v>18933000</v>
      </c>
      <c r="T539" s="7" t="n">
        <f aca="false">Inputs!$B$4-J539</f>
        <v>283</v>
      </c>
      <c r="U539" s="7" t="n">
        <f aca="false">IF(OR(F539="",F539=0),1,0)</f>
        <v>0</v>
      </c>
      <c r="V539" s="7" t="n">
        <f aca="false">IF(K539="",1,0)</f>
        <v>0</v>
      </c>
      <c r="W539" s="7" t="n">
        <f aca="false">IF(AND(O539=1,K539&lt;&gt;"",COUNTIFS(Owners!$A$5:$A$32,K539,Owners!$E$5:$E$32,"No")&gt;0),1,0)</f>
        <v>0</v>
      </c>
      <c r="X539" s="7" t="n">
        <f aca="false">IF(AND(O539=1,I539&lt;Inputs!$B$4),1,0)</f>
        <v>0</v>
      </c>
      <c r="Y539" s="7" t="n">
        <f aca="false">IF(AND(O539=1,T539&gt;Inputs!$B$5),1,0)</f>
        <v>0</v>
      </c>
      <c r="Z539" s="7" t="n">
        <f aca="false">IF(AND(O539=1,G539&lt;&gt;R539),1,0)</f>
        <v>0</v>
      </c>
      <c r="AA539" s="7" t="n">
        <f aca="false">IF(AND(O539=1,M539=""),1,0)</f>
        <v>0</v>
      </c>
      <c r="AB539" s="7" t="n">
        <f aca="false">IF(AND(E539="Closed Lost",N539=""),1,0)</f>
        <v>0</v>
      </c>
      <c r="AC539" s="7" t="n">
        <f aca="false">SUM(U539:AB539)</f>
        <v>0</v>
      </c>
      <c r="AD539" s="7" t="n">
        <f aca="false">IF(AC539=0,1,0)</f>
        <v>1</v>
      </c>
      <c r="AE539" s="7" t="n">
        <f aca="false">IF(AND(O539=1,I539&gt;=Inputs!$B$6,I539&lt;=Inputs!$B$7),1,0)</f>
        <v>0</v>
      </c>
      <c r="AF539" s="7" t="n">
        <f aca="false">IF(AND(E539="Closed Won",I539&gt;=Inputs!$B$6,I539&lt;=Inputs!$B$4),1,0)</f>
        <v>0</v>
      </c>
      <c r="AG539" s="7" t="n">
        <f aca="false">IF(AND(O539=0,I539&gt;Inputs!$B$4-Inputs!$B$8,I539&lt;=Inputs!$B$4),1,0)</f>
        <v>1</v>
      </c>
      <c r="AH539" s="7" t="n">
        <f aca="false">I539-H539</f>
        <v>100</v>
      </c>
    </row>
    <row r="540" customFormat="false" ht="15" hidden="false" customHeight="false" outlineLevel="0" collapsed="false">
      <c r="A540" s="16" t="s">
        <v>1775</v>
      </c>
      <c r="B540" s="16" t="s">
        <v>791</v>
      </c>
      <c r="C540" s="16" t="s">
        <v>1314</v>
      </c>
      <c r="D540" s="16" t="s">
        <v>158</v>
      </c>
      <c r="E540" s="16" t="s">
        <v>531</v>
      </c>
      <c r="F540" s="26" t="n">
        <v>4047000</v>
      </c>
      <c r="G540" s="25" t="n">
        <v>0</v>
      </c>
      <c r="H540" s="22" t="n">
        <v>45972</v>
      </c>
      <c r="I540" s="22" t="n">
        <v>46108</v>
      </c>
      <c r="J540" s="22" t="n">
        <v>46108</v>
      </c>
      <c r="K540" s="16" t="s">
        <v>663</v>
      </c>
      <c r="L540" s="16" t="s">
        <v>609</v>
      </c>
      <c r="M540" s="16"/>
      <c r="N540" s="16" t="s">
        <v>713</v>
      </c>
      <c r="O540" s="7" t="n">
        <f aca="false">IF(OR(E540="Closed Won",E540="Closed Lost"),0,1)</f>
        <v>0</v>
      </c>
      <c r="P540" s="17" t="str">
        <f aca="false">INDEX(Accounts!$K$5:$K$336,MATCH(B540,Accounts!$A$5:$A$336,0))</f>
        <v>Consumer &amp; Retail</v>
      </c>
      <c r="Q540" s="17" t="str">
        <f aca="false">INDEX(Accounts!$D$5:$D$336,MATCH(B540,Accounts!$A$5:$A$336,0))</f>
        <v>Standard</v>
      </c>
      <c r="R540" s="7" t="n">
        <f aca="false">INDEX(Inputs!$B$11:$B$16,MATCH(E540,Inputs!$A$11:$A$16,0))</f>
        <v>0</v>
      </c>
      <c r="S540" s="27" t="n">
        <f aca="false">IF(F540="",0,F540)*R540/100</f>
        <v>0</v>
      </c>
      <c r="T540" s="7" t="n">
        <f aca="false">Inputs!$B$4-J540</f>
        <v>206</v>
      </c>
      <c r="U540" s="7" t="n">
        <f aca="false">IF(OR(F540="",F540=0),1,0)</f>
        <v>0</v>
      </c>
      <c r="V540" s="7" t="n">
        <f aca="false">IF(K540="",1,0)</f>
        <v>0</v>
      </c>
      <c r="W540" s="7" t="n">
        <f aca="false">IF(AND(O540=1,K540&lt;&gt;"",COUNTIFS(Owners!$A$5:$A$32,K540,Owners!$E$5:$E$32,"No")&gt;0),1,0)</f>
        <v>0</v>
      </c>
      <c r="X540" s="7" t="n">
        <f aca="false">IF(AND(O540=1,I540&lt;Inputs!$B$4),1,0)</f>
        <v>0</v>
      </c>
      <c r="Y540" s="7" t="n">
        <f aca="false">IF(AND(O540=1,T540&gt;Inputs!$B$5),1,0)</f>
        <v>0</v>
      </c>
      <c r="Z540" s="7" t="n">
        <f aca="false">IF(AND(O540=1,G540&lt;&gt;R540),1,0)</f>
        <v>0</v>
      </c>
      <c r="AA540" s="7" t="n">
        <f aca="false">IF(AND(O540=1,M540=""),1,0)</f>
        <v>0</v>
      </c>
      <c r="AB540" s="7" t="n">
        <f aca="false">IF(AND(E540="Closed Lost",N540=""),1,0)</f>
        <v>0</v>
      </c>
      <c r="AC540" s="7" t="n">
        <f aca="false">SUM(U540:AB540)</f>
        <v>0</v>
      </c>
      <c r="AD540" s="7" t="n">
        <f aca="false">IF(AC540=0,1,0)</f>
        <v>1</v>
      </c>
      <c r="AE540" s="7" t="n">
        <f aca="false">IF(AND(O540=1,I540&gt;=Inputs!$B$6,I540&lt;=Inputs!$B$7),1,0)</f>
        <v>0</v>
      </c>
      <c r="AF540" s="7" t="n">
        <f aca="false">IF(AND(E540="Closed Won",I540&gt;=Inputs!$B$6,I540&lt;=Inputs!$B$4),1,0)</f>
        <v>0</v>
      </c>
      <c r="AG540" s="7" t="n">
        <f aca="false">IF(AND(O540=0,I540&gt;Inputs!$B$4-Inputs!$B$8,I540&lt;=Inputs!$B$4),1,0)</f>
        <v>1</v>
      </c>
      <c r="AH540" s="7" t="n">
        <f aca="false">I540-H540</f>
        <v>136</v>
      </c>
    </row>
    <row r="541" customFormat="false" ht="15" hidden="false" customHeight="false" outlineLevel="0" collapsed="false">
      <c r="A541" s="16" t="s">
        <v>1776</v>
      </c>
      <c r="B541" s="16" t="s">
        <v>1777</v>
      </c>
      <c r="C541" s="16" t="s">
        <v>1475</v>
      </c>
      <c r="D541" s="16" t="s">
        <v>167</v>
      </c>
      <c r="E541" s="16" t="s">
        <v>530</v>
      </c>
      <c r="F541" s="26" t="n">
        <v>18949000</v>
      </c>
      <c r="G541" s="25" t="n">
        <v>100</v>
      </c>
      <c r="H541" s="22" t="n">
        <v>46123</v>
      </c>
      <c r="I541" s="22" t="n">
        <v>46308</v>
      </c>
      <c r="J541" s="22" t="n">
        <v>46308</v>
      </c>
      <c r="K541" s="16" t="s">
        <v>654</v>
      </c>
      <c r="L541" s="16" t="s">
        <v>584</v>
      </c>
      <c r="M541" s="16"/>
      <c r="N541" s="16"/>
      <c r="O541" s="7" t="n">
        <f aca="false">IF(OR(E541="Closed Won",E541="Closed Lost"),0,1)</f>
        <v>0</v>
      </c>
      <c r="P541" s="17" t="str">
        <f aca="false">INDEX(Accounts!$K$5:$K$336,MATCH(B541,Accounts!$A$5:$A$336,0))</f>
        <v>Health</v>
      </c>
      <c r="Q541" s="17" t="str">
        <f aca="false">INDEX(Accounts!$D$5:$D$336,MATCH(B541,Accounts!$A$5:$A$336,0))</f>
        <v>Standard</v>
      </c>
      <c r="R541" s="7" t="n">
        <f aca="false">INDEX(Inputs!$B$11:$B$16,MATCH(E541,Inputs!$A$11:$A$16,0))</f>
        <v>100</v>
      </c>
      <c r="S541" s="27" t="n">
        <f aca="false">IF(F541="",0,F541)*R541/100</f>
        <v>18949000</v>
      </c>
      <c r="T541" s="7" t="n">
        <f aca="false">Inputs!$B$4-J541</f>
        <v>6</v>
      </c>
      <c r="U541" s="7" t="n">
        <f aca="false">IF(OR(F541="",F541=0),1,0)</f>
        <v>0</v>
      </c>
      <c r="V541" s="7" t="n">
        <f aca="false">IF(K541="",1,0)</f>
        <v>0</v>
      </c>
      <c r="W541" s="7" t="n">
        <f aca="false">IF(AND(O541=1,K541&lt;&gt;"",COUNTIFS(Owners!$A$5:$A$32,K541,Owners!$E$5:$E$32,"No")&gt;0),1,0)</f>
        <v>0</v>
      </c>
      <c r="X541" s="7" t="n">
        <f aca="false">IF(AND(O541=1,I541&lt;Inputs!$B$4),1,0)</f>
        <v>0</v>
      </c>
      <c r="Y541" s="7" t="n">
        <f aca="false">IF(AND(O541=1,T541&gt;Inputs!$B$5),1,0)</f>
        <v>0</v>
      </c>
      <c r="Z541" s="7" t="n">
        <f aca="false">IF(AND(O541=1,G541&lt;&gt;R541),1,0)</f>
        <v>0</v>
      </c>
      <c r="AA541" s="7" t="n">
        <f aca="false">IF(AND(O541=1,M541=""),1,0)</f>
        <v>0</v>
      </c>
      <c r="AB541" s="7" t="n">
        <f aca="false">IF(AND(E541="Closed Lost",N541=""),1,0)</f>
        <v>0</v>
      </c>
      <c r="AC541" s="7" t="n">
        <f aca="false">SUM(U541:AB541)</f>
        <v>0</v>
      </c>
      <c r="AD541" s="7" t="n">
        <f aca="false">IF(AC541=0,1,0)</f>
        <v>1</v>
      </c>
      <c r="AE541" s="7" t="n">
        <f aca="false">IF(AND(O541=1,I541&gt;=Inputs!$B$6,I541&lt;=Inputs!$B$7),1,0)</f>
        <v>0</v>
      </c>
      <c r="AF541" s="7" t="n">
        <f aca="false">IF(AND(E541="Closed Won",I541&gt;=Inputs!$B$6,I541&lt;=Inputs!$B$4),1,0)</f>
        <v>1</v>
      </c>
      <c r="AG541" s="7" t="n">
        <f aca="false">IF(AND(O541=0,I541&gt;Inputs!$B$4-Inputs!$B$8,I541&lt;=Inputs!$B$4),1,0)</f>
        <v>1</v>
      </c>
      <c r="AH541" s="7" t="n">
        <f aca="false">I541-H541</f>
        <v>185</v>
      </c>
    </row>
    <row r="542" customFormat="false" ht="15" hidden="false" customHeight="false" outlineLevel="0" collapsed="false">
      <c r="A542" s="16" t="s">
        <v>1778</v>
      </c>
      <c r="B542" s="16" t="s">
        <v>1060</v>
      </c>
      <c r="C542" s="16" t="s">
        <v>1779</v>
      </c>
      <c r="D542" s="16" t="s">
        <v>162</v>
      </c>
      <c r="E542" s="16" t="s">
        <v>529</v>
      </c>
      <c r="F542" s="26" t="n">
        <v>12194000</v>
      </c>
      <c r="G542" s="25" t="n">
        <v>75</v>
      </c>
      <c r="H542" s="22" t="n">
        <v>46190</v>
      </c>
      <c r="I542" s="22" t="n">
        <v>46541</v>
      </c>
      <c r="J542" s="22" t="n">
        <v>46179</v>
      </c>
      <c r="K542" s="16" t="s">
        <v>880</v>
      </c>
      <c r="L542" s="16" t="s">
        <v>568</v>
      </c>
      <c r="M542" s="16" t="s">
        <v>575</v>
      </c>
      <c r="N542" s="16"/>
      <c r="O542" s="7" t="n">
        <f aca="false">IF(OR(E542="Closed Won",E542="Closed Lost"),0,1)</f>
        <v>1</v>
      </c>
      <c r="P542" s="17" t="str">
        <f aca="false">INDEX(Accounts!$K$5:$K$336,MATCH(B542,Accounts!$A$5:$A$336,0))</f>
        <v>Consumer &amp; Retail</v>
      </c>
      <c r="Q542" s="17" t="str">
        <f aca="false">INDEX(Accounts!$D$5:$D$336,MATCH(B542,Accounts!$A$5:$A$336,0))</f>
        <v>Standard</v>
      </c>
      <c r="R542" s="7" t="n">
        <f aca="false">INDEX(Inputs!$B$11:$B$16,MATCH(E542,Inputs!$A$11:$A$16,0))</f>
        <v>75</v>
      </c>
      <c r="S542" s="27" t="n">
        <f aca="false">IF(F542="",0,F542)*R542/100</f>
        <v>9145500</v>
      </c>
      <c r="T542" s="7" t="n">
        <f aca="false">Inputs!$B$4-J542</f>
        <v>135</v>
      </c>
      <c r="U542" s="7" t="n">
        <f aca="false">IF(OR(F542="",F542=0),1,0)</f>
        <v>0</v>
      </c>
      <c r="V542" s="7" t="n">
        <f aca="false">IF(K542="",1,0)</f>
        <v>0</v>
      </c>
      <c r="W542" s="7" t="n">
        <f aca="false">IF(AND(O542=1,K542&lt;&gt;"",COUNTIFS(Owners!$A$5:$A$32,K542,Owners!$E$5:$E$32,"No")&gt;0),1,0)</f>
        <v>1</v>
      </c>
      <c r="X542" s="7" t="n">
        <f aca="false">IF(AND(O542=1,I542&lt;Inputs!$B$4),1,0)</f>
        <v>0</v>
      </c>
      <c r="Y542" s="7" t="n">
        <f aca="false">IF(AND(O542=1,T542&gt;Inputs!$B$5),1,0)</f>
        <v>1</v>
      </c>
      <c r="Z542" s="7" t="n">
        <f aca="false">IF(AND(O542=1,G542&lt;&gt;R542),1,0)</f>
        <v>0</v>
      </c>
      <c r="AA542" s="7" t="n">
        <f aca="false">IF(AND(O542=1,M542=""),1,0)</f>
        <v>0</v>
      </c>
      <c r="AB542" s="7" t="n">
        <f aca="false">IF(AND(E542="Closed Lost",N542=""),1,0)</f>
        <v>0</v>
      </c>
      <c r="AC542" s="7" t="n">
        <f aca="false">SUM(U542:AB542)</f>
        <v>2</v>
      </c>
      <c r="AD542" s="7" t="n">
        <f aca="false">IF(AC542=0,1,0)</f>
        <v>0</v>
      </c>
      <c r="AE542" s="7" t="n">
        <f aca="false">IF(AND(O542=1,I542&gt;=Inputs!$B$6,I542&lt;=Inputs!$B$7),1,0)</f>
        <v>1</v>
      </c>
      <c r="AF542" s="7" t="n">
        <f aca="false">IF(AND(E542="Closed Won",I542&gt;=Inputs!$B$6,I542&lt;=Inputs!$B$4),1,0)</f>
        <v>0</v>
      </c>
      <c r="AG542" s="7" t="n">
        <f aca="false">IF(AND(O542=0,I542&gt;Inputs!$B$4-Inputs!$B$8,I542&lt;=Inputs!$B$4),1,0)</f>
        <v>0</v>
      </c>
      <c r="AH542" s="7" t="n">
        <f aca="false">I542-H542</f>
        <v>351</v>
      </c>
    </row>
    <row r="543" customFormat="false" ht="15" hidden="false" customHeight="false" outlineLevel="0" collapsed="false">
      <c r="A543" s="16" t="s">
        <v>1780</v>
      </c>
      <c r="B543" s="16" t="s">
        <v>59</v>
      </c>
      <c r="C543" s="16" t="s">
        <v>1781</v>
      </c>
      <c r="D543" s="16" t="s">
        <v>158</v>
      </c>
      <c r="E543" s="16" t="s">
        <v>530</v>
      </c>
      <c r="F543" s="26" t="n">
        <v>47913000</v>
      </c>
      <c r="G543" s="25" t="n">
        <v>100</v>
      </c>
      <c r="H543" s="22" t="n">
        <v>46046</v>
      </c>
      <c r="I543" s="22" t="n">
        <v>46245</v>
      </c>
      <c r="J543" s="22" t="n">
        <v>46245</v>
      </c>
      <c r="K543" s="16" t="s">
        <v>765</v>
      </c>
      <c r="L543" s="16" t="s">
        <v>584</v>
      </c>
      <c r="M543" s="16"/>
      <c r="N543" s="16"/>
      <c r="O543" s="7" t="n">
        <f aca="false">IF(OR(E543="Closed Won",E543="Closed Lost"),0,1)</f>
        <v>0</v>
      </c>
      <c r="P543" s="17" t="str">
        <f aca="false">INDEX(Accounts!$K$5:$K$336,MATCH(B543,Accounts!$A$5:$A$336,0))</f>
        <v>Financial Services</v>
      </c>
      <c r="Q543" s="17" t="str">
        <f aca="false">INDEX(Accounts!$D$5:$D$336,MATCH(B543,Accounts!$A$5:$A$336,0))</f>
        <v>Priority</v>
      </c>
      <c r="R543" s="7" t="n">
        <f aca="false">INDEX(Inputs!$B$11:$B$16,MATCH(E543,Inputs!$A$11:$A$16,0))</f>
        <v>100</v>
      </c>
      <c r="S543" s="27" t="n">
        <f aca="false">IF(F543="",0,F543)*R543/100</f>
        <v>47913000</v>
      </c>
      <c r="T543" s="7" t="n">
        <f aca="false">Inputs!$B$4-J543</f>
        <v>69</v>
      </c>
      <c r="U543" s="7" t="n">
        <f aca="false">IF(OR(F543="",F543=0),1,0)</f>
        <v>0</v>
      </c>
      <c r="V543" s="7" t="n">
        <f aca="false">IF(K543="",1,0)</f>
        <v>0</v>
      </c>
      <c r="W543" s="7" t="n">
        <f aca="false">IF(AND(O543=1,K543&lt;&gt;"",COUNTIFS(Owners!$A$5:$A$32,K543,Owners!$E$5:$E$32,"No")&gt;0),1,0)</f>
        <v>0</v>
      </c>
      <c r="X543" s="7" t="n">
        <f aca="false">IF(AND(O543=1,I543&lt;Inputs!$B$4),1,0)</f>
        <v>0</v>
      </c>
      <c r="Y543" s="7" t="n">
        <f aca="false">IF(AND(O543=1,T543&gt;Inputs!$B$5),1,0)</f>
        <v>0</v>
      </c>
      <c r="Z543" s="7" t="n">
        <f aca="false">IF(AND(O543=1,G543&lt;&gt;R543),1,0)</f>
        <v>0</v>
      </c>
      <c r="AA543" s="7" t="n">
        <f aca="false">IF(AND(O543=1,M543=""),1,0)</f>
        <v>0</v>
      </c>
      <c r="AB543" s="7" t="n">
        <f aca="false">IF(AND(E543="Closed Lost",N543=""),1,0)</f>
        <v>0</v>
      </c>
      <c r="AC543" s="7" t="n">
        <f aca="false">SUM(U543:AB543)</f>
        <v>0</v>
      </c>
      <c r="AD543" s="7" t="n">
        <f aca="false">IF(AC543=0,1,0)</f>
        <v>1</v>
      </c>
      <c r="AE543" s="7" t="n">
        <f aca="false">IF(AND(O543=1,I543&gt;=Inputs!$B$6,I543&lt;=Inputs!$B$7),1,0)</f>
        <v>0</v>
      </c>
      <c r="AF543" s="7" t="n">
        <f aca="false">IF(AND(E543="Closed Won",I543&gt;=Inputs!$B$6,I543&lt;=Inputs!$B$4),1,0)</f>
        <v>1</v>
      </c>
      <c r="AG543" s="7" t="n">
        <f aca="false">IF(AND(O543=0,I543&gt;Inputs!$B$4-Inputs!$B$8,I543&lt;=Inputs!$B$4),1,0)</f>
        <v>1</v>
      </c>
      <c r="AH543" s="7" t="n">
        <f aca="false">I543-H543</f>
        <v>199</v>
      </c>
    </row>
    <row r="544" customFormat="false" ht="15" hidden="false" customHeight="false" outlineLevel="0" collapsed="false">
      <c r="A544" s="16" t="s">
        <v>1782</v>
      </c>
      <c r="B544" s="16" t="s">
        <v>91</v>
      </c>
      <c r="C544" s="16" t="s">
        <v>1783</v>
      </c>
      <c r="D544" s="16" t="s">
        <v>167</v>
      </c>
      <c r="E544" s="16" t="s">
        <v>529</v>
      </c>
      <c r="F544" s="26" t="n">
        <v>4625000</v>
      </c>
      <c r="G544" s="25" t="n">
        <v>0</v>
      </c>
      <c r="H544" s="22" t="n">
        <v>46103</v>
      </c>
      <c r="I544" s="22" t="n">
        <v>46467</v>
      </c>
      <c r="J544" s="22" t="n">
        <v>46115</v>
      </c>
      <c r="K544" s="16"/>
      <c r="L544" s="16" t="s">
        <v>568</v>
      </c>
      <c r="M544" s="16" t="s">
        <v>569</v>
      </c>
      <c r="N544" s="16"/>
      <c r="O544" s="7" t="n">
        <f aca="false">IF(OR(E544="Closed Won",E544="Closed Lost"),0,1)</f>
        <v>1</v>
      </c>
      <c r="P544" s="17" t="str">
        <f aca="false">INDEX(Accounts!$K$5:$K$336,MATCH(B544,Accounts!$A$5:$A$336,0))</f>
        <v>Technology, Media &amp; Telecom</v>
      </c>
      <c r="Q544" s="17" t="str">
        <f aca="false">INDEX(Accounts!$D$5:$D$336,MATCH(B544,Accounts!$A$5:$A$336,0))</f>
        <v>Priority</v>
      </c>
      <c r="R544" s="7" t="n">
        <f aca="false">INDEX(Inputs!$B$11:$B$16,MATCH(E544,Inputs!$A$11:$A$16,0))</f>
        <v>75</v>
      </c>
      <c r="S544" s="27" t="n">
        <f aca="false">IF(F544="",0,F544)*R544/100</f>
        <v>3468750</v>
      </c>
      <c r="T544" s="7" t="n">
        <f aca="false">Inputs!$B$4-J544</f>
        <v>199</v>
      </c>
      <c r="U544" s="7" t="n">
        <f aca="false">IF(OR(F544="",F544=0),1,0)</f>
        <v>0</v>
      </c>
      <c r="V544" s="7" t="n">
        <f aca="false">IF(K544="",1,0)</f>
        <v>1</v>
      </c>
      <c r="W544" s="7" t="n">
        <f aca="false">IF(AND(O544=1,K544&lt;&gt;"",COUNTIFS(Owners!$A$5:$A$32,K544,Owners!$E$5:$E$32,"No")&gt;0),1,0)</f>
        <v>0</v>
      </c>
      <c r="X544" s="7" t="n">
        <f aca="false">IF(AND(O544=1,I544&lt;Inputs!$B$4),1,0)</f>
        <v>0</v>
      </c>
      <c r="Y544" s="7" t="n">
        <f aca="false">IF(AND(O544=1,T544&gt;Inputs!$B$5),1,0)</f>
        <v>1</v>
      </c>
      <c r="Z544" s="7" t="n">
        <f aca="false">IF(AND(O544=1,G544&lt;&gt;R544),1,0)</f>
        <v>1</v>
      </c>
      <c r="AA544" s="7" t="n">
        <f aca="false">IF(AND(O544=1,M544=""),1,0)</f>
        <v>0</v>
      </c>
      <c r="AB544" s="7" t="n">
        <f aca="false">IF(AND(E544="Closed Lost",N544=""),1,0)</f>
        <v>0</v>
      </c>
      <c r="AC544" s="7" t="n">
        <f aca="false">SUM(U544:AB544)</f>
        <v>3</v>
      </c>
      <c r="AD544" s="7" t="n">
        <f aca="false">IF(AC544=0,1,0)</f>
        <v>0</v>
      </c>
      <c r="AE544" s="7" t="n">
        <f aca="false">IF(AND(O544=1,I544&gt;=Inputs!$B$6,I544&lt;=Inputs!$B$7),1,0)</f>
        <v>1</v>
      </c>
      <c r="AF544" s="7" t="n">
        <f aca="false">IF(AND(E544="Closed Won",I544&gt;=Inputs!$B$6,I544&lt;=Inputs!$B$4),1,0)</f>
        <v>0</v>
      </c>
      <c r="AG544" s="7" t="n">
        <f aca="false">IF(AND(O544=0,I544&gt;Inputs!$B$4-Inputs!$B$8,I544&lt;=Inputs!$B$4),1,0)</f>
        <v>0</v>
      </c>
      <c r="AH544" s="7" t="n">
        <f aca="false">I544-H544</f>
        <v>364</v>
      </c>
    </row>
    <row r="545" customFormat="false" ht="15" hidden="false" customHeight="false" outlineLevel="0" collapsed="false">
      <c r="A545" s="16" t="s">
        <v>1784</v>
      </c>
      <c r="B545" s="16" t="s">
        <v>88</v>
      </c>
      <c r="C545" s="16" t="s">
        <v>1785</v>
      </c>
      <c r="D545" s="16" t="s">
        <v>158</v>
      </c>
      <c r="E545" s="16" t="s">
        <v>529</v>
      </c>
      <c r="F545" s="26" t="n">
        <v>51356000</v>
      </c>
      <c r="G545" s="25" t="n">
        <v>75</v>
      </c>
      <c r="H545" s="22" t="n">
        <v>46148</v>
      </c>
      <c r="I545" s="22" t="n">
        <v>46432</v>
      </c>
      <c r="J545" s="22" t="n">
        <v>46310</v>
      </c>
      <c r="K545" s="16" t="s">
        <v>691</v>
      </c>
      <c r="L545" s="16" t="s">
        <v>568</v>
      </c>
      <c r="M545" s="16" t="s">
        <v>601</v>
      </c>
      <c r="N545" s="16"/>
      <c r="O545" s="7" t="n">
        <f aca="false">IF(OR(E545="Closed Won",E545="Closed Lost"),0,1)</f>
        <v>1</v>
      </c>
      <c r="P545" s="17" t="str">
        <f aca="false">INDEX(Accounts!$K$5:$K$336,MATCH(B545,Accounts!$A$5:$A$336,0))</f>
        <v>Agribusiness</v>
      </c>
      <c r="Q545" s="17" t="str">
        <f aca="false">INDEX(Accounts!$D$5:$D$336,MATCH(B545,Accounts!$A$5:$A$336,0))</f>
        <v>Priority</v>
      </c>
      <c r="R545" s="7" t="n">
        <f aca="false">INDEX(Inputs!$B$11:$B$16,MATCH(E545,Inputs!$A$11:$A$16,0))</f>
        <v>75</v>
      </c>
      <c r="S545" s="27" t="n">
        <f aca="false">IF(F545="",0,F545)*R545/100</f>
        <v>38517000</v>
      </c>
      <c r="T545" s="7" t="n">
        <f aca="false">Inputs!$B$4-J545</f>
        <v>4</v>
      </c>
      <c r="U545" s="7" t="n">
        <f aca="false">IF(OR(F545="",F545=0),1,0)</f>
        <v>0</v>
      </c>
      <c r="V545" s="7" t="n">
        <f aca="false">IF(K545="",1,0)</f>
        <v>0</v>
      </c>
      <c r="W545" s="7" t="n">
        <f aca="false">IF(AND(O545=1,K545&lt;&gt;"",COUNTIFS(Owners!$A$5:$A$32,K545,Owners!$E$5:$E$32,"No")&gt;0),1,0)</f>
        <v>0</v>
      </c>
      <c r="X545" s="7" t="n">
        <f aca="false">IF(AND(O545=1,I545&lt;Inputs!$B$4),1,0)</f>
        <v>0</v>
      </c>
      <c r="Y545" s="7" t="n">
        <f aca="false">IF(AND(O545=1,T545&gt;Inputs!$B$5),1,0)</f>
        <v>0</v>
      </c>
      <c r="Z545" s="7" t="n">
        <f aca="false">IF(AND(O545=1,G545&lt;&gt;R545),1,0)</f>
        <v>0</v>
      </c>
      <c r="AA545" s="7" t="n">
        <f aca="false">IF(AND(O545=1,M545=""),1,0)</f>
        <v>0</v>
      </c>
      <c r="AB545" s="7" t="n">
        <f aca="false">IF(AND(E545="Closed Lost",N545=""),1,0)</f>
        <v>0</v>
      </c>
      <c r="AC545" s="7" t="n">
        <f aca="false">SUM(U545:AB545)</f>
        <v>0</v>
      </c>
      <c r="AD545" s="7" t="n">
        <f aca="false">IF(AC545=0,1,0)</f>
        <v>1</v>
      </c>
      <c r="AE545" s="7" t="n">
        <f aca="false">IF(AND(O545=1,I545&gt;=Inputs!$B$6,I545&lt;=Inputs!$B$7),1,0)</f>
        <v>1</v>
      </c>
      <c r="AF545" s="7" t="n">
        <f aca="false">IF(AND(E545="Closed Won",I545&gt;=Inputs!$B$6,I545&lt;=Inputs!$B$4),1,0)</f>
        <v>0</v>
      </c>
      <c r="AG545" s="7" t="n">
        <f aca="false">IF(AND(O545=0,I545&gt;Inputs!$B$4-Inputs!$B$8,I545&lt;=Inputs!$B$4),1,0)</f>
        <v>0</v>
      </c>
      <c r="AH545" s="7" t="n">
        <f aca="false">I545-H545</f>
        <v>284</v>
      </c>
    </row>
    <row r="546" customFormat="false" ht="15" hidden="false" customHeight="false" outlineLevel="0" collapsed="false">
      <c r="A546" s="16" t="s">
        <v>1786</v>
      </c>
      <c r="B546" s="16" t="s">
        <v>389</v>
      </c>
      <c r="C546" s="16" t="s">
        <v>1787</v>
      </c>
      <c r="D546" s="16" t="s">
        <v>165</v>
      </c>
      <c r="E546" s="16" t="s">
        <v>531</v>
      </c>
      <c r="F546" s="26" t="n">
        <v>0</v>
      </c>
      <c r="G546" s="25" t="n">
        <v>0</v>
      </c>
      <c r="H546" s="22" t="n">
        <v>46059</v>
      </c>
      <c r="I546" s="22" t="n">
        <v>46311</v>
      </c>
      <c r="J546" s="22" t="n">
        <v>46311</v>
      </c>
      <c r="K546" s="16" t="s">
        <v>604</v>
      </c>
      <c r="L546" s="16" t="s">
        <v>500</v>
      </c>
      <c r="M546" s="16"/>
      <c r="N546" s="16" t="s">
        <v>597</v>
      </c>
      <c r="O546" s="7" t="n">
        <f aca="false">IF(OR(E546="Closed Won",E546="Closed Lost"),0,1)</f>
        <v>0</v>
      </c>
      <c r="P546" s="17" t="str">
        <f aca="false">INDEX(Accounts!$K$5:$K$336,MATCH(B546,Accounts!$A$5:$A$336,0))</f>
        <v>Health</v>
      </c>
      <c r="Q546" s="17" t="str">
        <f aca="false">INDEX(Accounts!$D$5:$D$336,MATCH(B546,Accounts!$A$5:$A$336,0))</f>
        <v>Standard</v>
      </c>
      <c r="R546" s="7" t="n">
        <f aca="false">INDEX(Inputs!$B$11:$B$16,MATCH(E546,Inputs!$A$11:$A$16,0))</f>
        <v>0</v>
      </c>
      <c r="S546" s="27" t="n">
        <f aca="false">IF(F546="",0,F546)*R546/100</f>
        <v>0</v>
      </c>
      <c r="T546" s="7" t="n">
        <f aca="false">Inputs!$B$4-J546</f>
        <v>3</v>
      </c>
      <c r="U546" s="7" t="n">
        <f aca="false">IF(OR(F546="",F546=0),1,0)</f>
        <v>1</v>
      </c>
      <c r="V546" s="7" t="n">
        <f aca="false">IF(K546="",1,0)</f>
        <v>0</v>
      </c>
      <c r="W546" s="7" t="n">
        <f aca="false">IF(AND(O546=1,K546&lt;&gt;"",COUNTIFS(Owners!$A$5:$A$32,K546,Owners!$E$5:$E$32,"No")&gt;0),1,0)</f>
        <v>0</v>
      </c>
      <c r="X546" s="7" t="n">
        <f aca="false">IF(AND(O546=1,I546&lt;Inputs!$B$4),1,0)</f>
        <v>0</v>
      </c>
      <c r="Y546" s="7" t="n">
        <f aca="false">IF(AND(O546=1,T546&gt;Inputs!$B$5),1,0)</f>
        <v>0</v>
      </c>
      <c r="Z546" s="7" t="n">
        <f aca="false">IF(AND(O546=1,G546&lt;&gt;R546),1,0)</f>
        <v>0</v>
      </c>
      <c r="AA546" s="7" t="n">
        <f aca="false">IF(AND(O546=1,M546=""),1,0)</f>
        <v>0</v>
      </c>
      <c r="AB546" s="7" t="n">
        <f aca="false">IF(AND(E546="Closed Lost",N546=""),1,0)</f>
        <v>0</v>
      </c>
      <c r="AC546" s="7" t="n">
        <f aca="false">SUM(U546:AB546)</f>
        <v>1</v>
      </c>
      <c r="AD546" s="7" t="n">
        <f aca="false">IF(AC546=0,1,0)</f>
        <v>0</v>
      </c>
      <c r="AE546" s="7" t="n">
        <f aca="false">IF(AND(O546=1,I546&gt;=Inputs!$B$6,I546&lt;=Inputs!$B$7),1,0)</f>
        <v>0</v>
      </c>
      <c r="AF546" s="7" t="n">
        <f aca="false">IF(AND(E546="Closed Won",I546&gt;=Inputs!$B$6,I546&lt;=Inputs!$B$4),1,0)</f>
        <v>0</v>
      </c>
      <c r="AG546" s="7" t="n">
        <f aca="false">IF(AND(O546=0,I546&gt;Inputs!$B$4-Inputs!$B$8,I546&lt;=Inputs!$B$4),1,0)</f>
        <v>1</v>
      </c>
      <c r="AH546" s="7" t="n">
        <f aca="false">I546-H546</f>
        <v>252</v>
      </c>
    </row>
    <row r="547" customFormat="false" ht="15" hidden="false" customHeight="false" outlineLevel="0" collapsed="false">
      <c r="A547" s="16" t="s">
        <v>1788</v>
      </c>
      <c r="B547" s="16" t="s">
        <v>91</v>
      </c>
      <c r="C547" s="16" t="s">
        <v>1789</v>
      </c>
      <c r="D547" s="16" t="s">
        <v>167</v>
      </c>
      <c r="E547" s="16" t="s">
        <v>531</v>
      </c>
      <c r="F547" s="26" t="n">
        <v>12045000</v>
      </c>
      <c r="G547" s="25" t="n">
        <v>0</v>
      </c>
      <c r="H547" s="22" t="n">
        <v>46124</v>
      </c>
      <c r="I547" s="22" t="n">
        <v>46261</v>
      </c>
      <c r="J547" s="22" t="n">
        <v>46261</v>
      </c>
      <c r="K547" s="16"/>
      <c r="L547" s="16" t="s">
        <v>592</v>
      </c>
      <c r="M547" s="16"/>
      <c r="N547" s="16"/>
      <c r="O547" s="7" t="n">
        <f aca="false">IF(OR(E547="Closed Won",E547="Closed Lost"),0,1)</f>
        <v>0</v>
      </c>
      <c r="P547" s="17" t="str">
        <f aca="false">INDEX(Accounts!$K$5:$K$336,MATCH(B547,Accounts!$A$5:$A$336,0))</f>
        <v>Technology, Media &amp; Telecom</v>
      </c>
      <c r="Q547" s="17" t="str">
        <f aca="false">INDEX(Accounts!$D$5:$D$336,MATCH(B547,Accounts!$A$5:$A$336,0))</f>
        <v>Priority</v>
      </c>
      <c r="R547" s="7" t="n">
        <f aca="false">INDEX(Inputs!$B$11:$B$16,MATCH(E547,Inputs!$A$11:$A$16,0))</f>
        <v>0</v>
      </c>
      <c r="S547" s="27" t="n">
        <f aca="false">IF(F547="",0,F547)*R547/100</f>
        <v>0</v>
      </c>
      <c r="T547" s="7" t="n">
        <f aca="false">Inputs!$B$4-J547</f>
        <v>53</v>
      </c>
      <c r="U547" s="7" t="n">
        <f aca="false">IF(OR(F547="",F547=0),1,0)</f>
        <v>0</v>
      </c>
      <c r="V547" s="7" t="n">
        <f aca="false">IF(K547="",1,0)</f>
        <v>1</v>
      </c>
      <c r="W547" s="7" t="n">
        <f aca="false">IF(AND(O547=1,K547&lt;&gt;"",COUNTIFS(Owners!$A$5:$A$32,K547,Owners!$E$5:$E$32,"No")&gt;0),1,0)</f>
        <v>0</v>
      </c>
      <c r="X547" s="7" t="n">
        <f aca="false">IF(AND(O547=1,I547&lt;Inputs!$B$4),1,0)</f>
        <v>0</v>
      </c>
      <c r="Y547" s="7" t="n">
        <f aca="false">IF(AND(O547=1,T547&gt;Inputs!$B$5),1,0)</f>
        <v>0</v>
      </c>
      <c r="Z547" s="7" t="n">
        <f aca="false">IF(AND(O547=1,G547&lt;&gt;R547),1,0)</f>
        <v>0</v>
      </c>
      <c r="AA547" s="7" t="n">
        <f aca="false">IF(AND(O547=1,M547=""),1,0)</f>
        <v>0</v>
      </c>
      <c r="AB547" s="7" t="n">
        <f aca="false">IF(AND(E547="Closed Lost",N547=""),1,0)</f>
        <v>1</v>
      </c>
      <c r="AC547" s="7" t="n">
        <f aca="false">SUM(U547:AB547)</f>
        <v>2</v>
      </c>
      <c r="AD547" s="7" t="n">
        <f aca="false">IF(AC547=0,1,0)</f>
        <v>0</v>
      </c>
      <c r="AE547" s="7" t="n">
        <f aca="false">IF(AND(O547=1,I547&gt;=Inputs!$B$6,I547&lt;=Inputs!$B$7),1,0)</f>
        <v>0</v>
      </c>
      <c r="AF547" s="7" t="n">
        <f aca="false">IF(AND(E547="Closed Won",I547&gt;=Inputs!$B$6,I547&lt;=Inputs!$B$4),1,0)</f>
        <v>0</v>
      </c>
      <c r="AG547" s="7" t="n">
        <f aca="false">IF(AND(O547=0,I547&gt;Inputs!$B$4-Inputs!$B$8,I547&lt;=Inputs!$B$4),1,0)</f>
        <v>1</v>
      </c>
      <c r="AH547" s="7" t="n">
        <f aca="false">I547-H547</f>
        <v>137</v>
      </c>
    </row>
    <row r="548" customFormat="false" ht="15" hidden="false" customHeight="false" outlineLevel="0" collapsed="false">
      <c r="A548" s="16" t="s">
        <v>1790</v>
      </c>
      <c r="B548" s="16" t="s">
        <v>1277</v>
      </c>
      <c r="C548" s="16" t="s">
        <v>1791</v>
      </c>
      <c r="D548" s="16" t="s">
        <v>165</v>
      </c>
      <c r="E548" s="16" t="s">
        <v>529</v>
      </c>
      <c r="F548" s="26" t="n">
        <v>19741000</v>
      </c>
      <c r="G548" s="25" t="n">
        <v>75</v>
      </c>
      <c r="H548" s="22" t="n">
        <v>46284</v>
      </c>
      <c r="I548" s="22" t="n">
        <v>46558</v>
      </c>
      <c r="J548" s="22" t="n">
        <v>46292</v>
      </c>
      <c r="K548" s="16" t="s">
        <v>640</v>
      </c>
      <c r="L548" s="16" t="s">
        <v>500</v>
      </c>
      <c r="M548" s="16"/>
      <c r="N548" s="16"/>
      <c r="O548" s="7" t="n">
        <f aca="false">IF(OR(E548="Closed Won",E548="Closed Lost"),0,1)</f>
        <v>1</v>
      </c>
      <c r="P548" s="17" t="str">
        <f aca="false">INDEX(Accounts!$K$5:$K$336,MATCH(B548,Accounts!$A$5:$A$336,0))</f>
        <v>Financial Services</v>
      </c>
      <c r="Q548" s="17" t="str">
        <f aca="false">INDEX(Accounts!$D$5:$D$336,MATCH(B548,Accounts!$A$5:$A$336,0))</f>
        <v>Standard</v>
      </c>
      <c r="R548" s="7" t="n">
        <f aca="false">INDEX(Inputs!$B$11:$B$16,MATCH(E548,Inputs!$A$11:$A$16,0))</f>
        <v>75</v>
      </c>
      <c r="S548" s="27" t="n">
        <f aca="false">IF(F548="",0,F548)*R548/100</f>
        <v>14805750</v>
      </c>
      <c r="T548" s="7" t="n">
        <f aca="false">Inputs!$B$4-J548</f>
        <v>22</v>
      </c>
      <c r="U548" s="7" t="n">
        <f aca="false">IF(OR(F548="",F548=0),1,0)</f>
        <v>0</v>
      </c>
      <c r="V548" s="7" t="n">
        <f aca="false">IF(K548="",1,0)</f>
        <v>0</v>
      </c>
      <c r="W548" s="7" t="n">
        <f aca="false">IF(AND(O548=1,K548&lt;&gt;"",COUNTIFS(Owners!$A$5:$A$32,K548,Owners!$E$5:$E$32,"No")&gt;0),1,0)</f>
        <v>0</v>
      </c>
      <c r="X548" s="7" t="n">
        <f aca="false">IF(AND(O548=1,I548&lt;Inputs!$B$4),1,0)</f>
        <v>0</v>
      </c>
      <c r="Y548" s="7" t="n">
        <f aca="false">IF(AND(O548=1,T548&gt;Inputs!$B$5),1,0)</f>
        <v>0</v>
      </c>
      <c r="Z548" s="7" t="n">
        <f aca="false">IF(AND(O548=1,G548&lt;&gt;R548),1,0)</f>
        <v>0</v>
      </c>
      <c r="AA548" s="7" t="n">
        <f aca="false">IF(AND(O548=1,M548=""),1,0)</f>
        <v>1</v>
      </c>
      <c r="AB548" s="7" t="n">
        <f aca="false">IF(AND(E548="Closed Lost",N548=""),1,0)</f>
        <v>0</v>
      </c>
      <c r="AC548" s="7" t="n">
        <f aca="false">SUM(U548:AB548)</f>
        <v>1</v>
      </c>
      <c r="AD548" s="7" t="n">
        <f aca="false">IF(AC548=0,1,0)</f>
        <v>0</v>
      </c>
      <c r="AE548" s="7" t="n">
        <f aca="false">IF(AND(O548=1,I548&gt;=Inputs!$B$6,I548&lt;=Inputs!$B$7),1,0)</f>
        <v>1</v>
      </c>
      <c r="AF548" s="7" t="n">
        <f aca="false">IF(AND(E548="Closed Won",I548&gt;=Inputs!$B$6,I548&lt;=Inputs!$B$4),1,0)</f>
        <v>0</v>
      </c>
      <c r="AG548" s="7" t="n">
        <f aca="false">IF(AND(O548=0,I548&gt;Inputs!$B$4-Inputs!$B$8,I548&lt;=Inputs!$B$4),1,0)</f>
        <v>0</v>
      </c>
      <c r="AH548" s="7" t="n">
        <f aca="false">I548-H548</f>
        <v>274</v>
      </c>
    </row>
    <row r="549" customFormat="false" ht="15" hidden="false" customHeight="false" outlineLevel="0" collapsed="false">
      <c r="A549" s="16" t="s">
        <v>1792</v>
      </c>
      <c r="B549" s="16" t="s">
        <v>1003</v>
      </c>
      <c r="C549" s="16" t="s">
        <v>1793</v>
      </c>
      <c r="D549" s="16" t="s">
        <v>167</v>
      </c>
      <c r="E549" s="16" t="s">
        <v>531</v>
      </c>
      <c r="F549" s="26" t="n">
        <v>12063000</v>
      </c>
      <c r="G549" s="25" t="n">
        <v>0</v>
      </c>
      <c r="H549" s="22" t="n">
        <v>45911</v>
      </c>
      <c r="I549" s="22" t="n">
        <v>46080</v>
      </c>
      <c r="J549" s="22" t="n">
        <v>46080</v>
      </c>
      <c r="K549" s="16" t="s">
        <v>677</v>
      </c>
      <c r="L549" s="16" t="s">
        <v>568</v>
      </c>
      <c r="M549" s="16"/>
      <c r="N549" s="16"/>
      <c r="O549" s="7" t="n">
        <f aca="false">IF(OR(E549="Closed Won",E549="Closed Lost"),0,1)</f>
        <v>0</v>
      </c>
      <c r="P549" s="17" t="str">
        <f aca="false">INDEX(Accounts!$K$5:$K$336,MATCH(B549,Accounts!$A$5:$A$336,0))</f>
        <v>Agribusiness</v>
      </c>
      <c r="Q549" s="17" t="str">
        <f aca="false">INDEX(Accounts!$D$5:$D$336,MATCH(B549,Accounts!$A$5:$A$336,0))</f>
        <v>Standard</v>
      </c>
      <c r="R549" s="7" t="n">
        <f aca="false">INDEX(Inputs!$B$11:$B$16,MATCH(E549,Inputs!$A$11:$A$16,0))</f>
        <v>0</v>
      </c>
      <c r="S549" s="27" t="n">
        <f aca="false">IF(F549="",0,F549)*R549/100</f>
        <v>0</v>
      </c>
      <c r="T549" s="7" t="n">
        <f aca="false">Inputs!$B$4-J549</f>
        <v>234</v>
      </c>
      <c r="U549" s="7" t="n">
        <f aca="false">IF(OR(F549="",F549=0),1,0)</f>
        <v>0</v>
      </c>
      <c r="V549" s="7" t="n">
        <f aca="false">IF(K549="",1,0)</f>
        <v>0</v>
      </c>
      <c r="W549" s="7" t="n">
        <f aca="false">IF(AND(O549=1,K549&lt;&gt;"",COUNTIFS(Owners!$A$5:$A$32,K549,Owners!$E$5:$E$32,"No")&gt;0),1,0)</f>
        <v>0</v>
      </c>
      <c r="X549" s="7" t="n">
        <f aca="false">IF(AND(O549=1,I549&lt;Inputs!$B$4),1,0)</f>
        <v>0</v>
      </c>
      <c r="Y549" s="7" t="n">
        <f aca="false">IF(AND(O549=1,T549&gt;Inputs!$B$5),1,0)</f>
        <v>0</v>
      </c>
      <c r="Z549" s="7" t="n">
        <f aca="false">IF(AND(O549=1,G549&lt;&gt;R549),1,0)</f>
        <v>0</v>
      </c>
      <c r="AA549" s="7" t="n">
        <f aca="false">IF(AND(O549=1,M549=""),1,0)</f>
        <v>0</v>
      </c>
      <c r="AB549" s="7" t="n">
        <f aca="false">IF(AND(E549="Closed Lost",N549=""),1,0)</f>
        <v>1</v>
      </c>
      <c r="AC549" s="7" t="n">
        <f aca="false">SUM(U549:AB549)</f>
        <v>1</v>
      </c>
      <c r="AD549" s="7" t="n">
        <f aca="false">IF(AC549=0,1,0)</f>
        <v>0</v>
      </c>
      <c r="AE549" s="7" t="n">
        <f aca="false">IF(AND(O549=1,I549&gt;=Inputs!$B$6,I549&lt;=Inputs!$B$7),1,0)</f>
        <v>0</v>
      </c>
      <c r="AF549" s="7" t="n">
        <f aca="false">IF(AND(E549="Closed Won",I549&gt;=Inputs!$B$6,I549&lt;=Inputs!$B$4),1,0)</f>
        <v>0</v>
      </c>
      <c r="AG549" s="7" t="n">
        <f aca="false">IF(AND(O549=0,I549&gt;Inputs!$B$4-Inputs!$B$8,I549&lt;=Inputs!$B$4),1,0)</f>
        <v>1</v>
      </c>
      <c r="AH549" s="7" t="n">
        <f aca="false">I549-H549</f>
        <v>169</v>
      </c>
    </row>
    <row r="550" customFormat="false" ht="15" hidden="false" customHeight="false" outlineLevel="0" collapsed="false">
      <c r="A550" s="16" t="s">
        <v>1794</v>
      </c>
      <c r="B550" s="16" t="s">
        <v>275</v>
      </c>
      <c r="C550" s="16" t="s">
        <v>1795</v>
      </c>
      <c r="D550" s="16" t="s">
        <v>162</v>
      </c>
      <c r="E550" s="16" t="s">
        <v>526</v>
      </c>
      <c r="F550" s="26" t="n">
        <v>19817000</v>
      </c>
      <c r="G550" s="25" t="n">
        <v>10</v>
      </c>
      <c r="H550" s="22" t="n">
        <v>46217</v>
      </c>
      <c r="I550" s="22" t="n">
        <v>46473</v>
      </c>
      <c r="J550" s="22" t="n">
        <v>46304</v>
      </c>
      <c r="K550" s="16" t="s">
        <v>691</v>
      </c>
      <c r="L550" s="16" t="s">
        <v>609</v>
      </c>
      <c r="M550" s="16" t="s">
        <v>569</v>
      </c>
      <c r="N550" s="16"/>
      <c r="O550" s="7" t="n">
        <f aca="false">IF(OR(E550="Closed Won",E550="Closed Lost"),0,1)</f>
        <v>1</v>
      </c>
      <c r="P550" s="17" t="str">
        <f aca="false">INDEX(Accounts!$K$5:$K$336,MATCH(B550,Accounts!$A$5:$A$336,0))</f>
        <v>Public Sector &amp; Development</v>
      </c>
      <c r="Q550" s="17" t="str">
        <f aca="false">INDEX(Accounts!$D$5:$D$336,MATCH(B550,Accounts!$A$5:$A$336,0))</f>
        <v>Key</v>
      </c>
      <c r="R550" s="7" t="n">
        <f aca="false">INDEX(Inputs!$B$11:$B$16,MATCH(E550,Inputs!$A$11:$A$16,0))</f>
        <v>10</v>
      </c>
      <c r="S550" s="27" t="n">
        <f aca="false">IF(F550="",0,F550)*R550/100</f>
        <v>1981700</v>
      </c>
      <c r="T550" s="7" t="n">
        <f aca="false">Inputs!$B$4-J550</f>
        <v>10</v>
      </c>
      <c r="U550" s="7" t="n">
        <f aca="false">IF(OR(F550="",F550=0),1,0)</f>
        <v>0</v>
      </c>
      <c r="V550" s="7" t="n">
        <f aca="false">IF(K550="",1,0)</f>
        <v>0</v>
      </c>
      <c r="W550" s="7" t="n">
        <f aca="false">IF(AND(O550=1,K550&lt;&gt;"",COUNTIFS(Owners!$A$5:$A$32,K550,Owners!$E$5:$E$32,"No")&gt;0),1,0)</f>
        <v>0</v>
      </c>
      <c r="X550" s="7" t="n">
        <f aca="false">IF(AND(O550=1,I550&lt;Inputs!$B$4),1,0)</f>
        <v>0</v>
      </c>
      <c r="Y550" s="7" t="n">
        <f aca="false">IF(AND(O550=1,T550&gt;Inputs!$B$5),1,0)</f>
        <v>0</v>
      </c>
      <c r="Z550" s="7" t="n">
        <f aca="false">IF(AND(O550=1,G550&lt;&gt;R550),1,0)</f>
        <v>0</v>
      </c>
      <c r="AA550" s="7" t="n">
        <f aca="false">IF(AND(O550=1,M550=""),1,0)</f>
        <v>0</v>
      </c>
      <c r="AB550" s="7" t="n">
        <f aca="false">IF(AND(E550="Closed Lost",N550=""),1,0)</f>
        <v>0</v>
      </c>
      <c r="AC550" s="7" t="n">
        <f aca="false">SUM(U550:AB550)</f>
        <v>0</v>
      </c>
      <c r="AD550" s="7" t="n">
        <f aca="false">IF(AC550=0,1,0)</f>
        <v>1</v>
      </c>
      <c r="AE550" s="7" t="n">
        <f aca="false">IF(AND(O550=1,I550&gt;=Inputs!$B$6,I550&lt;=Inputs!$B$7),1,0)</f>
        <v>1</v>
      </c>
      <c r="AF550" s="7" t="n">
        <f aca="false">IF(AND(E550="Closed Won",I550&gt;=Inputs!$B$6,I550&lt;=Inputs!$B$4),1,0)</f>
        <v>0</v>
      </c>
      <c r="AG550" s="7" t="n">
        <f aca="false">IF(AND(O550=0,I550&gt;Inputs!$B$4-Inputs!$B$8,I550&lt;=Inputs!$B$4),1,0)</f>
        <v>0</v>
      </c>
      <c r="AH550" s="7" t="n">
        <f aca="false">I550-H550</f>
        <v>256</v>
      </c>
    </row>
    <row r="551" customFormat="false" ht="15" hidden="false" customHeight="false" outlineLevel="0" collapsed="false">
      <c r="A551" s="16" t="s">
        <v>1796</v>
      </c>
      <c r="B551" s="16" t="s">
        <v>57</v>
      </c>
      <c r="C551" s="16" t="s">
        <v>1479</v>
      </c>
      <c r="D551" s="16" t="s">
        <v>165</v>
      </c>
      <c r="E551" s="16" t="s">
        <v>529</v>
      </c>
      <c r="F551" s="26" t="n">
        <v>74097000</v>
      </c>
      <c r="G551" s="25" t="n">
        <v>75</v>
      </c>
      <c r="H551" s="22" t="n">
        <v>46246</v>
      </c>
      <c r="I551" s="22" t="n">
        <v>46476</v>
      </c>
      <c r="J551" s="22" t="n">
        <v>46284</v>
      </c>
      <c r="K551" s="16" t="s">
        <v>880</v>
      </c>
      <c r="L551" s="16" t="s">
        <v>584</v>
      </c>
      <c r="M551" s="16" t="s">
        <v>569</v>
      </c>
      <c r="N551" s="16"/>
      <c r="O551" s="7" t="n">
        <f aca="false">IF(OR(E551="Closed Won",E551="Closed Lost"),0,1)</f>
        <v>1</v>
      </c>
      <c r="P551" s="17" t="str">
        <f aca="false">INDEX(Accounts!$K$5:$K$336,MATCH(B551,Accounts!$A$5:$A$336,0))</f>
        <v>Financial Services</v>
      </c>
      <c r="Q551" s="17" t="str">
        <f aca="false">INDEX(Accounts!$D$5:$D$336,MATCH(B551,Accounts!$A$5:$A$336,0))</f>
        <v>Priority</v>
      </c>
      <c r="R551" s="7" t="n">
        <f aca="false">INDEX(Inputs!$B$11:$B$16,MATCH(E551,Inputs!$A$11:$A$16,0))</f>
        <v>75</v>
      </c>
      <c r="S551" s="27" t="n">
        <f aca="false">IF(F551="",0,F551)*R551/100</f>
        <v>55572750</v>
      </c>
      <c r="T551" s="7" t="n">
        <f aca="false">Inputs!$B$4-J551</f>
        <v>30</v>
      </c>
      <c r="U551" s="7" t="n">
        <f aca="false">IF(OR(F551="",F551=0),1,0)</f>
        <v>0</v>
      </c>
      <c r="V551" s="7" t="n">
        <f aca="false">IF(K551="",1,0)</f>
        <v>0</v>
      </c>
      <c r="W551" s="7" t="n">
        <f aca="false">IF(AND(O551=1,K551&lt;&gt;"",COUNTIFS(Owners!$A$5:$A$32,K551,Owners!$E$5:$E$32,"No")&gt;0),1,0)</f>
        <v>1</v>
      </c>
      <c r="X551" s="7" t="n">
        <f aca="false">IF(AND(O551=1,I551&lt;Inputs!$B$4),1,0)</f>
        <v>0</v>
      </c>
      <c r="Y551" s="7" t="n">
        <f aca="false">IF(AND(O551=1,T551&gt;Inputs!$B$5),1,0)</f>
        <v>0</v>
      </c>
      <c r="Z551" s="7" t="n">
        <f aca="false">IF(AND(O551=1,G551&lt;&gt;R551),1,0)</f>
        <v>0</v>
      </c>
      <c r="AA551" s="7" t="n">
        <f aca="false">IF(AND(O551=1,M551=""),1,0)</f>
        <v>0</v>
      </c>
      <c r="AB551" s="7" t="n">
        <f aca="false">IF(AND(E551="Closed Lost",N551=""),1,0)</f>
        <v>0</v>
      </c>
      <c r="AC551" s="7" t="n">
        <f aca="false">SUM(U551:AB551)</f>
        <v>1</v>
      </c>
      <c r="AD551" s="7" t="n">
        <f aca="false">IF(AC551=0,1,0)</f>
        <v>0</v>
      </c>
      <c r="AE551" s="7" t="n">
        <f aca="false">IF(AND(O551=1,I551&gt;=Inputs!$B$6,I551&lt;=Inputs!$B$7),1,0)</f>
        <v>1</v>
      </c>
      <c r="AF551" s="7" t="n">
        <f aca="false">IF(AND(E551="Closed Won",I551&gt;=Inputs!$B$6,I551&lt;=Inputs!$B$4),1,0)</f>
        <v>0</v>
      </c>
      <c r="AG551" s="7" t="n">
        <f aca="false">IF(AND(O551=0,I551&gt;Inputs!$B$4-Inputs!$B$8,I551&lt;=Inputs!$B$4),1,0)</f>
        <v>0</v>
      </c>
      <c r="AH551" s="7" t="n">
        <f aca="false">I551-H551</f>
        <v>230</v>
      </c>
    </row>
    <row r="552" customFormat="false" ht="15" hidden="false" customHeight="false" outlineLevel="0" collapsed="false">
      <c r="A552" s="16" t="s">
        <v>1797</v>
      </c>
      <c r="B552" s="16" t="s">
        <v>58</v>
      </c>
      <c r="C552" s="16" t="s">
        <v>1798</v>
      </c>
      <c r="D552" s="16" t="s">
        <v>158</v>
      </c>
      <c r="E552" s="16" t="s">
        <v>530</v>
      </c>
      <c r="F552" s="26" t="n">
        <v>9588000</v>
      </c>
      <c r="G552" s="25" t="n">
        <v>100</v>
      </c>
      <c r="H552" s="22" t="n">
        <v>46043</v>
      </c>
      <c r="I552" s="22" t="n">
        <v>46240</v>
      </c>
      <c r="J552" s="22" t="n">
        <v>46240</v>
      </c>
      <c r="K552" s="16" t="s">
        <v>633</v>
      </c>
      <c r="L552" s="16" t="s">
        <v>574</v>
      </c>
      <c r="M552" s="16"/>
      <c r="N552" s="16"/>
      <c r="O552" s="7" t="n">
        <f aca="false">IF(OR(E552="Closed Won",E552="Closed Lost"),0,1)</f>
        <v>0</v>
      </c>
      <c r="P552" s="17" t="str">
        <f aca="false">INDEX(Accounts!$K$5:$K$336,MATCH(B552,Accounts!$A$5:$A$336,0))</f>
        <v>Financial Services</v>
      </c>
      <c r="Q552" s="17" t="str">
        <f aca="false">INDEX(Accounts!$D$5:$D$336,MATCH(B552,Accounts!$A$5:$A$336,0))</f>
        <v>Priority</v>
      </c>
      <c r="R552" s="7" t="n">
        <f aca="false">INDEX(Inputs!$B$11:$B$16,MATCH(E552,Inputs!$A$11:$A$16,0))</f>
        <v>100</v>
      </c>
      <c r="S552" s="27" t="n">
        <f aca="false">IF(F552="",0,F552)*R552/100</f>
        <v>9588000</v>
      </c>
      <c r="T552" s="7" t="n">
        <f aca="false">Inputs!$B$4-J552</f>
        <v>74</v>
      </c>
      <c r="U552" s="7" t="n">
        <f aca="false">IF(OR(F552="",F552=0),1,0)</f>
        <v>0</v>
      </c>
      <c r="V552" s="7" t="n">
        <f aca="false">IF(K552="",1,0)</f>
        <v>0</v>
      </c>
      <c r="W552" s="7" t="n">
        <f aca="false">IF(AND(O552=1,K552&lt;&gt;"",COUNTIFS(Owners!$A$5:$A$32,K552,Owners!$E$5:$E$32,"No")&gt;0),1,0)</f>
        <v>0</v>
      </c>
      <c r="X552" s="7" t="n">
        <f aca="false">IF(AND(O552=1,I552&lt;Inputs!$B$4),1,0)</f>
        <v>0</v>
      </c>
      <c r="Y552" s="7" t="n">
        <f aca="false">IF(AND(O552=1,T552&gt;Inputs!$B$5),1,0)</f>
        <v>0</v>
      </c>
      <c r="Z552" s="7" t="n">
        <f aca="false">IF(AND(O552=1,G552&lt;&gt;R552),1,0)</f>
        <v>0</v>
      </c>
      <c r="AA552" s="7" t="n">
        <f aca="false">IF(AND(O552=1,M552=""),1,0)</f>
        <v>0</v>
      </c>
      <c r="AB552" s="7" t="n">
        <f aca="false">IF(AND(E552="Closed Lost",N552=""),1,0)</f>
        <v>0</v>
      </c>
      <c r="AC552" s="7" t="n">
        <f aca="false">SUM(U552:AB552)</f>
        <v>0</v>
      </c>
      <c r="AD552" s="7" t="n">
        <f aca="false">IF(AC552=0,1,0)</f>
        <v>1</v>
      </c>
      <c r="AE552" s="7" t="n">
        <f aca="false">IF(AND(O552=1,I552&gt;=Inputs!$B$6,I552&lt;=Inputs!$B$7),1,0)</f>
        <v>0</v>
      </c>
      <c r="AF552" s="7" t="n">
        <f aca="false">IF(AND(E552="Closed Won",I552&gt;=Inputs!$B$6,I552&lt;=Inputs!$B$4),1,0)</f>
        <v>1</v>
      </c>
      <c r="AG552" s="7" t="n">
        <f aca="false">IF(AND(O552=0,I552&gt;Inputs!$B$4-Inputs!$B$8,I552&lt;=Inputs!$B$4),1,0)</f>
        <v>1</v>
      </c>
      <c r="AH552" s="7" t="n">
        <f aca="false">I552-H552</f>
        <v>197</v>
      </c>
    </row>
    <row r="553" customFormat="false" ht="15" hidden="false" customHeight="false" outlineLevel="0" collapsed="false">
      <c r="A553" s="16" t="s">
        <v>1799</v>
      </c>
      <c r="B553" s="16" t="s">
        <v>175</v>
      </c>
      <c r="C553" s="16" t="s">
        <v>1800</v>
      </c>
      <c r="D553" s="16" t="s">
        <v>177</v>
      </c>
      <c r="E553" s="16" t="s">
        <v>530</v>
      </c>
      <c r="F553" s="26" t="n">
        <v>3912000</v>
      </c>
      <c r="G553" s="25" t="n">
        <v>100</v>
      </c>
      <c r="H553" s="22" t="n">
        <v>46023</v>
      </c>
      <c r="I553" s="22" t="n">
        <v>46180</v>
      </c>
      <c r="J553" s="22" t="n">
        <v>46180</v>
      </c>
      <c r="K553" s="16" t="s">
        <v>880</v>
      </c>
      <c r="L553" s="16" t="s">
        <v>609</v>
      </c>
      <c r="M553" s="16"/>
      <c r="N553" s="16"/>
      <c r="O553" s="7" t="n">
        <f aca="false">IF(OR(E553="Closed Won",E553="Closed Lost"),0,1)</f>
        <v>0</v>
      </c>
      <c r="P553" s="17" t="str">
        <f aca="false">INDEX(Accounts!$K$5:$K$336,MATCH(B553,Accounts!$A$5:$A$336,0))</f>
        <v>Consumer &amp; Retail</v>
      </c>
      <c r="Q553" s="17" t="str">
        <f aca="false">INDEX(Accounts!$D$5:$D$336,MATCH(B553,Accounts!$A$5:$A$336,0))</f>
        <v>Standard</v>
      </c>
      <c r="R553" s="7" t="n">
        <f aca="false">INDEX(Inputs!$B$11:$B$16,MATCH(E553,Inputs!$A$11:$A$16,0))</f>
        <v>100</v>
      </c>
      <c r="S553" s="27" t="n">
        <f aca="false">IF(F553="",0,F553)*R553/100</f>
        <v>3912000</v>
      </c>
      <c r="T553" s="7" t="n">
        <f aca="false">Inputs!$B$4-J553</f>
        <v>134</v>
      </c>
      <c r="U553" s="7" t="n">
        <f aca="false">IF(OR(F553="",F553=0),1,0)</f>
        <v>0</v>
      </c>
      <c r="V553" s="7" t="n">
        <f aca="false">IF(K553="",1,0)</f>
        <v>0</v>
      </c>
      <c r="W553" s="7" t="n">
        <f aca="false">IF(AND(O553=1,K553&lt;&gt;"",COUNTIFS(Owners!$A$5:$A$32,K553,Owners!$E$5:$E$32,"No")&gt;0),1,0)</f>
        <v>0</v>
      </c>
      <c r="X553" s="7" t="n">
        <f aca="false">IF(AND(O553=1,I553&lt;Inputs!$B$4),1,0)</f>
        <v>0</v>
      </c>
      <c r="Y553" s="7" t="n">
        <f aca="false">IF(AND(O553=1,T553&gt;Inputs!$B$5),1,0)</f>
        <v>0</v>
      </c>
      <c r="Z553" s="7" t="n">
        <f aca="false">IF(AND(O553=1,G553&lt;&gt;R553),1,0)</f>
        <v>0</v>
      </c>
      <c r="AA553" s="7" t="n">
        <f aca="false">IF(AND(O553=1,M553=""),1,0)</f>
        <v>0</v>
      </c>
      <c r="AB553" s="7" t="n">
        <f aca="false">IF(AND(E553="Closed Lost",N553=""),1,0)</f>
        <v>0</v>
      </c>
      <c r="AC553" s="7" t="n">
        <f aca="false">SUM(U553:AB553)</f>
        <v>0</v>
      </c>
      <c r="AD553" s="7" t="n">
        <f aca="false">IF(AC553=0,1,0)</f>
        <v>1</v>
      </c>
      <c r="AE553" s="7" t="n">
        <f aca="false">IF(AND(O553=1,I553&gt;=Inputs!$B$6,I553&lt;=Inputs!$B$7),1,0)</f>
        <v>0</v>
      </c>
      <c r="AF553" s="7" t="n">
        <f aca="false">IF(AND(E553="Closed Won",I553&gt;=Inputs!$B$6,I553&lt;=Inputs!$B$4),1,0)</f>
        <v>0</v>
      </c>
      <c r="AG553" s="7" t="n">
        <f aca="false">IF(AND(O553=0,I553&gt;Inputs!$B$4-Inputs!$B$8,I553&lt;=Inputs!$B$4),1,0)</f>
        <v>1</v>
      </c>
      <c r="AH553" s="7" t="n">
        <f aca="false">I553-H553</f>
        <v>157</v>
      </c>
    </row>
    <row r="554" customFormat="false" ht="15" hidden="false" customHeight="false" outlineLevel="0" collapsed="false">
      <c r="A554" s="16" t="s">
        <v>1801</v>
      </c>
      <c r="B554" s="16" t="s">
        <v>306</v>
      </c>
      <c r="C554" s="16" t="s">
        <v>1802</v>
      </c>
      <c r="D554" s="16" t="s">
        <v>165</v>
      </c>
      <c r="E554" s="16" t="s">
        <v>527</v>
      </c>
      <c r="F554" s="26" t="n">
        <v>8940000</v>
      </c>
      <c r="G554" s="25" t="n">
        <v>25</v>
      </c>
      <c r="H554" s="22" t="n">
        <v>46235</v>
      </c>
      <c r="I554" s="22" t="n">
        <v>46521</v>
      </c>
      <c r="J554" s="22" t="n">
        <v>46282</v>
      </c>
      <c r="K554" s="16"/>
      <c r="L554" s="16" t="s">
        <v>500</v>
      </c>
      <c r="M554" s="16" t="s">
        <v>601</v>
      </c>
      <c r="N554" s="16"/>
      <c r="O554" s="7" t="n">
        <f aca="false">IF(OR(E554="Closed Won",E554="Closed Lost"),0,1)</f>
        <v>1</v>
      </c>
      <c r="P554" s="17" t="str">
        <f aca="false">INDEX(Accounts!$K$5:$K$336,MATCH(B554,Accounts!$A$5:$A$336,0))</f>
        <v>Public Sector &amp; Development</v>
      </c>
      <c r="Q554" s="17" t="str">
        <f aca="false">INDEX(Accounts!$D$5:$D$336,MATCH(B554,Accounts!$A$5:$A$336,0))</f>
        <v>Standard</v>
      </c>
      <c r="R554" s="7" t="n">
        <f aca="false">INDEX(Inputs!$B$11:$B$16,MATCH(E554,Inputs!$A$11:$A$16,0))</f>
        <v>25</v>
      </c>
      <c r="S554" s="27" t="n">
        <f aca="false">IF(F554="",0,F554)*R554/100</f>
        <v>2235000</v>
      </c>
      <c r="T554" s="7" t="n">
        <f aca="false">Inputs!$B$4-J554</f>
        <v>32</v>
      </c>
      <c r="U554" s="7" t="n">
        <f aca="false">IF(OR(F554="",F554=0),1,0)</f>
        <v>0</v>
      </c>
      <c r="V554" s="7" t="n">
        <f aca="false">IF(K554="",1,0)</f>
        <v>1</v>
      </c>
      <c r="W554" s="7" t="n">
        <f aca="false">IF(AND(O554=1,K554&lt;&gt;"",COUNTIFS(Owners!$A$5:$A$32,K554,Owners!$E$5:$E$32,"No")&gt;0),1,0)</f>
        <v>0</v>
      </c>
      <c r="X554" s="7" t="n">
        <f aca="false">IF(AND(O554=1,I554&lt;Inputs!$B$4),1,0)</f>
        <v>0</v>
      </c>
      <c r="Y554" s="7" t="n">
        <f aca="false">IF(AND(O554=1,T554&gt;Inputs!$B$5),1,0)</f>
        <v>0</v>
      </c>
      <c r="Z554" s="7" t="n">
        <f aca="false">IF(AND(O554=1,G554&lt;&gt;R554),1,0)</f>
        <v>0</v>
      </c>
      <c r="AA554" s="7" t="n">
        <f aca="false">IF(AND(O554=1,M554=""),1,0)</f>
        <v>0</v>
      </c>
      <c r="AB554" s="7" t="n">
        <f aca="false">IF(AND(E554="Closed Lost",N554=""),1,0)</f>
        <v>0</v>
      </c>
      <c r="AC554" s="7" t="n">
        <f aca="false">SUM(U554:AB554)</f>
        <v>1</v>
      </c>
      <c r="AD554" s="7" t="n">
        <f aca="false">IF(AC554=0,1,0)</f>
        <v>0</v>
      </c>
      <c r="AE554" s="7" t="n">
        <f aca="false">IF(AND(O554=1,I554&gt;=Inputs!$B$6,I554&lt;=Inputs!$B$7),1,0)</f>
        <v>1</v>
      </c>
      <c r="AF554" s="7" t="n">
        <f aca="false">IF(AND(E554="Closed Won",I554&gt;=Inputs!$B$6,I554&lt;=Inputs!$B$4),1,0)</f>
        <v>0</v>
      </c>
      <c r="AG554" s="7" t="n">
        <f aca="false">IF(AND(O554=0,I554&gt;Inputs!$B$4-Inputs!$B$8,I554&lt;=Inputs!$B$4),1,0)</f>
        <v>0</v>
      </c>
      <c r="AH554" s="7" t="n">
        <f aca="false">I554-H554</f>
        <v>286</v>
      </c>
    </row>
    <row r="555" customFormat="false" ht="15" hidden="false" customHeight="false" outlineLevel="0" collapsed="false">
      <c r="A555" s="16" t="s">
        <v>1803</v>
      </c>
      <c r="B555" s="16" t="s">
        <v>77</v>
      </c>
      <c r="C555" s="16" t="s">
        <v>1804</v>
      </c>
      <c r="D555" s="16" t="s">
        <v>167</v>
      </c>
      <c r="E555" s="16" t="s">
        <v>529</v>
      </c>
      <c r="F555" s="26" t="n">
        <v>7975000</v>
      </c>
      <c r="G555" s="25" t="n">
        <v>75</v>
      </c>
      <c r="H555" s="22" t="n">
        <v>46245</v>
      </c>
      <c r="I555" s="22" t="n">
        <v>46306</v>
      </c>
      <c r="J555" s="22" t="n">
        <v>46197</v>
      </c>
      <c r="K555" s="16" t="s">
        <v>604</v>
      </c>
      <c r="L555" s="16" t="s">
        <v>609</v>
      </c>
      <c r="M555" s="16" t="s">
        <v>575</v>
      </c>
      <c r="N555" s="16"/>
      <c r="O555" s="7" t="n">
        <f aca="false">IF(OR(E555="Closed Won",E555="Closed Lost"),0,1)</f>
        <v>1</v>
      </c>
      <c r="P555" s="17" t="str">
        <f aca="false">INDEX(Accounts!$K$5:$K$336,MATCH(B555,Accounts!$A$5:$A$336,0))</f>
        <v>Financial Services</v>
      </c>
      <c r="Q555" s="17" t="str">
        <f aca="false">INDEX(Accounts!$D$5:$D$336,MATCH(B555,Accounts!$A$5:$A$336,0))</f>
        <v>Priority</v>
      </c>
      <c r="R555" s="7" t="n">
        <f aca="false">INDEX(Inputs!$B$11:$B$16,MATCH(E555,Inputs!$A$11:$A$16,0))</f>
        <v>75</v>
      </c>
      <c r="S555" s="27" t="n">
        <f aca="false">IF(F555="",0,F555)*R555/100</f>
        <v>5981250</v>
      </c>
      <c r="T555" s="7" t="n">
        <f aca="false">Inputs!$B$4-J555</f>
        <v>117</v>
      </c>
      <c r="U555" s="7" t="n">
        <f aca="false">IF(OR(F555="",F555=0),1,0)</f>
        <v>0</v>
      </c>
      <c r="V555" s="7" t="n">
        <f aca="false">IF(K555="",1,0)</f>
        <v>0</v>
      </c>
      <c r="W555" s="7" t="n">
        <f aca="false">IF(AND(O555=1,K555&lt;&gt;"",COUNTIFS(Owners!$A$5:$A$32,K555,Owners!$E$5:$E$32,"No")&gt;0),1,0)</f>
        <v>0</v>
      </c>
      <c r="X555" s="7" t="n">
        <f aca="false">IF(AND(O555=1,I555&lt;Inputs!$B$4),1,0)</f>
        <v>1</v>
      </c>
      <c r="Y555" s="7" t="n">
        <f aca="false">IF(AND(O555=1,T555&gt;Inputs!$B$5),1,0)</f>
        <v>1</v>
      </c>
      <c r="Z555" s="7" t="n">
        <f aca="false">IF(AND(O555=1,G555&lt;&gt;R555),1,0)</f>
        <v>0</v>
      </c>
      <c r="AA555" s="7" t="n">
        <f aca="false">IF(AND(O555=1,M555=""),1,0)</f>
        <v>0</v>
      </c>
      <c r="AB555" s="7" t="n">
        <f aca="false">IF(AND(E555="Closed Lost",N555=""),1,0)</f>
        <v>0</v>
      </c>
      <c r="AC555" s="7" t="n">
        <f aca="false">SUM(U555:AB555)</f>
        <v>2</v>
      </c>
      <c r="AD555" s="7" t="n">
        <f aca="false">IF(AC555=0,1,0)</f>
        <v>0</v>
      </c>
      <c r="AE555" s="7" t="n">
        <f aca="false">IF(AND(O555=1,I555&gt;=Inputs!$B$6,I555&lt;=Inputs!$B$7),1,0)</f>
        <v>1</v>
      </c>
      <c r="AF555" s="7" t="n">
        <f aca="false">IF(AND(E555="Closed Won",I555&gt;=Inputs!$B$6,I555&lt;=Inputs!$B$4),1,0)</f>
        <v>0</v>
      </c>
      <c r="AG555" s="7" t="n">
        <f aca="false">IF(AND(O555=0,I555&gt;Inputs!$B$4-Inputs!$B$8,I555&lt;=Inputs!$B$4),1,0)</f>
        <v>0</v>
      </c>
      <c r="AH555" s="7" t="n">
        <f aca="false">I555-H555</f>
        <v>61</v>
      </c>
    </row>
    <row r="556" customFormat="false" ht="15" hidden="false" customHeight="false" outlineLevel="0" collapsed="false">
      <c r="A556" s="16" t="s">
        <v>1805</v>
      </c>
      <c r="B556" s="16" t="s">
        <v>1348</v>
      </c>
      <c r="C556" s="16" t="s">
        <v>1806</v>
      </c>
      <c r="D556" s="16" t="s">
        <v>162</v>
      </c>
      <c r="E556" s="16" t="s">
        <v>530</v>
      </c>
      <c r="F556" s="26" t="n">
        <v>27112000</v>
      </c>
      <c r="G556" s="25" t="n">
        <v>100</v>
      </c>
      <c r="H556" s="22" t="n">
        <v>45912</v>
      </c>
      <c r="I556" s="22" t="n">
        <v>46197</v>
      </c>
      <c r="J556" s="22" t="n">
        <v>46197</v>
      </c>
      <c r="K556" s="16"/>
      <c r="L556" s="16" t="s">
        <v>592</v>
      </c>
      <c r="M556" s="16"/>
      <c r="N556" s="16"/>
      <c r="O556" s="7" t="n">
        <f aca="false">IF(OR(E556="Closed Won",E556="Closed Lost"),0,1)</f>
        <v>0</v>
      </c>
      <c r="P556" s="17" t="str">
        <f aca="false">INDEX(Accounts!$K$5:$K$336,MATCH(B556,Accounts!$A$5:$A$336,0))</f>
        <v>Public Sector &amp; Development</v>
      </c>
      <c r="Q556" s="17" t="str">
        <f aca="false">INDEX(Accounts!$D$5:$D$336,MATCH(B556,Accounts!$A$5:$A$336,0))</f>
        <v>Standard</v>
      </c>
      <c r="R556" s="7" t="n">
        <f aca="false">INDEX(Inputs!$B$11:$B$16,MATCH(E556,Inputs!$A$11:$A$16,0))</f>
        <v>100</v>
      </c>
      <c r="S556" s="27" t="n">
        <f aca="false">IF(F556="",0,F556)*R556/100</f>
        <v>27112000</v>
      </c>
      <c r="T556" s="7" t="n">
        <f aca="false">Inputs!$B$4-J556</f>
        <v>117</v>
      </c>
      <c r="U556" s="7" t="n">
        <f aca="false">IF(OR(F556="",F556=0),1,0)</f>
        <v>0</v>
      </c>
      <c r="V556" s="7" t="n">
        <f aca="false">IF(K556="",1,0)</f>
        <v>1</v>
      </c>
      <c r="W556" s="7" t="n">
        <f aca="false">IF(AND(O556=1,K556&lt;&gt;"",COUNTIFS(Owners!$A$5:$A$32,K556,Owners!$E$5:$E$32,"No")&gt;0),1,0)</f>
        <v>0</v>
      </c>
      <c r="X556" s="7" t="n">
        <f aca="false">IF(AND(O556=1,I556&lt;Inputs!$B$4),1,0)</f>
        <v>0</v>
      </c>
      <c r="Y556" s="7" t="n">
        <f aca="false">IF(AND(O556=1,T556&gt;Inputs!$B$5),1,0)</f>
        <v>0</v>
      </c>
      <c r="Z556" s="7" t="n">
        <f aca="false">IF(AND(O556=1,G556&lt;&gt;R556),1,0)</f>
        <v>0</v>
      </c>
      <c r="AA556" s="7" t="n">
        <f aca="false">IF(AND(O556=1,M556=""),1,0)</f>
        <v>0</v>
      </c>
      <c r="AB556" s="7" t="n">
        <f aca="false">IF(AND(E556="Closed Lost",N556=""),1,0)</f>
        <v>0</v>
      </c>
      <c r="AC556" s="7" t="n">
        <f aca="false">SUM(U556:AB556)</f>
        <v>1</v>
      </c>
      <c r="AD556" s="7" t="n">
        <f aca="false">IF(AC556=0,1,0)</f>
        <v>0</v>
      </c>
      <c r="AE556" s="7" t="n">
        <f aca="false">IF(AND(O556=1,I556&gt;=Inputs!$B$6,I556&lt;=Inputs!$B$7),1,0)</f>
        <v>0</v>
      </c>
      <c r="AF556" s="7" t="n">
        <f aca="false">IF(AND(E556="Closed Won",I556&gt;=Inputs!$B$6,I556&lt;=Inputs!$B$4),1,0)</f>
        <v>0</v>
      </c>
      <c r="AG556" s="7" t="n">
        <f aca="false">IF(AND(O556=0,I556&gt;Inputs!$B$4-Inputs!$B$8,I556&lt;=Inputs!$B$4),1,0)</f>
        <v>1</v>
      </c>
      <c r="AH556" s="7" t="n">
        <f aca="false">I556-H556</f>
        <v>285</v>
      </c>
    </row>
    <row r="557" customFormat="false" ht="15" hidden="false" customHeight="false" outlineLevel="0" collapsed="false">
      <c r="A557" s="16" t="s">
        <v>1807</v>
      </c>
      <c r="B557" s="16" t="s">
        <v>1512</v>
      </c>
      <c r="C557" s="16" t="s">
        <v>1808</v>
      </c>
      <c r="D557" s="16" t="s">
        <v>165</v>
      </c>
      <c r="E557" s="16" t="s">
        <v>526</v>
      </c>
      <c r="F557" s="26" t="n">
        <v>20277000</v>
      </c>
      <c r="G557" s="25" t="n">
        <v>10</v>
      </c>
      <c r="H557" s="22" t="n">
        <v>46086</v>
      </c>
      <c r="I557" s="22" t="n">
        <v>46417</v>
      </c>
      <c r="J557" s="22" t="n">
        <v>46278</v>
      </c>
      <c r="K557" s="16" t="s">
        <v>717</v>
      </c>
      <c r="L557" s="16" t="s">
        <v>584</v>
      </c>
      <c r="M557" s="16" t="s">
        <v>601</v>
      </c>
      <c r="N557" s="16"/>
      <c r="O557" s="7" t="n">
        <f aca="false">IF(OR(E557="Closed Won",E557="Closed Lost"),0,1)</f>
        <v>1</v>
      </c>
      <c r="P557" s="17" t="str">
        <f aca="false">INDEX(Accounts!$K$5:$K$336,MATCH(B557,Accounts!$A$5:$A$336,0))</f>
        <v>Financial Services</v>
      </c>
      <c r="Q557" s="17" t="str">
        <f aca="false">INDEX(Accounts!$D$5:$D$336,MATCH(B557,Accounts!$A$5:$A$336,0))</f>
        <v>Standard</v>
      </c>
      <c r="R557" s="7" t="n">
        <f aca="false">INDEX(Inputs!$B$11:$B$16,MATCH(E557,Inputs!$A$11:$A$16,0))</f>
        <v>10</v>
      </c>
      <c r="S557" s="27" t="n">
        <f aca="false">IF(F557="",0,F557)*R557/100</f>
        <v>2027700</v>
      </c>
      <c r="T557" s="7" t="n">
        <f aca="false">Inputs!$B$4-J557</f>
        <v>36</v>
      </c>
      <c r="U557" s="7" t="n">
        <f aca="false">IF(OR(F557="",F557=0),1,0)</f>
        <v>0</v>
      </c>
      <c r="V557" s="7" t="n">
        <f aca="false">IF(K557="",1,0)</f>
        <v>0</v>
      </c>
      <c r="W557" s="7" t="n">
        <f aca="false">IF(AND(O557=1,K557&lt;&gt;"",COUNTIFS(Owners!$A$5:$A$32,K557,Owners!$E$5:$E$32,"No")&gt;0),1,0)</f>
        <v>0</v>
      </c>
      <c r="X557" s="7" t="n">
        <f aca="false">IF(AND(O557=1,I557&lt;Inputs!$B$4),1,0)</f>
        <v>0</v>
      </c>
      <c r="Y557" s="7" t="n">
        <f aca="false">IF(AND(O557=1,T557&gt;Inputs!$B$5),1,0)</f>
        <v>0</v>
      </c>
      <c r="Z557" s="7" t="n">
        <f aca="false">IF(AND(O557=1,G557&lt;&gt;R557),1,0)</f>
        <v>0</v>
      </c>
      <c r="AA557" s="7" t="n">
        <f aca="false">IF(AND(O557=1,M557=""),1,0)</f>
        <v>0</v>
      </c>
      <c r="AB557" s="7" t="n">
        <f aca="false">IF(AND(E557="Closed Lost",N557=""),1,0)</f>
        <v>0</v>
      </c>
      <c r="AC557" s="7" t="n">
        <f aca="false">SUM(U557:AB557)</f>
        <v>0</v>
      </c>
      <c r="AD557" s="7" t="n">
        <f aca="false">IF(AC557=0,1,0)</f>
        <v>1</v>
      </c>
      <c r="AE557" s="7" t="n">
        <f aca="false">IF(AND(O557=1,I557&gt;=Inputs!$B$6,I557&lt;=Inputs!$B$7),1,0)</f>
        <v>1</v>
      </c>
      <c r="AF557" s="7" t="n">
        <f aca="false">IF(AND(E557="Closed Won",I557&gt;=Inputs!$B$6,I557&lt;=Inputs!$B$4),1,0)</f>
        <v>0</v>
      </c>
      <c r="AG557" s="7" t="n">
        <f aca="false">IF(AND(O557=0,I557&gt;Inputs!$B$4-Inputs!$B$8,I557&lt;=Inputs!$B$4),1,0)</f>
        <v>0</v>
      </c>
      <c r="AH557" s="7" t="n">
        <f aca="false">I557-H557</f>
        <v>331</v>
      </c>
    </row>
    <row r="558" customFormat="false" ht="15" hidden="false" customHeight="false" outlineLevel="0" collapsed="false">
      <c r="A558" s="16" t="s">
        <v>1809</v>
      </c>
      <c r="B558" s="16" t="s">
        <v>799</v>
      </c>
      <c r="C558" s="16" t="s">
        <v>1810</v>
      </c>
      <c r="D558" s="16" t="s">
        <v>165</v>
      </c>
      <c r="E558" s="16" t="s">
        <v>531</v>
      </c>
      <c r="F558" s="26" t="n">
        <v>19340000</v>
      </c>
      <c r="G558" s="25" t="n">
        <v>0</v>
      </c>
      <c r="H558" s="22" t="n">
        <v>46064</v>
      </c>
      <c r="I558" s="22" t="n">
        <v>46154</v>
      </c>
      <c r="J558" s="22" t="n">
        <v>46154</v>
      </c>
      <c r="K558" s="16" t="s">
        <v>646</v>
      </c>
      <c r="L558" s="16" t="s">
        <v>574</v>
      </c>
      <c r="M558" s="16"/>
      <c r="N558" s="16" t="s">
        <v>597</v>
      </c>
      <c r="O558" s="7" t="n">
        <f aca="false">IF(OR(E558="Closed Won",E558="Closed Lost"),0,1)</f>
        <v>0</v>
      </c>
      <c r="P558" s="17" t="str">
        <f aca="false">INDEX(Accounts!$K$5:$K$336,MATCH(B558,Accounts!$A$5:$A$336,0))</f>
        <v>Technology, Media &amp; Telecom</v>
      </c>
      <c r="Q558" s="17" t="str">
        <f aca="false">INDEX(Accounts!$D$5:$D$336,MATCH(B558,Accounts!$A$5:$A$336,0))</f>
        <v>Standard</v>
      </c>
      <c r="R558" s="7" t="n">
        <f aca="false">INDEX(Inputs!$B$11:$B$16,MATCH(E558,Inputs!$A$11:$A$16,0))</f>
        <v>0</v>
      </c>
      <c r="S558" s="27" t="n">
        <f aca="false">IF(F558="",0,F558)*R558/100</f>
        <v>0</v>
      </c>
      <c r="T558" s="7" t="n">
        <f aca="false">Inputs!$B$4-J558</f>
        <v>160</v>
      </c>
      <c r="U558" s="7" t="n">
        <f aca="false">IF(OR(F558="",F558=0),1,0)</f>
        <v>0</v>
      </c>
      <c r="V558" s="7" t="n">
        <f aca="false">IF(K558="",1,0)</f>
        <v>0</v>
      </c>
      <c r="W558" s="7" t="n">
        <f aca="false">IF(AND(O558=1,K558&lt;&gt;"",COUNTIFS(Owners!$A$5:$A$32,K558,Owners!$E$5:$E$32,"No")&gt;0),1,0)</f>
        <v>0</v>
      </c>
      <c r="X558" s="7" t="n">
        <f aca="false">IF(AND(O558=1,I558&lt;Inputs!$B$4),1,0)</f>
        <v>0</v>
      </c>
      <c r="Y558" s="7" t="n">
        <f aca="false">IF(AND(O558=1,T558&gt;Inputs!$B$5),1,0)</f>
        <v>0</v>
      </c>
      <c r="Z558" s="7" t="n">
        <f aca="false">IF(AND(O558=1,G558&lt;&gt;R558),1,0)</f>
        <v>0</v>
      </c>
      <c r="AA558" s="7" t="n">
        <f aca="false">IF(AND(O558=1,M558=""),1,0)</f>
        <v>0</v>
      </c>
      <c r="AB558" s="7" t="n">
        <f aca="false">IF(AND(E558="Closed Lost",N558=""),1,0)</f>
        <v>0</v>
      </c>
      <c r="AC558" s="7" t="n">
        <f aca="false">SUM(U558:AB558)</f>
        <v>0</v>
      </c>
      <c r="AD558" s="7" t="n">
        <f aca="false">IF(AC558=0,1,0)</f>
        <v>1</v>
      </c>
      <c r="AE558" s="7" t="n">
        <f aca="false">IF(AND(O558=1,I558&gt;=Inputs!$B$6,I558&lt;=Inputs!$B$7),1,0)</f>
        <v>0</v>
      </c>
      <c r="AF558" s="7" t="n">
        <f aca="false">IF(AND(E558="Closed Won",I558&gt;=Inputs!$B$6,I558&lt;=Inputs!$B$4),1,0)</f>
        <v>0</v>
      </c>
      <c r="AG558" s="7" t="n">
        <f aca="false">IF(AND(O558=0,I558&gt;Inputs!$B$4-Inputs!$B$8,I558&lt;=Inputs!$B$4),1,0)</f>
        <v>1</v>
      </c>
      <c r="AH558" s="7" t="n">
        <f aca="false">I558-H558</f>
        <v>90</v>
      </c>
    </row>
    <row r="559" customFormat="false" ht="15" hidden="false" customHeight="false" outlineLevel="0" collapsed="false">
      <c r="A559" s="16" t="s">
        <v>1811</v>
      </c>
      <c r="B559" s="16" t="s">
        <v>88</v>
      </c>
      <c r="C559" s="16" t="s">
        <v>1812</v>
      </c>
      <c r="D559" s="16" t="s">
        <v>167</v>
      </c>
      <c r="E559" s="16" t="s">
        <v>531</v>
      </c>
      <c r="F559" s="26" t="n">
        <v>22411000</v>
      </c>
      <c r="G559" s="25" t="n">
        <v>0</v>
      </c>
      <c r="H559" s="22" t="n">
        <v>45928</v>
      </c>
      <c r="I559" s="22" t="n">
        <v>46064</v>
      </c>
      <c r="J559" s="22" t="n">
        <v>46064</v>
      </c>
      <c r="K559" s="16" t="s">
        <v>765</v>
      </c>
      <c r="L559" s="16" t="s">
        <v>568</v>
      </c>
      <c r="M559" s="16"/>
      <c r="N559" s="16"/>
      <c r="O559" s="7" t="n">
        <f aca="false">IF(OR(E559="Closed Won",E559="Closed Lost"),0,1)</f>
        <v>0</v>
      </c>
      <c r="P559" s="17" t="str">
        <f aca="false">INDEX(Accounts!$K$5:$K$336,MATCH(B559,Accounts!$A$5:$A$336,0))</f>
        <v>Agribusiness</v>
      </c>
      <c r="Q559" s="17" t="str">
        <f aca="false">INDEX(Accounts!$D$5:$D$336,MATCH(B559,Accounts!$A$5:$A$336,0))</f>
        <v>Priority</v>
      </c>
      <c r="R559" s="7" t="n">
        <f aca="false">INDEX(Inputs!$B$11:$B$16,MATCH(E559,Inputs!$A$11:$A$16,0))</f>
        <v>0</v>
      </c>
      <c r="S559" s="27" t="n">
        <f aca="false">IF(F559="",0,F559)*R559/100</f>
        <v>0</v>
      </c>
      <c r="T559" s="7" t="n">
        <f aca="false">Inputs!$B$4-J559</f>
        <v>250</v>
      </c>
      <c r="U559" s="7" t="n">
        <f aca="false">IF(OR(F559="",F559=0),1,0)</f>
        <v>0</v>
      </c>
      <c r="V559" s="7" t="n">
        <f aca="false">IF(K559="",1,0)</f>
        <v>0</v>
      </c>
      <c r="W559" s="7" t="n">
        <f aca="false">IF(AND(O559=1,K559&lt;&gt;"",COUNTIFS(Owners!$A$5:$A$32,K559,Owners!$E$5:$E$32,"No")&gt;0),1,0)</f>
        <v>0</v>
      </c>
      <c r="X559" s="7" t="n">
        <f aca="false">IF(AND(O559=1,I559&lt;Inputs!$B$4),1,0)</f>
        <v>0</v>
      </c>
      <c r="Y559" s="7" t="n">
        <f aca="false">IF(AND(O559=1,T559&gt;Inputs!$B$5),1,0)</f>
        <v>0</v>
      </c>
      <c r="Z559" s="7" t="n">
        <f aca="false">IF(AND(O559=1,G559&lt;&gt;R559),1,0)</f>
        <v>0</v>
      </c>
      <c r="AA559" s="7" t="n">
        <f aca="false">IF(AND(O559=1,M559=""),1,0)</f>
        <v>0</v>
      </c>
      <c r="AB559" s="7" t="n">
        <f aca="false">IF(AND(E559="Closed Lost",N559=""),1,0)</f>
        <v>1</v>
      </c>
      <c r="AC559" s="7" t="n">
        <f aca="false">SUM(U559:AB559)</f>
        <v>1</v>
      </c>
      <c r="AD559" s="7" t="n">
        <f aca="false">IF(AC559=0,1,0)</f>
        <v>0</v>
      </c>
      <c r="AE559" s="7" t="n">
        <f aca="false">IF(AND(O559=1,I559&gt;=Inputs!$B$6,I559&lt;=Inputs!$B$7),1,0)</f>
        <v>0</v>
      </c>
      <c r="AF559" s="7" t="n">
        <f aca="false">IF(AND(E559="Closed Won",I559&gt;=Inputs!$B$6,I559&lt;=Inputs!$B$4),1,0)</f>
        <v>0</v>
      </c>
      <c r="AG559" s="7" t="n">
        <f aca="false">IF(AND(O559=0,I559&gt;Inputs!$B$4-Inputs!$B$8,I559&lt;=Inputs!$B$4),1,0)</f>
        <v>1</v>
      </c>
      <c r="AH559" s="7" t="n">
        <f aca="false">I559-H559</f>
        <v>136</v>
      </c>
    </row>
    <row r="560" customFormat="false" ht="15" hidden="false" customHeight="false" outlineLevel="0" collapsed="false">
      <c r="A560" s="16" t="s">
        <v>1813</v>
      </c>
      <c r="B560" s="16" t="s">
        <v>1025</v>
      </c>
      <c r="C560" s="16" t="s">
        <v>1814</v>
      </c>
      <c r="D560" s="16" t="s">
        <v>162</v>
      </c>
      <c r="E560" s="16" t="s">
        <v>531</v>
      </c>
      <c r="F560" s="26" t="n">
        <v>7389000</v>
      </c>
      <c r="G560" s="25" t="n">
        <v>0</v>
      </c>
      <c r="H560" s="22" t="n">
        <v>45922</v>
      </c>
      <c r="I560" s="22" t="n">
        <v>46205</v>
      </c>
      <c r="J560" s="22" t="n">
        <v>46205</v>
      </c>
      <c r="K560" s="16" t="s">
        <v>604</v>
      </c>
      <c r="L560" s="16" t="s">
        <v>584</v>
      </c>
      <c r="M560" s="16"/>
      <c r="N560" s="16" t="s">
        <v>610</v>
      </c>
      <c r="O560" s="7" t="n">
        <f aca="false">IF(OR(E560="Closed Won",E560="Closed Lost"),0,1)</f>
        <v>0</v>
      </c>
      <c r="P560" s="17" t="str">
        <f aca="false">INDEX(Accounts!$K$5:$K$336,MATCH(B560,Accounts!$A$5:$A$336,0))</f>
        <v>Public Sector &amp; Development</v>
      </c>
      <c r="Q560" s="17" t="str">
        <f aca="false">INDEX(Accounts!$D$5:$D$336,MATCH(B560,Accounts!$A$5:$A$336,0))</f>
        <v>Key</v>
      </c>
      <c r="R560" s="7" t="n">
        <f aca="false">INDEX(Inputs!$B$11:$B$16,MATCH(E560,Inputs!$A$11:$A$16,0))</f>
        <v>0</v>
      </c>
      <c r="S560" s="27" t="n">
        <f aca="false">IF(F560="",0,F560)*R560/100</f>
        <v>0</v>
      </c>
      <c r="T560" s="7" t="n">
        <f aca="false">Inputs!$B$4-J560</f>
        <v>109</v>
      </c>
      <c r="U560" s="7" t="n">
        <f aca="false">IF(OR(F560="",F560=0),1,0)</f>
        <v>0</v>
      </c>
      <c r="V560" s="7" t="n">
        <f aca="false">IF(K560="",1,0)</f>
        <v>0</v>
      </c>
      <c r="W560" s="7" t="n">
        <f aca="false">IF(AND(O560=1,K560&lt;&gt;"",COUNTIFS(Owners!$A$5:$A$32,K560,Owners!$E$5:$E$32,"No")&gt;0),1,0)</f>
        <v>0</v>
      </c>
      <c r="X560" s="7" t="n">
        <f aca="false">IF(AND(O560=1,I560&lt;Inputs!$B$4),1,0)</f>
        <v>0</v>
      </c>
      <c r="Y560" s="7" t="n">
        <f aca="false">IF(AND(O560=1,T560&gt;Inputs!$B$5),1,0)</f>
        <v>0</v>
      </c>
      <c r="Z560" s="7" t="n">
        <f aca="false">IF(AND(O560=1,G560&lt;&gt;R560),1,0)</f>
        <v>0</v>
      </c>
      <c r="AA560" s="7" t="n">
        <f aca="false">IF(AND(O560=1,M560=""),1,0)</f>
        <v>0</v>
      </c>
      <c r="AB560" s="7" t="n">
        <f aca="false">IF(AND(E560="Closed Lost",N560=""),1,0)</f>
        <v>0</v>
      </c>
      <c r="AC560" s="7" t="n">
        <f aca="false">SUM(U560:AB560)</f>
        <v>0</v>
      </c>
      <c r="AD560" s="7" t="n">
        <f aca="false">IF(AC560=0,1,0)</f>
        <v>1</v>
      </c>
      <c r="AE560" s="7" t="n">
        <f aca="false">IF(AND(O560=1,I560&gt;=Inputs!$B$6,I560&lt;=Inputs!$B$7),1,0)</f>
        <v>0</v>
      </c>
      <c r="AF560" s="7" t="n">
        <f aca="false">IF(AND(E560="Closed Won",I560&gt;=Inputs!$B$6,I560&lt;=Inputs!$B$4),1,0)</f>
        <v>0</v>
      </c>
      <c r="AG560" s="7" t="n">
        <f aca="false">IF(AND(O560=0,I560&gt;Inputs!$B$4-Inputs!$B$8,I560&lt;=Inputs!$B$4),1,0)</f>
        <v>1</v>
      </c>
      <c r="AH560" s="7" t="n">
        <f aca="false">I560-H560</f>
        <v>283</v>
      </c>
    </row>
    <row r="561" customFormat="false" ht="15" hidden="false" customHeight="false" outlineLevel="0" collapsed="false">
      <c r="A561" s="16" t="s">
        <v>1815</v>
      </c>
      <c r="B561" s="16" t="s">
        <v>248</v>
      </c>
      <c r="C561" s="16" t="s">
        <v>1816</v>
      </c>
      <c r="D561" s="16" t="s">
        <v>158</v>
      </c>
      <c r="E561" s="16" t="s">
        <v>531</v>
      </c>
      <c r="F561" s="26" t="n">
        <v>43277000</v>
      </c>
      <c r="G561" s="25" t="n">
        <v>0</v>
      </c>
      <c r="H561" s="22" t="n">
        <v>45983</v>
      </c>
      <c r="I561" s="22" t="n">
        <v>46153</v>
      </c>
      <c r="J561" s="22" t="n">
        <v>46153</v>
      </c>
      <c r="K561" s="16" t="s">
        <v>600</v>
      </c>
      <c r="L561" s="16" t="s">
        <v>568</v>
      </c>
      <c r="M561" s="16"/>
      <c r="N561" s="16" t="s">
        <v>697</v>
      </c>
      <c r="O561" s="7" t="n">
        <f aca="false">IF(OR(E561="Closed Won",E561="Closed Lost"),0,1)</f>
        <v>0</v>
      </c>
      <c r="P561" s="17" t="str">
        <f aca="false">INDEX(Accounts!$K$5:$K$336,MATCH(B561,Accounts!$A$5:$A$336,0))</f>
        <v>Energy &amp; Resources</v>
      </c>
      <c r="Q561" s="17" t="str">
        <f aca="false">INDEX(Accounts!$D$5:$D$336,MATCH(B561,Accounts!$A$5:$A$336,0))</f>
        <v>Key</v>
      </c>
      <c r="R561" s="7" t="n">
        <f aca="false">INDEX(Inputs!$B$11:$B$16,MATCH(E561,Inputs!$A$11:$A$16,0))</f>
        <v>0</v>
      </c>
      <c r="S561" s="27" t="n">
        <f aca="false">IF(F561="",0,F561)*R561/100</f>
        <v>0</v>
      </c>
      <c r="T561" s="7" t="n">
        <f aca="false">Inputs!$B$4-J561</f>
        <v>161</v>
      </c>
      <c r="U561" s="7" t="n">
        <f aca="false">IF(OR(F561="",F561=0),1,0)</f>
        <v>0</v>
      </c>
      <c r="V561" s="7" t="n">
        <f aca="false">IF(K561="",1,0)</f>
        <v>0</v>
      </c>
      <c r="W561" s="7" t="n">
        <f aca="false">IF(AND(O561=1,K561&lt;&gt;"",COUNTIFS(Owners!$A$5:$A$32,K561,Owners!$E$5:$E$32,"No")&gt;0),1,0)</f>
        <v>0</v>
      </c>
      <c r="X561" s="7" t="n">
        <f aca="false">IF(AND(O561=1,I561&lt;Inputs!$B$4),1,0)</f>
        <v>0</v>
      </c>
      <c r="Y561" s="7" t="n">
        <f aca="false">IF(AND(O561=1,T561&gt;Inputs!$B$5),1,0)</f>
        <v>0</v>
      </c>
      <c r="Z561" s="7" t="n">
        <f aca="false">IF(AND(O561=1,G561&lt;&gt;R561),1,0)</f>
        <v>0</v>
      </c>
      <c r="AA561" s="7" t="n">
        <f aca="false">IF(AND(O561=1,M561=""),1,0)</f>
        <v>0</v>
      </c>
      <c r="AB561" s="7" t="n">
        <f aca="false">IF(AND(E561="Closed Lost",N561=""),1,0)</f>
        <v>0</v>
      </c>
      <c r="AC561" s="7" t="n">
        <f aca="false">SUM(U561:AB561)</f>
        <v>0</v>
      </c>
      <c r="AD561" s="7" t="n">
        <f aca="false">IF(AC561=0,1,0)</f>
        <v>1</v>
      </c>
      <c r="AE561" s="7" t="n">
        <f aca="false">IF(AND(O561=1,I561&gt;=Inputs!$B$6,I561&lt;=Inputs!$B$7),1,0)</f>
        <v>0</v>
      </c>
      <c r="AF561" s="7" t="n">
        <f aca="false">IF(AND(E561="Closed Won",I561&gt;=Inputs!$B$6,I561&lt;=Inputs!$B$4),1,0)</f>
        <v>0</v>
      </c>
      <c r="AG561" s="7" t="n">
        <f aca="false">IF(AND(O561=0,I561&gt;Inputs!$B$4-Inputs!$B$8,I561&lt;=Inputs!$B$4),1,0)</f>
        <v>1</v>
      </c>
      <c r="AH561" s="7" t="n">
        <f aca="false">I561-H561</f>
        <v>170</v>
      </c>
    </row>
    <row r="562" customFormat="false" ht="15" hidden="false" customHeight="false" outlineLevel="0" collapsed="false">
      <c r="A562" s="16" t="s">
        <v>1817</v>
      </c>
      <c r="B562" s="16" t="s">
        <v>206</v>
      </c>
      <c r="C562" s="16" t="s">
        <v>1818</v>
      </c>
      <c r="D562" s="16" t="s">
        <v>167</v>
      </c>
      <c r="E562" s="16" t="s">
        <v>531</v>
      </c>
      <c r="F562" s="26" t="n">
        <v>6625000</v>
      </c>
      <c r="G562" s="25" t="n">
        <v>0</v>
      </c>
      <c r="H562" s="22" t="n">
        <v>45896</v>
      </c>
      <c r="I562" s="22" t="n">
        <v>46039</v>
      </c>
      <c r="J562" s="22" t="n">
        <v>46039</v>
      </c>
      <c r="K562" s="16" t="s">
        <v>596</v>
      </c>
      <c r="L562" s="16" t="s">
        <v>584</v>
      </c>
      <c r="M562" s="16"/>
      <c r="N562" s="16" t="s">
        <v>722</v>
      </c>
      <c r="O562" s="7" t="n">
        <f aca="false">IF(OR(E562="Closed Won",E562="Closed Lost"),0,1)</f>
        <v>0</v>
      </c>
      <c r="P562" s="17" t="str">
        <f aca="false">INDEX(Accounts!$K$5:$K$336,MATCH(B562,Accounts!$A$5:$A$336,0))</f>
        <v>Agribusiness</v>
      </c>
      <c r="Q562" s="17" t="str">
        <f aca="false">INDEX(Accounts!$D$5:$D$336,MATCH(B562,Accounts!$A$5:$A$336,0))</f>
        <v>Standard</v>
      </c>
      <c r="R562" s="7" t="n">
        <f aca="false">INDEX(Inputs!$B$11:$B$16,MATCH(E562,Inputs!$A$11:$A$16,0))</f>
        <v>0</v>
      </c>
      <c r="S562" s="27" t="n">
        <f aca="false">IF(F562="",0,F562)*R562/100</f>
        <v>0</v>
      </c>
      <c r="T562" s="7" t="n">
        <f aca="false">Inputs!$B$4-J562</f>
        <v>275</v>
      </c>
      <c r="U562" s="7" t="n">
        <f aca="false">IF(OR(F562="",F562=0),1,0)</f>
        <v>0</v>
      </c>
      <c r="V562" s="7" t="n">
        <f aca="false">IF(K562="",1,0)</f>
        <v>0</v>
      </c>
      <c r="W562" s="7" t="n">
        <f aca="false">IF(AND(O562=1,K562&lt;&gt;"",COUNTIFS(Owners!$A$5:$A$32,K562,Owners!$E$5:$E$32,"No")&gt;0),1,0)</f>
        <v>0</v>
      </c>
      <c r="X562" s="7" t="n">
        <f aca="false">IF(AND(O562=1,I562&lt;Inputs!$B$4),1,0)</f>
        <v>0</v>
      </c>
      <c r="Y562" s="7" t="n">
        <f aca="false">IF(AND(O562=1,T562&gt;Inputs!$B$5),1,0)</f>
        <v>0</v>
      </c>
      <c r="Z562" s="7" t="n">
        <f aca="false">IF(AND(O562=1,G562&lt;&gt;R562),1,0)</f>
        <v>0</v>
      </c>
      <c r="AA562" s="7" t="n">
        <f aca="false">IF(AND(O562=1,M562=""),1,0)</f>
        <v>0</v>
      </c>
      <c r="AB562" s="7" t="n">
        <f aca="false">IF(AND(E562="Closed Lost",N562=""),1,0)</f>
        <v>0</v>
      </c>
      <c r="AC562" s="7" t="n">
        <f aca="false">SUM(U562:AB562)</f>
        <v>0</v>
      </c>
      <c r="AD562" s="7" t="n">
        <f aca="false">IF(AC562=0,1,0)</f>
        <v>1</v>
      </c>
      <c r="AE562" s="7" t="n">
        <f aca="false">IF(AND(O562=1,I562&gt;=Inputs!$B$6,I562&lt;=Inputs!$B$7),1,0)</f>
        <v>0</v>
      </c>
      <c r="AF562" s="7" t="n">
        <f aca="false">IF(AND(E562="Closed Won",I562&gt;=Inputs!$B$6,I562&lt;=Inputs!$B$4),1,0)</f>
        <v>0</v>
      </c>
      <c r="AG562" s="7" t="n">
        <f aca="false">IF(AND(O562=0,I562&gt;Inputs!$B$4-Inputs!$B$8,I562&lt;=Inputs!$B$4),1,0)</f>
        <v>1</v>
      </c>
      <c r="AH562" s="7" t="n">
        <f aca="false">I562-H562</f>
        <v>143</v>
      </c>
    </row>
    <row r="563" customFormat="false" ht="15" hidden="false" customHeight="false" outlineLevel="0" collapsed="false">
      <c r="A563" s="16" t="s">
        <v>1819</v>
      </c>
      <c r="B563" s="16" t="s">
        <v>1348</v>
      </c>
      <c r="C563" s="16" t="s">
        <v>1820</v>
      </c>
      <c r="D563" s="16" t="s">
        <v>162</v>
      </c>
      <c r="E563" s="16" t="s">
        <v>531</v>
      </c>
      <c r="F563" s="26" t="n">
        <v>5057000</v>
      </c>
      <c r="G563" s="25" t="n">
        <v>0</v>
      </c>
      <c r="H563" s="22" t="n">
        <v>46038</v>
      </c>
      <c r="I563" s="22" t="n">
        <v>46230</v>
      </c>
      <c r="J563" s="22" t="n">
        <v>46230</v>
      </c>
      <c r="K563" s="16" t="s">
        <v>831</v>
      </c>
      <c r="L563" s="16" t="s">
        <v>568</v>
      </c>
      <c r="M563" s="16"/>
      <c r="N563" s="16" t="s">
        <v>579</v>
      </c>
      <c r="O563" s="7" t="n">
        <f aca="false">IF(OR(E563="Closed Won",E563="Closed Lost"),0,1)</f>
        <v>0</v>
      </c>
      <c r="P563" s="17" t="str">
        <f aca="false">INDEX(Accounts!$K$5:$K$336,MATCH(B563,Accounts!$A$5:$A$336,0))</f>
        <v>Public Sector &amp; Development</v>
      </c>
      <c r="Q563" s="17" t="str">
        <f aca="false">INDEX(Accounts!$D$5:$D$336,MATCH(B563,Accounts!$A$5:$A$336,0))</f>
        <v>Standard</v>
      </c>
      <c r="R563" s="7" t="n">
        <f aca="false">INDEX(Inputs!$B$11:$B$16,MATCH(E563,Inputs!$A$11:$A$16,0))</f>
        <v>0</v>
      </c>
      <c r="S563" s="27" t="n">
        <f aca="false">IF(F563="",0,F563)*R563/100</f>
        <v>0</v>
      </c>
      <c r="T563" s="7" t="n">
        <f aca="false">Inputs!$B$4-J563</f>
        <v>84</v>
      </c>
      <c r="U563" s="7" t="n">
        <f aca="false">IF(OR(F563="",F563=0),1,0)</f>
        <v>0</v>
      </c>
      <c r="V563" s="7" t="n">
        <f aca="false">IF(K563="",1,0)</f>
        <v>0</v>
      </c>
      <c r="W563" s="7" t="n">
        <f aca="false">IF(AND(O563=1,K563&lt;&gt;"",COUNTIFS(Owners!$A$5:$A$32,K563,Owners!$E$5:$E$32,"No")&gt;0),1,0)</f>
        <v>0</v>
      </c>
      <c r="X563" s="7" t="n">
        <f aca="false">IF(AND(O563=1,I563&lt;Inputs!$B$4),1,0)</f>
        <v>0</v>
      </c>
      <c r="Y563" s="7" t="n">
        <f aca="false">IF(AND(O563=1,T563&gt;Inputs!$B$5),1,0)</f>
        <v>0</v>
      </c>
      <c r="Z563" s="7" t="n">
        <f aca="false">IF(AND(O563=1,G563&lt;&gt;R563),1,0)</f>
        <v>0</v>
      </c>
      <c r="AA563" s="7" t="n">
        <f aca="false">IF(AND(O563=1,M563=""),1,0)</f>
        <v>0</v>
      </c>
      <c r="AB563" s="7" t="n">
        <f aca="false">IF(AND(E563="Closed Lost",N563=""),1,0)</f>
        <v>0</v>
      </c>
      <c r="AC563" s="7" t="n">
        <f aca="false">SUM(U563:AB563)</f>
        <v>0</v>
      </c>
      <c r="AD563" s="7" t="n">
        <f aca="false">IF(AC563=0,1,0)</f>
        <v>1</v>
      </c>
      <c r="AE563" s="7" t="n">
        <f aca="false">IF(AND(O563=1,I563&gt;=Inputs!$B$6,I563&lt;=Inputs!$B$7),1,0)</f>
        <v>0</v>
      </c>
      <c r="AF563" s="7" t="n">
        <f aca="false">IF(AND(E563="Closed Won",I563&gt;=Inputs!$B$6,I563&lt;=Inputs!$B$4),1,0)</f>
        <v>0</v>
      </c>
      <c r="AG563" s="7" t="n">
        <f aca="false">IF(AND(O563=0,I563&gt;Inputs!$B$4-Inputs!$B$8,I563&lt;=Inputs!$B$4),1,0)</f>
        <v>1</v>
      </c>
      <c r="AH563" s="7" t="n">
        <f aca="false">I563-H563</f>
        <v>192</v>
      </c>
    </row>
    <row r="564" customFormat="false" ht="15" hidden="false" customHeight="false" outlineLevel="0" collapsed="false">
      <c r="A564" s="16" t="s">
        <v>1821</v>
      </c>
      <c r="B564" s="16" t="s">
        <v>182</v>
      </c>
      <c r="C564" s="16" t="s">
        <v>1709</v>
      </c>
      <c r="D564" s="16" t="s">
        <v>162</v>
      </c>
      <c r="E564" s="16" t="s">
        <v>530</v>
      </c>
      <c r="F564" s="26" t="n">
        <v>7722000</v>
      </c>
      <c r="G564" s="25" t="n">
        <v>100</v>
      </c>
      <c r="H564" s="22" t="n">
        <v>45900</v>
      </c>
      <c r="I564" s="22" t="n">
        <v>46065</v>
      </c>
      <c r="J564" s="22" t="n">
        <v>46065</v>
      </c>
      <c r="K564" s="16" t="s">
        <v>573</v>
      </c>
      <c r="L564" s="16" t="s">
        <v>568</v>
      </c>
      <c r="M564" s="16"/>
      <c r="N564" s="16"/>
      <c r="O564" s="7" t="n">
        <f aca="false">IF(OR(E564="Closed Won",E564="Closed Lost"),0,1)</f>
        <v>0</v>
      </c>
      <c r="P564" s="17" t="str">
        <f aca="false">INDEX(Accounts!$K$5:$K$336,MATCH(B564,Accounts!$A$5:$A$336,0))</f>
        <v>Public Sector &amp; Development</v>
      </c>
      <c r="Q564" s="17" t="str">
        <f aca="false">INDEX(Accounts!$D$5:$D$336,MATCH(B564,Accounts!$A$5:$A$336,0))</f>
        <v>Key</v>
      </c>
      <c r="R564" s="7" t="n">
        <f aca="false">INDEX(Inputs!$B$11:$B$16,MATCH(E564,Inputs!$A$11:$A$16,0))</f>
        <v>100</v>
      </c>
      <c r="S564" s="27" t="n">
        <f aca="false">IF(F564="",0,F564)*R564/100</f>
        <v>7722000</v>
      </c>
      <c r="T564" s="7" t="n">
        <f aca="false">Inputs!$B$4-J564</f>
        <v>249</v>
      </c>
      <c r="U564" s="7" t="n">
        <f aca="false">IF(OR(F564="",F564=0),1,0)</f>
        <v>0</v>
      </c>
      <c r="V564" s="7" t="n">
        <f aca="false">IF(K564="",1,0)</f>
        <v>0</v>
      </c>
      <c r="W564" s="7" t="n">
        <f aca="false">IF(AND(O564=1,K564&lt;&gt;"",COUNTIFS(Owners!$A$5:$A$32,K564,Owners!$E$5:$E$32,"No")&gt;0),1,0)</f>
        <v>0</v>
      </c>
      <c r="X564" s="7" t="n">
        <f aca="false">IF(AND(O564=1,I564&lt;Inputs!$B$4),1,0)</f>
        <v>0</v>
      </c>
      <c r="Y564" s="7" t="n">
        <f aca="false">IF(AND(O564=1,T564&gt;Inputs!$B$5),1,0)</f>
        <v>0</v>
      </c>
      <c r="Z564" s="7" t="n">
        <f aca="false">IF(AND(O564=1,G564&lt;&gt;R564),1,0)</f>
        <v>0</v>
      </c>
      <c r="AA564" s="7" t="n">
        <f aca="false">IF(AND(O564=1,M564=""),1,0)</f>
        <v>0</v>
      </c>
      <c r="AB564" s="7" t="n">
        <f aca="false">IF(AND(E564="Closed Lost",N564=""),1,0)</f>
        <v>0</v>
      </c>
      <c r="AC564" s="7" t="n">
        <f aca="false">SUM(U564:AB564)</f>
        <v>0</v>
      </c>
      <c r="AD564" s="7" t="n">
        <f aca="false">IF(AC564=0,1,0)</f>
        <v>1</v>
      </c>
      <c r="AE564" s="7" t="n">
        <f aca="false">IF(AND(O564=1,I564&gt;=Inputs!$B$6,I564&lt;=Inputs!$B$7),1,0)</f>
        <v>0</v>
      </c>
      <c r="AF564" s="7" t="n">
        <f aca="false">IF(AND(E564="Closed Won",I564&gt;=Inputs!$B$6,I564&lt;=Inputs!$B$4),1,0)</f>
        <v>0</v>
      </c>
      <c r="AG564" s="7" t="n">
        <f aca="false">IF(AND(O564=0,I564&gt;Inputs!$B$4-Inputs!$B$8,I564&lt;=Inputs!$B$4),1,0)</f>
        <v>1</v>
      </c>
      <c r="AH564" s="7" t="n">
        <f aca="false">I564-H564</f>
        <v>165</v>
      </c>
    </row>
    <row r="565" customFormat="false" ht="15" hidden="false" customHeight="false" outlineLevel="0" collapsed="false">
      <c r="A565" s="16" t="s">
        <v>1822</v>
      </c>
      <c r="B565" s="16" t="s">
        <v>448</v>
      </c>
      <c r="C565" s="16" t="s">
        <v>1823</v>
      </c>
      <c r="D565" s="16" t="s">
        <v>165</v>
      </c>
      <c r="E565" s="16" t="s">
        <v>531</v>
      </c>
      <c r="F565" s="26" t="n">
        <v>53477000</v>
      </c>
      <c r="G565" s="25" t="n">
        <v>0</v>
      </c>
      <c r="H565" s="22" t="n">
        <v>46126</v>
      </c>
      <c r="I565" s="22" t="n">
        <v>46280</v>
      </c>
      <c r="J565" s="22" t="n">
        <v>46280</v>
      </c>
      <c r="K565" s="16" t="s">
        <v>860</v>
      </c>
      <c r="L565" s="16" t="s">
        <v>568</v>
      </c>
      <c r="M565" s="16"/>
      <c r="N565" s="16" t="s">
        <v>597</v>
      </c>
      <c r="O565" s="7" t="n">
        <f aca="false">IF(OR(E565="Closed Won",E565="Closed Lost"),0,1)</f>
        <v>0</v>
      </c>
      <c r="P565" s="17" t="str">
        <f aca="false">INDEX(Accounts!$K$5:$K$336,MATCH(B565,Accounts!$A$5:$A$336,0))</f>
        <v>Technology, Media &amp; Telecom</v>
      </c>
      <c r="Q565" s="17" t="str">
        <f aca="false">INDEX(Accounts!$D$5:$D$336,MATCH(B565,Accounts!$A$5:$A$336,0))</f>
        <v>Key</v>
      </c>
      <c r="R565" s="7" t="n">
        <f aca="false">INDEX(Inputs!$B$11:$B$16,MATCH(E565,Inputs!$A$11:$A$16,0))</f>
        <v>0</v>
      </c>
      <c r="S565" s="27" t="n">
        <f aca="false">IF(F565="",0,F565)*R565/100</f>
        <v>0</v>
      </c>
      <c r="T565" s="7" t="n">
        <f aca="false">Inputs!$B$4-J565</f>
        <v>34</v>
      </c>
      <c r="U565" s="7" t="n">
        <f aca="false">IF(OR(F565="",F565=0),1,0)</f>
        <v>0</v>
      </c>
      <c r="V565" s="7" t="n">
        <f aca="false">IF(K565="",1,0)</f>
        <v>0</v>
      </c>
      <c r="W565" s="7" t="n">
        <f aca="false">IF(AND(O565=1,K565&lt;&gt;"",COUNTIFS(Owners!$A$5:$A$32,K565,Owners!$E$5:$E$32,"No")&gt;0),1,0)</f>
        <v>0</v>
      </c>
      <c r="X565" s="7" t="n">
        <f aca="false">IF(AND(O565=1,I565&lt;Inputs!$B$4),1,0)</f>
        <v>0</v>
      </c>
      <c r="Y565" s="7" t="n">
        <f aca="false">IF(AND(O565=1,T565&gt;Inputs!$B$5),1,0)</f>
        <v>0</v>
      </c>
      <c r="Z565" s="7" t="n">
        <f aca="false">IF(AND(O565=1,G565&lt;&gt;R565),1,0)</f>
        <v>0</v>
      </c>
      <c r="AA565" s="7" t="n">
        <f aca="false">IF(AND(O565=1,M565=""),1,0)</f>
        <v>0</v>
      </c>
      <c r="AB565" s="7" t="n">
        <f aca="false">IF(AND(E565="Closed Lost",N565=""),1,0)</f>
        <v>0</v>
      </c>
      <c r="AC565" s="7" t="n">
        <f aca="false">SUM(U565:AB565)</f>
        <v>0</v>
      </c>
      <c r="AD565" s="7" t="n">
        <f aca="false">IF(AC565=0,1,0)</f>
        <v>1</v>
      </c>
      <c r="AE565" s="7" t="n">
        <f aca="false">IF(AND(O565=1,I565&gt;=Inputs!$B$6,I565&lt;=Inputs!$B$7),1,0)</f>
        <v>0</v>
      </c>
      <c r="AF565" s="7" t="n">
        <f aca="false">IF(AND(E565="Closed Won",I565&gt;=Inputs!$B$6,I565&lt;=Inputs!$B$4),1,0)</f>
        <v>0</v>
      </c>
      <c r="AG565" s="7" t="n">
        <f aca="false">IF(AND(O565=0,I565&gt;Inputs!$B$4-Inputs!$B$8,I565&lt;=Inputs!$B$4),1,0)</f>
        <v>1</v>
      </c>
      <c r="AH565" s="7" t="n">
        <f aca="false">I565-H565</f>
        <v>154</v>
      </c>
    </row>
    <row r="566" customFormat="false" ht="15" hidden="false" customHeight="false" outlineLevel="0" collapsed="false">
      <c r="A566" s="16" t="s">
        <v>1824</v>
      </c>
      <c r="B566" s="16" t="s">
        <v>76</v>
      </c>
      <c r="C566" s="16" t="s">
        <v>1825</v>
      </c>
      <c r="D566" s="16" t="s">
        <v>165</v>
      </c>
      <c r="E566" s="16" t="s">
        <v>526</v>
      </c>
      <c r="F566" s="26" t="n">
        <v>54398000</v>
      </c>
      <c r="G566" s="25" t="n">
        <v>10</v>
      </c>
      <c r="H566" s="22" t="n">
        <v>46275</v>
      </c>
      <c r="I566" s="22" t="n">
        <v>46459</v>
      </c>
      <c r="J566" s="22" t="n">
        <v>46277</v>
      </c>
      <c r="K566" s="16" t="s">
        <v>677</v>
      </c>
      <c r="L566" s="16" t="s">
        <v>500</v>
      </c>
      <c r="M566" s="16" t="s">
        <v>613</v>
      </c>
      <c r="N566" s="16"/>
      <c r="O566" s="7" t="n">
        <f aca="false">IF(OR(E566="Closed Won",E566="Closed Lost"),0,1)</f>
        <v>1</v>
      </c>
      <c r="P566" s="17" t="str">
        <f aca="false">INDEX(Accounts!$K$5:$K$336,MATCH(B566,Accounts!$A$5:$A$336,0))</f>
        <v>Real Estate &amp; Infrastructure</v>
      </c>
      <c r="Q566" s="17" t="str">
        <f aca="false">INDEX(Accounts!$D$5:$D$336,MATCH(B566,Accounts!$A$5:$A$336,0))</f>
        <v>Priority</v>
      </c>
      <c r="R566" s="7" t="n">
        <f aca="false">INDEX(Inputs!$B$11:$B$16,MATCH(E566,Inputs!$A$11:$A$16,0))</f>
        <v>10</v>
      </c>
      <c r="S566" s="27" t="n">
        <f aca="false">IF(F566="",0,F566)*R566/100</f>
        <v>5439800</v>
      </c>
      <c r="T566" s="7" t="n">
        <f aca="false">Inputs!$B$4-J566</f>
        <v>37</v>
      </c>
      <c r="U566" s="7" t="n">
        <f aca="false">IF(OR(F566="",F566=0),1,0)</f>
        <v>0</v>
      </c>
      <c r="V566" s="7" t="n">
        <f aca="false">IF(K566="",1,0)</f>
        <v>0</v>
      </c>
      <c r="W566" s="7" t="n">
        <f aca="false">IF(AND(O566=1,K566&lt;&gt;"",COUNTIFS(Owners!$A$5:$A$32,K566,Owners!$E$5:$E$32,"No")&gt;0),1,0)</f>
        <v>0</v>
      </c>
      <c r="X566" s="7" t="n">
        <f aca="false">IF(AND(O566=1,I566&lt;Inputs!$B$4),1,0)</f>
        <v>0</v>
      </c>
      <c r="Y566" s="7" t="n">
        <f aca="false">IF(AND(O566=1,T566&gt;Inputs!$B$5),1,0)</f>
        <v>0</v>
      </c>
      <c r="Z566" s="7" t="n">
        <f aca="false">IF(AND(O566=1,G566&lt;&gt;R566),1,0)</f>
        <v>0</v>
      </c>
      <c r="AA566" s="7" t="n">
        <f aca="false">IF(AND(O566=1,M566=""),1,0)</f>
        <v>0</v>
      </c>
      <c r="AB566" s="7" t="n">
        <f aca="false">IF(AND(E566="Closed Lost",N566=""),1,0)</f>
        <v>0</v>
      </c>
      <c r="AC566" s="7" t="n">
        <f aca="false">SUM(U566:AB566)</f>
        <v>0</v>
      </c>
      <c r="AD566" s="7" t="n">
        <f aca="false">IF(AC566=0,1,0)</f>
        <v>1</v>
      </c>
      <c r="AE566" s="7" t="n">
        <f aca="false">IF(AND(O566=1,I566&gt;=Inputs!$B$6,I566&lt;=Inputs!$B$7),1,0)</f>
        <v>1</v>
      </c>
      <c r="AF566" s="7" t="n">
        <f aca="false">IF(AND(E566="Closed Won",I566&gt;=Inputs!$B$6,I566&lt;=Inputs!$B$4),1,0)</f>
        <v>0</v>
      </c>
      <c r="AG566" s="7" t="n">
        <f aca="false">IF(AND(O566=0,I566&gt;Inputs!$B$4-Inputs!$B$8,I566&lt;=Inputs!$B$4),1,0)</f>
        <v>0</v>
      </c>
      <c r="AH566" s="7" t="n">
        <f aca="false">I566-H566</f>
        <v>184</v>
      </c>
    </row>
    <row r="567" customFormat="false" ht="15" hidden="false" customHeight="false" outlineLevel="0" collapsed="false">
      <c r="A567" s="16" t="s">
        <v>1826</v>
      </c>
      <c r="B567" s="16" t="s">
        <v>345</v>
      </c>
      <c r="C567" s="16" t="s">
        <v>1827</v>
      </c>
      <c r="D567" s="16" t="s">
        <v>158</v>
      </c>
      <c r="E567" s="16" t="s">
        <v>526</v>
      </c>
      <c r="F567" s="26" t="n">
        <v>11049000</v>
      </c>
      <c r="G567" s="25" t="n">
        <v>10</v>
      </c>
      <c r="H567" s="22" t="n">
        <v>46253</v>
      </c>
      <c r="I567" s="22" t="n">
        <v>46353</v>
      </c>
      <c r="J567" s="22" t="n">
        <v>46142</v>
      </c>
      <c r="K567" s="16" t="s">
        <v>691</v>
      </c>
      <c r="L567" s="16" t="s">
        <v>609</v>
      </c>
      <c r="M567" s="16" t="s">
        <v>575</v>
      </c>
      <c r="N567" s="16"/>
      <c r="O567" s="7" t="n">
        <f aca="false">IF(OR(E567="Closed Won",E567="Closed Lost"),0,1)</f>
        <v>1</v>
      </c>
      <c r="P567" s="17" t="str">
        <f aca="false">INDEX(Accounts!$K$5:$K$336,MATCH(B567,Accounts!$A$5:$A$336,0))</f>
        <v>Financial Services</v>
      </c>
      <c r="Q567" s="17" t="str">
        <f aca="false">INDEX(Accounts!$D$5:$D$336,MATCH(B567,Accounts!$A$5:$A$336,0))</f>
        <v>Standard</v>
      </c>
      <c r="R567" s="7" t="n">
        <f aca="false">INDEX(Inputs!$B$11:$B$16,MATCH(E567,Inputs!$A$11:$A$16,0))</f>
        <v>10</v>
      </c>
      <c r="S567" s="27" t="n">
        <f aca="false">IF(F567="",0,F567)*R567/100</f>
        <v>1104900</v>
      </c>
      <c r="T567" s="7" t="n">
        <f aca="false">Inputs!$B$4-J567</f>
        <v>172</v>
      </c>
      <c r="U567" s="7" t="n">
        <f aca="false">IF(OR(F567="",F567=0),1,0)</f>
        <v>0</v>
      </c>
      <c r="V567" s="7" t="n">
        <f aca="false">IF(K567="",1,0)</f>
        <v>0</v>
      </c>
      <c r="W567" s="7" t="n">
        <f aca="false">IF(AND(O567=1,K567&lt;&gt;"",COUNTIFS(Owners!$A$5:$A$32,K567,Owners!$E$5:$E$32,"No")&gt;0),1,0)</f>
        <v>0</v>
      </c>
      <c r="X567" s="7" t="n">
        <f aca="false">IF(AND(O567=1,I567&lt;Inputs!$B$4),1,0)</f>
        <v>0</v>
      </c>
      <c r="Y567" s="7" t="n">
        <f aca="false">IF(AND(O567=1,T567&gt;Inputs!$B$5),1,0)</f>
        <v>1</v>
      </c>
      <c r="Z567" s="7" t="n">
        <f aca="false">IF(AND(O567=1,G567&lt;&gt;R567),1,0)</f>
        <v>0</v>
      </c>
      <c r="AA567" s="7" t="n">
        <f aca="false">IF(AND(O567=1,M567=""),1,0)</f>
        <v>0</v>
      </c>
      <c r="AB567" s="7" t="n">
        <f aca="false">IF(AND(E567="Closed Lost",N567=""),1,0)</f>
        <v>0</v>
      </c>
      <c r="AC567" s="7" t="n">
        <f aca="false">SUM(U567:AB567)</f>
        <v>1</v>
      </c>
      <c r="AD567" s="7" t="n">
        <f aca="false">IF(AC567=0,1,0)</f>
        <v>0</v>
      </c>
      <c r="AE567" s="7" t="n">
        <f aca="false">IF(AND(O567=1,I567&gt;=Inputs!$B$6,I567&lt;=Inputs!$B$7),1,0)</f>
        <v>1</v>
      </c>
      <c r="AF567" s="7" t="n">
        <f aca="false">IF(AND(E567="Closed Won",I567&gt;=Inputs!$B$6,I567&lt;=Inputs!$B$4),1,0)</f>
        <v>0</v>
      </c>
      <c r="AG567" s="7" t="n">
        <f aca="false">IF(AND(O567=0,I567&gt;Inputs!$B$4-Inputs!$B$8,I567&lt;=Inputs!$B$4),1,0)</f>
        <v>0</v>
      </c>
      <c r="AH567" s="7" t="n">
        <f aca="false">I567-H567</f>
        <v>100</v>
      </c>
    </row>
    <row r="568" customFormat="false" ht="15" hidden="false" customHeight="false" outlineLevel="0" collapsed="false">
      <c r="A568" s="16" t="s">
        <v>1828</v>
      </c>
      <c r="B568" s="16" t="s">
        <v>246</v>
      </c>
      <c r="C568" s="16" t="s">
        <v>1829</v>
      </c>
      <c r="D568" s="16" t="s">
        <v>158</v>
      </c>
      <c r="E568" s="16" t="s">
        <v>530</v>
      </c>
      <c r="F568" s="26" t="n">
        <v>10944000</v>
      </c>
      <c r="G568" s="25" t="n">
        <v>100</v>
      </c>
      <c r="H568" s="22" t="n">
        <v>46220</v>
      </c>
      <c r="I568" s="22" t="n">
        <v>46302</v>
      </c>
      <c r="J568" s="22" t="n">
        <v>46302</v>
      </c>
      <c r="K568" s="16" t="s">
        <v>583</v>
      </c>
      <c r="L568" s="16" t="s">
        <v>584</v>
      </c>
      <c r="M568" s="16"/>
      <c r="N568" s="16"/>
      <c r="O568" s="7" t="n">
        <f aca="false">IF(OR(E568="Closed Won",E568="Closed Lost"),0,1)</f>
        <v>0</v>
      </c>
      <c r="P568" s="17" t="str">
        <f aca="false">INDEX(Accounts!$K$5:$K$336,MATCH(B568,Accounts!$A$5:$A$336,0))</f>
        <v>Technology, Media &amp; Telecom</v>
      </c>
      <c r="Q568" s="17" t="str">
        <f aca="false">INDEX(Accounts!$D$5:$D$336,MATCH(B568,Accounts!$A$5:$A$336,0))</f>
        <v>Standard</v>
      </c>
      <c r="R568" s="7" t="n">
        <f aca="false">INDEX(Inputs!$B$11:$B$16,MATCH(E568,Inputs!$A$11:$A$16,0))</f>
        <v>100</v>
      </c>
      <c r="S568" s="27" t="n">
        <f aca="false">IF(F568="",0,F568)*R568/100</f>
        <v>10944000</v>
      </c>
      <c r="T568" s="7" t="n">
        <f aca="false">Inputs!$B$4-J568</f>
        <v>12</v>
      </c>
      <c r="U568" s="7" t="n">
        <f aca="false">IF(OR(F568="",F568=0),1,0)</f>
        <v>0</v>
      </c>
      <c r="V568" s="7" t="n">
        <f aca="false">IF(K568="",1,0)</f>
        <v>0</v>
      </c>
      <c r="W568" s="7" t="n">
        <f aca="false">IF(AND(O568=1,K568&lt;&gt;"",COUNTIFS(Owners!$A$5:$A$32,K568,Owners!$E$5:$E$32,"No")&gt;0),1,0)</f>
        <v>0</v>
      </c>
      <c r="X568" s="7" t="n">
        <f aca="false">IF(AND(O568=1,I568&lt;Inputs!$B$4),1,0)</f>
        <v>0</v>
      </c>
      <c r="Y568" s="7" t="n">
        <f aca="false">IF(AND(O568=1,T568&gt;Inputs!$B$5),1,0)</f>
        <v>0</v>
      </c>
      <c r="Z568" s="7" t="n">
        <f aca="false">IF(AND(O568=1,G568&lt;&gt;R568),1,0)</f>
        <v>0</v>
      </c>
      <c r="AA568" s="7" t="n">
        <f aca="false">IF(AND(O568=1,M568=""),1,0)</f>
        <v>0</v>
      </c>
      <c r="AB568" s="7" t="n">
        <f aca="false">IF(AND(E568="Closed Lost",N568=""),1,0)</f>
        <v>0</v>
      </c>
      <c r="AC568" s="7" t="n">
        <f aca="false">SUM(U568:AB568)</f>
        <v>0</v>
      </c>
      <c r="AD568" s="7" t="n">
        <f aca="false">IF(AC568=0,1,0)</f>
        <v>1</v>
      </c>
      <c r="AE568" s="7" t="n">
        <f aca="false">IF(AND(O568=1,I568&gt;=Inputs!$B$6,I568&lt;=Inputs!$B$7),1,0)</f>
        <v>0</v>
      </c>
      <c r="AF568" s="7" t="n">
        <f aca="false">IF(AND(E568="Closed Won",I568&gt;=Inputs!$B$6,I568&lt;=Inputs!$B$4),1,0)</f>
        <v>1</v>
      </c>
      <c r="AG568" s="7" t="n">
        <f aca="false">IF(AND(O568=0,I568&gt;Inputs!$B$4-Inputs!$B$8,I568&lt;=Inputs!$B$4),1,0)</f>
        <v>1</v>
      </c>
      <c r="AH568" s="7" t="n">
        <f aca="false">I568-H568</f>
        <v>82</v>
      </c>
    </row>
    <row r="569" customFormat="false" ht="15" hidden="false" customHeight="false" outlineLevel="0" collapsed="false">
      <c r="A569" s="16" t="s">
        <v>1830</v>
      </c>
      <c r="B569" s="16" t="s">
        <v>1831</v>
      </c>
      <c r="C569" s="16" t="s">
        <v>1832</v>
      </c>
      <c r="D569" s="16" t="s">
        <v>162</v>
      </c>
      <c r="E569" s="16" t="s">
        <v>530</v>
      </c>
      <c r="F569" s="26" t="n">
        <v>16736000</v>
      </c>
      <c r="G569" s="25" t="n">
        <v>100</v>
      </c>
      <c r="H569" s="22" t="n">
        <v>45974</v>
      </c>
      <c r="I569" s="22" t="n">
        <v>46137</v>
      </c>
      <c r="J569" s="22" t="n">
        <v>46137</v>
      </c>
      <c r="K569" s="16" t="s">
        <v>633</v>
      </c>
      <c r="L569" s="16" t="s">
        <v>574</v>
      </c>
      <c r="M569" s="16"/>
      <c r="N569" s="16"/>
      <c r="O569" s="7" t="n">
        <f aca="false">IF(OR(E569="Closed Won",E569="Closed Lost"),0,1)</f>
        <v>0</v>
      </c>
      <c r="P569" s="17" t="str">
        <f aca="false">INDEX(Accounts!$K$5:$K$336,MATCH(B569,Accounts!$A$5:$A$336,0))</f>
        <v>Technology, Media &amp; Telecom</v>
      </c>
      <c r="Q569" s="17" t="str">
        <f aca="false">INDEX(Accounts!$D$5:$D$336,MATCH(B569,Accounts!$A$5:$A$336,0))</f>
        <v>Standard</v>
      </c>
      <c r="R569" s="7" t="n">
        <f aca="false">INDEX(Inputs!$B$11:$B$16,MATCH(E569,Inputs!$A$11:$A$16,0))</f>
        <v>100</v>
      </c>
      <c r="S569" s="27" t="n">
        <f aca="false">IF(F569="",0,F569)*R569/100</f>
        <v>16736000</v>
      </c>
      <c r="T569" s="7" t="n">
        <f aca="false">Inputs!$B$4-J569</f>
        <v>177</v>
      </c>
      <c r="U569" s="7" t="n">
        <f aca="false">IF(OR(F569="",F569=0),1,0)</f>
        <v>0</v>
      </c>
      <c r="V569" s="7" t="n">
        <f aca="false">IF(K569="",1,0)</f>
        <v>0</v>
      </c>
      <c r="W569" s="7" t="n">
        <f aca="false">IF(AND(O569=1,K569&lt;&gt;"",COUNTIFS(Owners!$A$5:$A$32,K569,Owners!$E$5:$E$32,"No")&gt;0),1,0)</f>
        <v>0</v>
      </c>
      <c r="X569" s="7" t="n">
        <f aca="false">IF(AND(O569=1,I569&lt;Inputs!$B$4),1,0)</f>
        <v>0</v>
      </c>
      <c r="Y569" s="7" t="n">
        <f aca="false">IF(AND(O569=1,T569&gt;Inputs!$B$5),1,0)</f>
        <v>0</v>
      </c>
      <c r="Z569" s="7" t="n">
        <f aca="false">IF(AND(O569=1,G569&lt;&gt;R569),1,0)</f>
        <v>0</v>
      </c>
      <c r="AA569" s="7" t="n">
        <f aca="false">IF(AND(O569=1,M569=""),1,0)</f>
        <v>0</v>
      </c>
      <c r="AB569" s="7" t="n">
        <f aca="false">IF(AND(E569="Closed Lost",N569=""),1,0)</f>
        <v>0</v>
      </c>
      <c r="AC569" s="7" t="n">
        <f aca="false">SUM(U569:AB569)</f>
        <v>0</v>
      </c>
      <c r="AD569" s="7" t="n">
        <f aca="false">IF(AC569=0,1,0)</f>
        <v>1</v>
      </c>
      <c r="AE569" s="7" t="n">
        <f aca="false">IF(AND(O569=1,I569&gt;=Inputs!$B$6,I569&lt;=Inputs!$B$7),1,0)</f>
        <v>0</v>
      </c>
      <c r="AF569" s="7" t="n">
        <f aca="false">IF(AND(E569="Closed Won",I569&gt;=Inputs!$B$6,I569&lt;=Inputs!$B$4),1,0)</f>
        <v>0</v>
      </c>
      <c r="AG569" s="7" t="n">
        <f aca="false">IF(AND(O569=0,I569&gt;Inputs!$B$4-Inputs!$B$8,I569&lt;=Inputs!$B$4),1,0)</f>
        <v>1</v>
      </c>
      <c r="AH569" s="7" t="n">
        <f aca="false">I569-H569</f>
        <v>163</v>
      </c>
    </row>
    <row r="570" customFormat="false" ht="15" hidden="false" customHeight="false" outlineLevel="0" collapsed="false">
      <c r="A570" s="16" t="s">
        <v>1833</v>
      </c>
      <c r="B570" s="16" t="s">
        <v>1834</v>
      </c>
      <c r="C570" s="16" t="s">
        <v>1835</v>
      </c>
      <c r="D570" s="16" t="s">
        <v>177</v>
      </c>
      <c r="E570" s="16" t="s">
        <v>530</v>
      </c>
      <c r="F570" s="26" t="n">
        <v>9235000</v>
      </c>
      <c r="G570" s="25" t="n">
        <v>100</v>
      </c>
      <c r="H570" s="22" t="n">
        <v>46008</v>
      </c>
      <c r="I570" s="22" t="n">
        <v>46282</v>
      </c>
      <c r="J570" s="22" t="n">
        <v>46282</v>
      </c>
      <c r="K570" s="16" t="s">
        <v>717</v>
      </c>
      <c r="L570" s="16" t="s">
        <v>500</v>
      </c>
      <c r="M570" s="16"/>
      <c r="N570" s="16"/>
      <c r="O570" s="7" t="n">
        <f aca="false">IF(OR(E570="Closed Won",E570="Closed Lost"),0,1)</f>
        <v>0</v>
      </c>
      <c r="P570" s="17" t="str">
        <f aca="false">INDEX(Accounts!$K$5:$K$336,MATCH(B570,Accounts!$A$5:$A$336,0))</f>
        <v>Technology, Media &amp; Telecom</v>
      </c>
      <c r="Q570" s="17" t="str">
        <f aca="false">INDEX(Accounts!$D$5:$D$336,MATCH(B570,Accounts!$A$5:$A$336,0))</f>
        <v>Standard</v>
      </c>
      <c r="R570" s="7" t="n">
        <f aca="false">INDEX(Inputs!$B$11:$B$16,MATCH(E570,Inputs!$A$11:$A$16,0))</f>
        <v>100</v>
      </c>
      <c r="S570" s="27" t="n">
        <f aca="false">IF(F570="",0,F570)*R570/100</f>
        <v>9235000</v>
      </c>
      <c r="T570" s="7" t="n">
        <f aca="false">Inputs!$B$4-J570</f>
        <v>32</v>
      </c>
      <c r="U570" s="7" t="n">
        <f aca="false">IF(OR(F570="",F570=0),1,0)</f>
        <v>0</v>
      </c>
      <c r="V570" s="7" t="n">
        <f aca="false">IF(K570="",1,0)</f>
        <v>0</v>
      </c>
      <c r="W570" s="7" t="n">
        <f aca="false">IF(AND(O570=1,K570&lt;&gt;"",COUNTIFS(Owners!$A$5:$A$32,K570,Owners!$E$5:$E$32,"No")&gt;0),1,0)</f>
        <v>0</v>
      </c>
      <c r="X570" s="7" t="n">
        <f aca="false">IF(AND(O570=1,I570&lt;Inputs!$B$4),1,0)</f>
        <v>0</v>
      </c>
      <c r="Y570" s="7" t="n">
        <f aca="false">IF(AND(O570=1,T570&gt;Inputs!$B$5),1,0)</f>
        <v>0</v>
      </c>
      <c r="Z570" s="7" t="n">
        <f aca="false">IF(AND(O570=1,G570&lt;&gt;R570),1,0)</f>
        <v>0</v>
      </c>
      <c r="AA570" s="7" t="n">
        <f aca="false">IF(AND(O570=1,M570=""),1,0)</f>
        <v>0</v>
      </c>
      <c r="AB570" s="7" t="n">
        <f aca="false">IF(AND(E570="Closed Lost",N570=""),1,0)</f>
        <v>0</v>
      </c>
      <c r="AC570" s="7" t="n">
        <f aca="false">SUM(U570:AB570)</f>
        <v>0</v>
      </c>
      <c r="AD570" s="7" t="n">
        <f aca="false">IF(AC570=0,1,0)</f>
        <v>1</v>
      </c>
      <c r="AE570" s="7" t="n">
        <f aca="false">IF(AND(O570=1,I570&gt;=Inputs!$B$6,I570&lt;=Inputs!$B$7),1,0)</f>
        <v>0</v>
      </c>
      <c r="AF570" s="7" t="n">
        <f aca="false">IF(AND(E570="Closed Won",I570&gt;=Inputs!$B$6,I570&lt;=Inputs!$B$4),1,0)</f>
        <v>1</v>
      </c>
      <c r="AG570" s="7" t="n">
        <f aca="false">IF(AND(O570=0,I570&gt;Inputs!$B$4-Inputs!$B$8,I570&lt;=Inputs!$B$4),1,0)</f>
        <v>1</v>
      </c>
      <c r="AH570" s="7" t="n">
        <f aca="false">I570-H570</f>
        <v>274</v>
      </c>
    </row>
    <row r="571" customFormat="false" ht="15" hidden="false" customHeight="false" outlineLevel="0" collapsed="false">
      <c r="A571" s="16" t="s">
        <v>1836</v>
      </c>
      <c r="B571" s="16" t="s">
        <v>1177</v>
      </c>
      <c r="C571" s="16" t="s">
        <v>1837</v>
      </c>
      <c r="D571" s="16" t="s">
        <v>167</v>
      </c>
      <c r="E571" s="16" t="s">
        <v>531</v>
      </c>
      <c r="F571" s="26" t="n">
        <v>7217000</v>
      </c>
      <c r="G571" s="25" t="n">
        <v>0</v>
      </c>
      <c r="H571" s="22" t="n">
        <v>46021</v>
      </c>
      <c r="I571" s="22" t="n">
        <v>46237</v>
      </c>
      <c r="J571" s="22" t="n">
        <v>46237</v>
      </c>
      <c r="K571" s="16" t="s">
        <v>654</v>
      </c>
      <c r="L571" s="16" t="s">
        <v>568</v>
      </c>
      <c r="M571" s="16"/>
      <c r="N571" s="16"/>
      <c r="O571" s="7" t="n">
        <f aca="false">IF(OR(E571="Closed Won",E571="Closed Lost"),0,1)</f>
        <v>0</v>
      </c>
      <c r="P571" s="17" t="str">
        <f aca="false">INDEX(Accounts!$K$5:$K$336,MATCH(B571,Accounts!$A$5:$A$336,0))</f>
        <v>Consumer &amp; Retail</v>
      </c>
      <c r="Q571" s="17" t="str">
        <f aca="false">INDEX(Accounts!$D$5:$D$336,MATCH(B571,Accounts!$A$5:$A$336,0))</f>
        <v>Standard</v>
      </c>
      <c r="R571" s="7" t="n">
        <f aca="false">INDEX(Inputs!$B$11:$B$16,MATCH(E571,Inputs!$A$11:$A$16,0))</f>
        <v>0</v>
      </c>
      <c r="S571" s="27" t="n">
        <f aca="false">IF(F571="",0,F571)*R571/100</f>
        <v>0</v>
      </c>
      <c r="T571" s="7" t="n">
        <f aca="false">Inputs!$B$4-J571</f>
        <v>77</v>
      </c>
      <c r="U571" s="7" t="n">
        <f aca="false">IF(OR(F571="",F571=0),1,0)</f>
        <v>0</v>
      </c>
      <c r="V571" s="7" t="n">
        <f aca="false">IF(K571="",1,0)</f>
        <v>0</v>
      </c>
      <c r="W571" s="7" t="n">
        <f aca="false">IF(AND(O571=1,K571&lt;&gt;"",COUNTIFS(Owners!$A$5:$A$32,K571,Owners!$E$5:$E$32,"No")&gt;0),1,0)</f>
        <v>0</v>
      </c>
      <c r="X571" s="7" t="n">
        <f aca="false">IF(AND(O571=1,I571&lt;Inputs!$B$4),1,0)</f>
        <v>0</v>
      </c>
      <c r="Y571" s="7" t="n">
        <f aca="false">IF(AND(O571=1,T571&gt;Inputs!$B$5),1,0)</f>
        <v>0</v>
      </c>
      <c r="Z571" s="7" t="n">
        <f aca="false">IF(AND(O571=1,G571&lt;&gt;R571),1,0)</f>
        <v>0</v>
      </c>
      <c r="AA571" s="7" t="n">
        <f aca="false">IF(AND(O571=1,M571=""),1,0)</f>
        <v>0</v>
      </c>
      <c r="AB571" s="7" t="n">
        <f aca="false">IF(AND(E571="Closed Lost",N571=""),1,0)</f>
        <v>1</v>
      </c>
      <c r="AC571" s="7" t="n">
        <f aca="false">SUM(U571:AB571)</f>
        <v>1</v>
      </c>
      <c r="AD571" s="7" t="n">
        <f aca="false">IF(AC571=0,1,0)</f>
        <v>0</v>
      </c>
      <c r="AE571" s="7" t="n">
        <f aca="false">IF(AND(O571=1,I571&gt;=Inputs!$B$6,I571&lt;=Inputs!$B$7),1,0)</f>
        <v>0</v>
      </c>
      <c r="AF571" s="7" t="n">
        <f aca="false">IF(AND(E571="Closed Won",I571&gt;=Inputs!$B$6,I571&lt;=Inputs!$B$4),1,0)</f>
        <v>0</v>
      </c>
      <c r="AG571" s="7" t="n">
        <f aca="false">IF(AND(O571=0,I571&gt;Inputs!$B$4-Inputs!$B$8,I571&lt;=Inputs!$B$4),1,0)</f>
        <v>1</v>
      </c>
      <c r="AH571" s="7" t="n">
        <f aca="false">I571-H571</f>
        <v>216</v>
      </c>
    </row>
    <row r="572" customFormat="false" ht="15" hidden="false" customHeight="false" outlineLevel="0" collapsed="false">
      <c r="A572" s="16" t="s">
        <v>1838</v>
      </c>
      <c r="B572" s="16" t="s">
        <v>681</v>
      </c>
      <c r="C572" s="16" t="s">
        <v>1839</v>
      </c>
      <c r="D572" s="16" t="s">
        <v>177</v>
      </c>
      <c r="E572" s="16" t="s">
        <v>531</v>
      </c>
      <c r="F572" s="26"/>
      <c r="G572" s="25" t="n">
        <v>0</v>
      </c>
      <c r="H572" s="22" t="n">
        <v>45980</v>
      </c>
      <c r="I572" s="22" t="n">
        <v>46182</v>
      </c>
      <c r="J572" s="22" t="n">
        <v>46182</v>
      </c>
      <c r="K572" s="16" t="s">
        <v>573</v>
      </c>
      <c r="L572" s="16" t="s">
        <v>584</v>
      </c>
      <c r="M572" s="16"/>
      <c r="N572" s="16" t="s">
        <v>722</v>
      </c>
      <c r="O572" s="7" t="n">
        <f aca="false">IF(OR(E572="Closed Won",E572="Closed Lost"),0,1)</f>
        <v>0</v>
      </c>
      <c r="P572" s="17" t="str">
        <f aca="false">INDEX(Accounts!$K$5:$K$336,MATCH(B572,Accounts!$A$5:$A$336,0))</f>
        <v>Real Estate &amp; Infrastructure</v>
      </c>
      <c r="Q572" s="17" t="str">
        <f aca="false">INDEX(Accounts!$D$5:$D$336,MATCH(B572,Accounts!$A$5:$A$336,0))</f>
        <v>Key</v>
      </c>
      <c r="R572" s="7" t="n">
        <f aca="false">INDEX(Inputs!$B$11:$B$16,MATCH(E572,Inputs!$A$11:$A$16,0))</f>
        <v>0</v>
      </c>
      <c r="S572" s="27" t="n">
        <f aca="false">IF(F572="",0,F572)*R572/100</f>
        <v>0</v>
      </c>
      <c r="T572" s="7" t="n">
        <f aca="false">Inputs!$B$4-J572</f>
        <v>132</v>
      </c>
      <c r="U572" s="7" t="n">
        <f aca="false">IF(OR(F572="",F572=0),1,0)</f>
        <v>1</v>
      </c>
      <c r="V572" s="7" t="n">
        <f aca="false">IF(K572="",1,0)</f>
        <v>0</v>
      </c>
      <c r="W572" s="7" t="n">
        <f aca="false">IF(AND(O572=1,K572&lt;&gt;"",COUNTIFS(Owners!$A$5:$A$32,K572,Owners!$E$5:$E$32,"No")&gt;0),1,0)</f>
        <v>0</v>
      </c>
      <c r="X572" s="7" t="n">
        <f aca="false">IF(AND(O572=1,I572&lt;Inputs!$B$4),1,0)</f>
        <v>0</v>
      </c>
      <c r="Y572" s="7" t="n">
        <f aca="false">IF(AND(O572=1,T572&gt;Inputs!$B$5),1,0)</f>
        <v>0</v>
      </c>
      <c r="Z572" s="7" t="n">
        <f aca="false">IF(AND(O572=1,G572&lt;&gt;R572),1,0)</f>
        <v>0</v>
      </c>
      <c r="AA572" s="7" t="n">
        <f aca="false">IF(AND(O572=1,M572=""),1,0)</f>
        <v>0</v>
      </c>
      <c r="AB572" s="7" t="n">
        <f aca="false">IF(AND(E572="Closed Lost",N572=""),1,0)</f>
        <v>0</v>
      </c>
      <c r="AC572" s="7" t="n">
        <f aca="false">SUM(U572:AB572)</f>
        <v>1</v>
      </c>
      <c r="AD572" s="7" t="n">
        <f aca="false">IF(AC572=0,1,0)</f>
        <v>0</v>
      </c>
      <c r="AE572" s="7" t="n">
        <f aca="false">IF(AND(O572=1,I572&gt;=Inputs!$B$6,I572&lt;=Inputs!$B$7),1,0)</f>
        <v>0</v>
      </c>
      <c r="AF572" s="7" t="n">
        <f aca="false">IF(AND(E572="Closed Won",I572&gt;=Inputs!$B$6,I572&lt;=Inputs!$B$4),1,0)</f>
        <v>0</v>
      </c>
      <c r="AG572" s="7" t="n">
        <f aca="false">IF(AND(O572=0,I572&gt;Inputs!$B$4-Inputs!$B$8,I572&lt;=Inputs!$B$4),1,0)</f>
        <v>1</v>
      </c>
      <c r="AH572" s="7" t="n">
        <f aca="false">I572-H572</f>
        <v>202</v>
      </c>
    </row>
    <row r="573" customFormat="false" ht="15" hidden="false" customHeight="false" outlineLevel="0" collapsed="false">
      <c r="A573" s="16" t="s">
        <v>1840</v>
      </c>
      <c r="B573" s="16" t="s">
        <v>756</v>
      </c>
      <c r="C573" s="16" t="s">
        <v>1841</v>
      </c>
      <c r="D573" s="16" t="s">
        <v>167</v>
      </c>
      <c r="E573" s="16" t="s">
        <v>528</v>
      </c>
      <c r="F573" s="26" t="n">
        <v>5015000</v>
      </c>
      <c r="G573" s="25" t="n">
        <v>50</v>
      </c>
      <c r="H573" s="22" t="n">
        <v>46176</v>
      </c>
      <c r="I573" s="22" t="n">
        <v>46424</v>
      </c>
      <c r="J573" s="22" t="n">
        <v>46286</v>
      </c>
      <c r="K573" s="16" t="s">
        <v>637</v>
      </c>
      <c r="L573" s="16" t="s">
        <v>500</v>
      </c>
      <c r="M573" s="16" t="s">
        <v>601</v>
      </c>
      <c r="N573" s="16"/>
      <c r="O573" s="7" t="n">
        <f aca="false">IF(OR(E573="Closed Won",E573="Closed Lost"),0,1)</f>
        <v>1</v>
      </c>
      <c r="P573" s="17" t="str">
        <f aca="false">INDEX(Accounts!$K$5:$K$336,MATCH(B573,Accounts!$A$5:$A$336,0))</f>
        <v>Public Sector &amp; Development</v>
      </c>
      <c r="Q573" s="17" t="str">
        <f aca="false">INDEX(Accounts!$D$5:$D$336,MATCH(B573,Accounts!$A$5:$A$336,0))</f>
        <v>Key</v>
      </c>
      <c r="R573" s="7" t="n">
        <f aca="false">INDEX(Inputs!$B$11:$B$16,MATCH(E573,Inputs!$A$11:$A$16,0))</f>
        <v>50</v>
      </c>
      <c r="S573" s="27" t="n">
        <f aca="false">IF(F573="",0,F573)*R573/100</f>
        <v>2507500</v>
      </c>
      <c r="T573" s="7" t="n">
        <f aca="false">Inputs!$B$4-J573</f>
        <v>28</v>
      </c>
      <c r="U573" s="7" t="n">
        <f aca="false">IF(OR(F573="",F573=0),1,0)</f>
        <v>0</v>
      </c>
      <c r="V573" s="7" t="n">
        <f aca="false">IF(K573="",1,0)</f>
        <v>0</v>
      </c>
      <c r="W573" s="7" t="n">
        <f aca="false">IF(AND(O573=1,K573&lt;&gt;"",COUNTIFS(Owners!$A$5:$A$32,K573,Owners!$E$5:$E$32,"No")&gt;0),1,0)</f>
        <v>0</v>
      </c>
      <c r="X573" s="7" t="n">
        <f aca="false">IF(AND(O573=1,I573&lt;Inputs!$B$4),1,0)</f>
        <v>0</v>
      </c>
      <c r="Y573" s="7" t="n">
        <f aca="false">IF(AND(O573=1,T573&gt;Inputs!$B$5),1,0)</f>
        <v>0</v>
      </c>
      <c r="Z573" s="7" t="n">
        <f aca="false">IF(AND(O573=1,G573&lt;&gt;R573),1,0)</f>
        <v>0</v>
      </c>
      <c r="AA573" s="7" t="n">
        <f aca="false">IF(AND(O573=1,M573=""),1,0)</f>
        <v>0</v>
      </c>
      <c r="AB573" s="7" t="n">
        <f aca="false">IF(AND(E573="Closed Lost",N573=""),1,0)</f>
        <v>0</v>
      </c>
      <c r="AC573" s="7" t="n">
        <f aca="false">SUM(U573:AB573)</f>
        <v>0</v>
      </c>
      <c r="AD573" s="7" t="n">
        <f aca="false">IF(AC573=0,1,0)</f>
        <v>1</v>
      </c>
      <c r="AE573" s="7" t="n">
        <f aca="false">IF(AND(O573=1,I573&gt;=Inputs!$B$6,I573&lt;=Inputs!$B$7),1,0)</f>
        <v>1</v>
      </c>
      <c r="AF573" s="7" t="n">
        <f aca="false">IF(AND(E573="Closed Won",I573&gt;=Inputs!$B$6,I573&lt;=Inputs!$B$4),1,0)</f>
        <v>0</v>
      </c>
      <c r="AG573" s="7" t="n">
        <f aca="false">IF(AND(O573=0,I573&gt;Inputs!$B$4-Inputs!$B$8,I573&lt;=Inputs!$B$4),1,0)</f>
        <v>0</v>
      </c>
      <c r="AH573" s="7" t="n">
        <f aca="false">I573-H573</f>
        <v>248</v>
      </c>
    </row>
    <row r="574" customFormat="false" ht="15" hidden="false" customHeight="false" outlineLevel="0" collapsed="false">
      <c r="A574" s="16" t="s">
        <v>1842</v>
      </c>
      <c r="B574" s="16" t="s">
        <v>64</v>
      </c>
      <c r="C574" s="16" t="s">
        <v>1843</v>
      </c>
      <c r="D574" s="16" t="s">
        <v>162</v>
      </c>
      <c r="E574" s="16" t="s">
        <v>527</v>
      </c>
      <c r="F574" s="26" t="n">
        <v>0</v>
      </c>
      <c r="G574" s="25" t="n">
        <v>25</v>
      </c>
      <c r="H574" s="22" t="n">
        <v>46237</v>
      </c>
      <c r="I574" s="22" t="n">
        <v>46281</v>
      </c>
      <c r="J574" s="22" t="n">
        <v>46305</v>
      </c>
      <c r="K574" s="16" t="s">
        <v>583</v>
      </c>
      <c r="L574" s="16" t="s">
        <v>609</v>
      </c>
      <c r="M574" s="16" t="s">
        <v>613</v>
      </c>
      <c r="N574" s="16"/>
      <c r="O574" s="7" t="n">
        <f aca="false">IF(OR(E574="Closed Won",E574="Closed Lost"),0,1)</f>
        <v>1</v>
      </c>
      <c r="P574" s="17" t="str">
        <f aca="false">INDEX(Accounts!$K$5:$K$336,MATCH(B574,Accounts!$A$5:$A$336,0))</f>
        <v>Financial Services</v>
      </c>
      <c r="Q574" s="17" t="str">
        <f aca="false">INDEX(Accounts!$D$5:$D$336,MATCH(B574,Accounts!$A$5:$A$336,0))</f>
        <v>Priority</v>
      </c>
      <c r="R574" s="7" t="n">
        <f aca="false">INDEX(Inputs!$B$11:$B$16,MATCH(E574,Inputs!$A$11:$A$16,0))</f>
        <v>25</v>
      </c>
      <c r="S574" s="27" t="n">
        <f aca="false">IF(F574="",0,F574)*R574/100</f>
        <v>0</v>
      </c>
      <c r="T574" s="7" t="n">
        <f aca="false">Inputs!$B$4-J574</f>
        <v>9</v>
      </c>
      <c r="U574" s="7" t="n">
        <f aca="false">IF(OR(F574="",F574=0),1,0)</f>
        <v>1</v>
      </c>
      <c r="V574" s="7" t="n">
        <f aca="false">IF(K574="",1,0)</f>
        <v>0</v>
      </c>
      <c r="W574" s="7" t="n">
        <f aca="false">IF(AND(O574=1,K574&lt;&gt;"",COUNTIFS(Owners!$A$5:$A$32,K574,Owners!$E$5:$E$32,"No")&gt;0),1,0)</f>
        <v>1</v>
      </c>
      <c r="X574" s="7" t="n">
        <f aca="false">IF(AND(O574=1,I574&lt;Inputs!$B$4),1,0)</f>
        <v>1</v>
      </c>
      <c r="Y574" s="7" t="n">
        <f aca="false">IF(AND(O574=1,T574&gt;Inputs!$B$5),1,0)</f>
        <v>0</v>
      </c>
      <c r="Z574" s="7" t="n">
        <f aca="false">IF(AND(O574=1,G574&lt;&gt;R574),1,0)</f>
        <v>0</v>
      </c>
      <c r="AA574" s="7" t="n">
        <f aca="false">IF(AND(O574=1,M574=""),1,0)</f>
        <v>0</v>
      </c>
      <c r="AB574" s="7" t="n">
        <f aca="false">IF(AND(E574="Closed Lost",N574=""),1,0)</f>
        <v>0</v>
      </c>
      <c r="AC574" s="7" t="n">
        <f aca="false">SUM(U574:AB574)</f>
        <v>3</v>
      </c>
      <c r="AD574" s="7" t="n">
        <f aca="false">IF(AC574=0,1,0)</f>
        <v>0</v>
      </c>
      <c r="AE574" s="7" t="n">
        <f aca="false">IF(AND(O574=1,I574&gt;=Inputs!$B$6,I574&lt;=Inputs!$B$7),1,0)</f>
        <v>1</v>
      </c>
      <c r="AF574" s="7" t="n">
        <f aca="false">IF(AND(E574="Closed Won",I574&gt;=Inputs!$B$6,I574&lt;=Inputs!$B$4),1,0)</f>
        <v>0</v>
      </c>
      <c r="AG574" s="7" t="n">
        <f aca="false">IF(AND(O574=0,I574&gt;Inputs!$B$4-Inputs!$B$8,I574&lt;=Inputs!$B$4),1,0)</f>
        <v>0</v>
      </c>
      <c r="AH574" s="7" t="n">
        <f aca="false">I574-H574</f>
        <v>44</v>
      </c>
    </row>
    <row r="575" customFormat="false" ht="15" hidden="false" customHeight="false" outlineLevel="0" collapsed="false">
      <c r="A575" s="16" t="s">
        <v>1844</v>
      </c>
      <c r="B575" s="16" t="s">
        <v>256</v>
      </c>
      <c r="C575" s="16" t="s">
        <v>1845</v>
      </c>
      <c r="D575" s="16" t="s">
        <v>165</v>
      </c>
      <c r="E575" s="16" t="s">
        <v>528</v>
      </c>
      <c r="F575" s="26" t="n">
        <v>13367000</v>
      </c>
      <c r="G575" s="25" t="n">
        <v>50</v>
      </c>
      <c r="H575" s="22" t="n">
        <v>46140</v>
      </c>
      <c r="I575" s="22" t="n">
        <v>46539</v>
      </c>
      <c r="J575" s="22" t="n">
        <v>46277</v>
      </c>
      <c r="K575" s="16" t="s">
        <v>596</v>
      </c>
      <c r="L575" s="16" t="s">
        <v>592</v>
      </c>
      <c r="M575" s="16" t="s">
        <v>593</v>
      </c>
      <c r="N575" s="16"/>
      <c r="O575" s="7" t="n">
        <f aca="false">IF(OR(E575="Closed Won",E575="Closed Lost"),0,1)</f>
        <v>1</v>
      </c>
      <c r="P575" s="17" t="str">
        <f aca="false">INDEX(Accounts!$K$5:$K$336,MATCH(B575,Accounts!$A$5:$A$336,0))</f>
        <v>Real Estate &amp; Infrastructure</v>
      </c>
      <c r="Q575" s="17" t="str">
        <f aca="false">INDEX(Accounts!$D$5:$D$336,MATCH(B575,Accounts!$A$5:$A$336,0))</f>
        <v>Standard</v>
      </c>
      <c r="R575" s="7" t="n">
        <f aca="false">INDEX(Inputs!$B$11:$B$16,MATCH(E575,Inputs!$A$11:$A$16,0))</f>
        <v>50</v>
      </c>
      <c r="S575" s="27" t="n">
        <f aca="false">IF(F575="",0,F575)*R575/100</f>
        <v>6683500</v>
      </c>
      <c r="T575" s="7" t="n">
        <f aca="false">Inputs!$B$4-J575</f>
        <v>37</v>
      </c>
      <c r="U575" s="7" t="n">
        <f aca="false">IF(OR(F575="",F575=0),1,0)</f>
        <v>0</v>
      </c>
      <c r="V575" s="7" t="n">
        <f aca="false">IF(K575="",1,0)</f>
        <v>0</v>
      </c>
      <c r="W575" s="7" t="n">
        <f aca="false">IF(AND(O575=1,K575&lt;&gt;"",COUNTIFS(Owners!$A$5:$A$32,K575,Owners!$E$5:$E$32,"No")&gt;0),1,0)</f>
        <v>0</v>
      </c>
      <c r="X575" s="7" t="n">
        <f aca="false">IF(AND(O575=1,I575&lt;Inputs!$B$4),1,0)</f>
        <v>0</v>
      </c>
      <c r="Y575" s="7" t="n">
        <f aca="false">IF(AND(O575=1,T575&gt;Inputs!$B$5),1,0)</f>
        <v>0</v>
      </c>
      <c r="Z575" s="7" t="n">
        <f aca="false">IF(AND(O575=1,G575&lt;&gt;R575),1,0)</f>
        <v>0</v>
      </c>
      <c r="AA575" s="7" t="n">
        <f aca="false">IF(AND(O575=1,M575=""),1,0)</f>
        <v>0</v>
      </c>
      <c r="AB575" s="7" t="n">
        <f aca="false">IF(AND(E575="Closed Lost",N575=""),1,0)</f>
        <v>0</v>
      </c>
      <c r="AC575" s="7" t="n">
        <f aca="false">SUM(U575:AB575)</f>
        <v>0</v>
      </c>
      <c r="AD575" s="7" t="n">
        <f aca="false">IF(AC575=0,1,0)</f>
        <v>1</v>
      </c>
      <c r="AE575" s="7" t="n">
        <f aca="false">IF(AND(O575=1,I575&gt;=Inputs!$B$6,I575&lt;=Inputs!$B$7),1,0)</f>
        <v>1</v>
      </c>
      <c r="AF575" s="7" t="n">
        <f aca="false">IF(AND(E575="Closed Won",I575&gt;=Inputs!$B$6,I575&lt;=Inputs!$B$4),1,0)</f>
        <v>0</v>
      </c>
      <c r="AG575" s="7" t="n">
        <f aca="false">IF(AND(O575=0,I575&gt;Inputs!$B$4-Inputs!$B$8,I575&lt;=Inputs!$B$4),1,0)</f>
        <v>0</v>
      </c>
      <c r="AH575" s="7" t="n">
        <f aca="false">I575-H575</f>
        <v>399</v>
      </c>
    </row>
    <row r="576" customFormat="false" ht="15" hidden="false" customHeight="false" outlineLevel="0" collapsed="false">
      <c r="A576" s="16" t="s">
        <v>1846</v>
      </c>
      <c r="B576" s="16" t="s">
        <v>87</v>
      </c>
      <c r="C576" s="16" t="s">
        <v>1847</v>
      </c>
      <c r="D576" s="16" t="s">
        <v>162</v>
      </c>
      <c r="E576" s="16" t="s">
        <v>530</v>
      </c>
      <c r="F576" s="26" t="n">
        <v>0</v>
      </c>
      <c r="G576" s="25" t="n">
        <v>100</v>
      </c>
      <c r="H576" s="22" t="n">
        <v>45978</v>
      </c>
      <c r="I576" s="22" t="n">
        <v>46133</v>
      </c>
      <c r="J576" s="22" t="n">
        <v>46133</v>
      </c>
      <c r="K576" s="16" t="s">
        <v>640</v>
      </c>
      <c r="L576" s="16" t="s">
        <v>568</v>
      </c>
      <c r="M576" s="16"/>
      <c r="N576" s="16"/>
      <c r="O576" s="7" t="n">
        <f aca="false">IF(OR(E576="Closed Won",E576="Closed Lost"),0,1)</f>
        <v>0</v>
      </c>
      <c r="P576" s="17" t="str">
        <f aca="false">INDEX(Accounts!$K$5:$K$336,MATCH(B576,Accounts!$A$5:$A$336,0))</f>
        <v>Unassigned</v>
      </c>
      <c r="Q576" s="17" t="str">
        <f aca="false">INDEX(Accounts!$D$5:$D$336,MATCH(B576,Accounts!$A$5:$A$336,0))</f>
        <v>Priority</v>
      </c>
      <c r="R576" s="7" t="n">
        <f aca="false">INDEX(Inputs!$B$11:$B$16,MATCH(E576,Inputs!$A$11:$A$16,0))</f>
        <v>100</v>
      </c>
      <c r="S576" s="27" t="n">
        <f aca="false">IF(F576="",0,F576)*R576/100</f>
        <v>0</v>
      </c>
      <c r="T576" s="7" t="n">
        <f aca="false">Inputs!$B$4-J576</f>
        <v>181</v>
      </c>
      <c r="U576" s="7" t="n">
        <f aca="false">IF(OR(F576="",F576=0),1,0)</f>
        <v>1</v>
      </c>
      <c r="V576" s="7" t="n">
        <f aca="false">IF(K576="",1,0)</f>
        <v>0</v>
      </c>
      <c r="W576" s="7" t="n">
        <f aca="false">IF(AND(O576=1,K576&lt;&gt;"",COUNTIFS(Owners!$A$5:$A$32,K576,Owners!$E$5:$E$32,"No")&gt;0),1,0)</f>
        <v>0</v>
      </c>
      <c r="X576" s="7" t="n">
        <f aca="false">IF(AND(O576=1,I576&lt;Inputs!$B$4),1,0)</f>
        <v>0</v>
      </c>
      <c r="Y576" s="7" t="n">
        <f aca="false">IF(AND(O576=1,T576&gt;Inputs!$B$5),1,0)</f>
        <v>0</v>
      </c>
      <c r="Z576" s="7" t="n">
        <f aca="false">IF(AND(O576=1,G576&lt;&gt;R576),1,0)</f>
        <v>0</v>
      </c>
      <c r="AA576" s="7" t="n">
        <f aca="false">IF(AND(O576=1,M576=""),1,0)</f>
        <v>0</v>
      </c>
      <c r="AB576" s="7" t="n">
        <f aca="false">IF(AND(E576="Closed Lost",N576=""),1,0)</f>
        <v>0</v>
      </c>
      <c r="AC576" s="7" t="n">
        <f aca="false">SUM(U576:AB576)</f>
        <v>1</v>
      </c>
      <c r="AD576" s="7" t="n">
        <f aca="false">IF(AC576=0,1,0)</f>
        <v>0</v>
      </c>
      <c r="AE576" s="7" t="n">
        <f aca="false">IF(AND(O576=1,I576&gt;=Inputs!$B$6,I576&lt;=Inputs!$B$7),1,0)</f>
        <v>0</v>
      </c>
      <c r="AF576" s="7" t="n">
        <f aca="false">IF(AND(E576="Closed Won",I576&gt;=Inputs!$B$6,I576&lt;=Inputs!$B$4),1,0)</f>
        <v>0</v>
      </c>
      <c r="AG576" s="7" t="n">
        <f aca="false">IF(AND(O576=0,I576&gt;Inputs!$B$4-Inputs!$B$8,I576&lt;=Inputs!$B$4),1,0)</f>
        <v>1</v>
      </c>
      <c r="AH576" s="7" t="n">
        <f aca="false">I576-H576</f>
        <v>155</v>
      </c>
    </row>
    <row r="577" customFormat="false" ht="15" hidden="false" customHeight="false" outlineLevel="0" collapsed="false">
      <c r="A577" s="16" t="s">
        <v>1848</v>
      </c>
      <c r="B577" s="16" t="s">
        <v>581</v>
      </c>
      <c r="C577" s="16" t="s">
        <v>1849</v>
      </c>
      <c r="D577" s="16" t="s">
        <v>162</v>
      </c>
      <c r="E577" s="16" t="s">
        <v>531</v>
      </c>
      <c r="F577" s="26" t="n">
        <v>5751000</v>
      </c>
      <c r="G577" s="25" t="n">
        <v>0</v>
      </c>
      <c r="H577" s="22" t="n">
        <v>46121</v>
      </c>
      <c r="I577" s="22" t="n">
        <v>46252</v>
      </c>
      <c r="J577" s="22" t="n">
        <v>46252</v>
      </c>
      <c r="K577" s="16" t="s">
        <v>567</v>
      </c>
      <c r="L577" s="16" t="s">
        <v>609</v>
      </c>
      <c r="M577" s="16"/>
      <c r="N577" s="16" t="s">
        <v>697</v>
      </c>
      <c r="O577" s="7" t="n">
        <f aca="false">IF(OR(E577="Closed Won",E577="Closed Lost"),0,1)</f>
        <v>0</v>
      </c>
      <c r="P577" s="17" t="str">
        <f aca="false">INDEX(Accounts!$K$5:$K$336,MATCH(B577,Accounts!$A$5:$A$336,0))</f>
        <v>Financial Services</v>
      </c>
      <c r="Q577" s="17" t="str">
        <f aca="false">INDEX(Accounts!$D$5:$D$336,MATCH(B577,Accounts!$A$5:$A$336,0))</f>
        <v>Standard</v>
      </c>
      <c r="R577" s="7" t="n">
        <f aca="false">INDEX(Inputs!$B$11:$B$16,MATCH(E577,Inputs!$A$11:$A$16,0))</f>
        <v>0</v>
      </c>
      <c r="S577" s="27" t="n">
        <f aca="false">IF(F577="",0,F577)*R577/100</f>
        <v>0</v>
      </c>
      <c r="T577" s="7" t="n">
        <f aca="false">Inputs!$B$4-J577</f>
        <v>62</v>
      </c>
      <c r="U577" s="7" t="n">
        <f aca="false">IF(OR(F577="",F577=0),1,0)</f>
        <v>0</v>
      </c>
      <c r="V577" s="7" t="n">
        <f aca="false">IF(K577="",1,0)</f>
        <v>0</v>
      </c>
      <c r="W577" s="7" t="n">
        <f aca="false">IF(AND(O577=1,K577&lt;&gt;"",COUNTIFS(Owners!$A$5:$A$32,K577,Owners!$E$5:$E$32,"No")&gt;0),1,0)</f>
        <v>0</v>
      </c>
      <c r="X577" s="7" t="n">
        <f aca="false">IF(AND(O577=1,I577&lt;Inputs!$B$4),1,0)</f>
        <v>0</v>
      </c>
      <c r="Y577" s="7" t="n">
        <f aca="false">IF(AND(O577=1,T577&gt;Inputs!$B$5),1,0)</f>
        <v>0</v>
      </c>
      <c r="Z577" s="7" t="n">
        <f aca="false">IF(AND(O577=1,G577&lt;&gt;R577),1,0)</f>
        <v>0</v>
      </c>
      <c r="AA577" s="7" t="n">
        <f aca="false">IF(AND(O577=1,M577=""),1,0)</f>
        <v>0</v>
      </c>
      <c r="AB577" s="7" t="n">
        <f aca="false">IF(AND(E577="Closed Lost",N577=""),1,0)</f>
        <v>0</v>
      </c>
      <c r="AC577" s="7" t="n">
        <f aca="false">SUM(U577:AB577)</f>
        <v>0</v>
      </c>
      <c r="AD577" s="7" t="n">
        <f aca="false">IF(AC577=0,1,0)</f>
        <v>1</v>
      </c>
      <c r="AE577" s="7" t="n">
        <f aca="false">IF(AND(O577=1,I577&gt;=Inputs!$B$6,I577&lt;=Inputs!$B$7),1,0)</f>
        <v>0</v>
      </c>
      <c r="AF577" s="7" t="n">
        <f aca="false">IF(AND(E577="Closed Won",I577&gt;=Inputs!$B$6,I577&lt;=Inputs!$B$4),1,0)</f>
        <v>0</v>
      </c>
      <c r="AG577" s="7" t="n">
        <f aca="false">IF(AND(O577=0,I577&gt;Inputs!$B$4-Inputs!$B$8,I577&lt;=Inputs!$B$4),1,0)</f>
        <v>1</v>
      </c>
      <c r="AH577" s="7" t="n">
        <f aca="false">I577-H577</f>
        <v>131</v>
      </c>
    </row>
    <row r="578" customFormat="false" ht="15" hidden="false" customHeight="false" outlineLevel="0" collapsed="false">
      <c r="A578" s="16" t="s">
        <v>1850</v>
      </c>
      <c r="B578" s="16" t="s">
        <v>258</v>
      </c>
      <c r="C578" s="16" t="s">
        <v>1851</v>
      </c>
      <c r="D578" s="16" t="s">
        <v>167</v>
      </c>
      <c r="E578" s="16" t="s">
        <v>528</v>
      </c>
      <c r="F578" s="26" t="n">
        <v>10619000</v>
      </c>
      <c r="G578" s="25" t="n">
        <v>50</v>
      </c>
      <c r="H578" s="22" t="n">
        <v>46292</v>
      </c>
      <c r="I578" s="22" t="n">
        <v>46410</v>
      </c>
      <c r="J578" s="22" t="n">
        <v>46302</v>
      </c>
      <c r="K578" s="16" t="s">
        <v>600</v>
      </c>
      <c r="L578" s="16" t="s">
        <v>568</v>
      </c>
      <c r="M578" s="16" t="s">
        <v>593</v>
      </c>
      <c r="N578" s="16"/>
      <c r="O578" s="7" t="n">
        <f aca="false">IF(OR(E578="Closed Won",E578="Closed Lost"),0,1)</f>
        <v>1</v>
      </c>
      <c r="P578" s="17" t="str">
        <f aca="false">INDEX(Accounts!$K$5:$K$336,MATCH(B578,Accounts!$A$5:$A$336,0))</f>
        <v>Energy &amp; Resources</v>
      </c>
      <c r="Q578" s="17" t="str">
        <f aca="false">INDEX(Accounts!$D$5:$D$336,MATCH(B578,Accounts!$A$5:$A$336,0))</f>
        <v>Standard</v>
      </c>
      <c r="R578" s="7" t="n">
        <f aca="false">INDEX(Inputs!$B$11:$B$16,MATCH(E578,Inputs!$A$11:$A$16,0))</f>
        <v>50</v>
      </c>
      <c r="S578" s="27" t="n">
        <f aca="false">IF(F578="",0,F578)*R578/100</f>
        <v>5309500</v>
      </c>
      <c r="T578" s="7" t="n">
        <f aca="false">Inputs!$B$4-J578</f>
        <v>12</v>
      </c>
      <c r="U578" s="7" t="n">
        <f aca="false">IF(OR(F578="",F578=0),1,0)</f>
        <v>0</v>
      </c>
      <c r="V578" s="7" t="n">
        <f aca="false">IF(K578="",1,0)</f>
        <v>0</v>
      </c>
      <c r="W578" s="7" t="n">
        <f aca="false">IF(AND(O578=1,K578&lt;&gt;"",COUNTIFS(Owners!$A$5:$A$32,K578,Owners!$E$5:$E$32,"No")&gt;0),1,0)</f>
        <v>0</v>
      </c>
      <c r="X578" s="7" t="n">
        <f aca="false">IF(AND(O578=1,I578&lt;Inputs!$B$4),1,0)</f>
        <v>0</v>
      </c>
      <c r="Y578" s="7" t="n">
        <f aca="false">IF(AND(O578=1,T578&gt;Inputs!$B$5),1,0)</f>
        <v>0</v>
      </c>
      <c r="Z578" s="7" t="n">
        <f aca="false">IF(AND(O578=1,G578&lt;&gt;R578),1,0)</f>
        <v>0</v>
      </c>
      <c r="AA578" s="7" t="n">
        <f aca="false">IF(AND(O578=1,M578=""),1,0)</f>
        <v>0</v>
      </c>
      <c r="AB578" s="7" t="n">
        <f aca="false">IF(AND(E578="Closed Lost",N578=""),1,0)</f>
        <v>0</v>
      </c>
      <c r="AC578" s="7" t="n">
        <f aca="false">SUM(U578:AB578)</f>
        <v>0</v>
      </c>
      <c r="AD578" s="7" t="n">
        <f aca="false">IF(AC578=0,1,0)</f>
        <v>1</v>
      </c>
      <c r="AE578" s="7" t="n">
        <f aca="false">IF(AND(O578=1,I578&gt;=Inputs!$B$6,I578&lt;=Inputs!$B$7),1,0)</f>
        <v>1</v>
      </c>
      <c r="AF578" s="7" t="n">
        <f aca="false">IF(AND(E578="Closed Won",I578&gt;=Inputs!$B$6,I578&lt;=Inputs!$B$4),1,0)</f>
        <v>0</v>
      </c>
      <c r="AG578" s="7" t="n">
        <f aca="false">IF(AND(O578=0,I578&gt;Inputs!$B$4-Inputs!$B$8,I578&lt;=Inputs!$B$4),1,0)</f>
        <v>0</v>
      </c>
      <c r="AH578" s="7" t="n">
        <f aca="false">I578-H578</f>
        <v>118</v>
      </c>
    </row>
    <row r="579" customFormat="false" ht="15" hidden="false" customHeight="false" outlineLevel="0" collapsed="false">
      <c r="A579" s="16" t="s">
        <v>1852</v>
      </c>
      <c r="B579" s="16" t="s">
        <v>67</v>
      </c>
      <c r="C579" s="16" t="s">
        <v>1853</v>
      </c>
      <c r="D579" s="16" t="s">
        <v>165</v>
      </c>
      <c r="E579" s="16" t="s">
        <v>528</v>
      </c>
      <c r="F579" s="26" t="n">
        <v>17491000</v>
      </c>
      <c r="G579" s="25" t="n">
        <v>50</v>
      </c>
      <c r="H579" s="22" t="n">
        <v>46272</v>
      </c>
      <c r="I579" s="22" t="n">
        <v>46315</v>
      </c>
      <c r="J579" s="22" t="n">
        <v>46302</v>
      </c>
      <c r="K579" s="16" t="s">
        <v>596</v>
      </c>
      <c r="L579" s="16" t="s">
        <v>574</v>
      </c>
      <c r="M579" s="16" t="s">
        <v>575</v>
      </c>
      <c r="N579" s="16"/>
      <c r="O579" s="7" t="n">
        <f aca="false">IF(OR(E579="Closed Won",E579="Closed Lost"),0,1)</f>
        <v>1</v>
      </c>
      <c r="P579" s="17" t="str">
        <f aca="false">INDEX(Accounts!$K$5:$K$336,MATCH(B579,Accounts!$A$5:$A$336,0))</f>
        <v>Financial Services</v>
      </c>
      <c r="Q579" s="17" t="str">
        <f aca="false">INDEX(Accounts!$D$5:$D$336,MATCH(B579,Accounts!$A$5:$A$336,0))</f>
        <v>Priority</v>
      </c>
      <c r="R579" s="7" t="n">
        <f aca="false">INDEX(Inputs!$B$11:$B$16,MATCH(E579,Inputs!$A$11:$A$16,0))</f>
        <v>50</v>
      </c>
      <c r="S579" s="27" t="n">
        <f aca="false">IF(F579="",0,F579)*R579/100</f>
        <v>8745500</v>
      </c>
      <c r="T579" s="7" t="n">
        <f aca="false">Inputs!$B$4-J579</f>
        <v>12</v>
      </c>
      <c r="U579" s="7" t="n">
        <f aca="false">IF(OR(F579="",F579=0),1,0)</f>
        <v>0</v>
      </c>
      <c r="V579" s="7" t="n">
        <f aca="false">IF(K579="",1,0)</f>
        <v>0</v>
      </c>
      <c r="W579" s="7" t="n">
        <f aca="false">IF(AND(O579=1,K579&lt;&gt;"",COUNTIFS(Owners!$A$5:$A$32,K579,Owners!$E$5:$E$32,"No")&gt;0),1,0)</f>
        <v>0</v>
      </c>
      <c r="X579" s="7" t="n">
        <f aca="false">IF(AND(O579=1,I579&lt;Inputs!$B$4),1,0)</f>
        <v>0</v>
      </c>
      <c r="Y579" s="7" t="n">
        <f aca="false">IF(AND(O579=1,T579&gt;Inputs!$B$5),1,0)</f>
        <v>0</v>
      </c>
      <c r="Z579" s="7" t="n">
        <f aca="false">IF(AND(O579=1,G579&lt;&gt;R579),1,0)</f>
        <v>0</v>
      </c>
      <c r="AA579" s="7" t="n">
        <f aca="false">IF(AND(O579=1,M579=""),1,0)</f>
        <v>0</v>
      </c>
      <c r="AB579" s="7" t="n">
        <f aca="false">IF(AND(E579="Closed Lost",N579=""),1,0)</f>
        <v>0</v>
      </c>
      <c r="AC579" s="7" t="n">
        <f aca="false">SUM(U579:AB579)</f>
        <v>0</v>
      </c>
      <c r="AD579" s="7" t="n">
        <f aca="false">IF(AC579=0,1,0)</f>
        <v>1</v>
      </c>
      <c r="AE579" s="7" t="n">
        <f aca="false">IF(AND(O579=1,I579&gt;=Inputs!$B$6,I579&lt;=Inputs!$B$7),1,0)</f>
        <v>1</v>
      </c>
      <c r="AF579" s="7" t="n">
        <f aca="false">IF(AND(E579="Closed Won",I579&gt;=Inputs!$B$6,I579&lt;=Inputs!$B$4),1,0)</f>
        <v>0</v>
      </c>
      <c r="AG579" s="7" t="n">
        <f aca="false">IF(AND(O579=0,I579&gt;Inputs!$B$4-Inputs!$B$8,I579&lt;=Inputs!$B$4),1,0)</f>
        <v>0</v>
      </c>
      <c r="AH579" s="7" t="n">
        <f aca="false">I579-H579</f>
        <v>43</v>
      </c>
    </row>
    <row r="580" customFormat="false" ht="15" hidden="false" customHeight="false" outlineLevel="0" collapsed="false">
      <c r="A580" s="16" t="s">
        <v>1854</v>
      </c>
      <c r="B580" s="16" t="s">
        <v>57</v>
      </c>
      <c r="C580" s="16" t="s">
        <v>1855</v>
      </c>
      <c r="D580" s="16" t="s">
        <v>165</v>
      </c>
      <c r="E580" s="16" t="s">
        <v>530</v>
      </c>
      <c r="F580" s="26" t="n">
        <v>32122000</v>
      </c>
      <c r="G580" s="25" t="n">
        <v>100</v>
      </c>
      <c r="H580" s="22" t="n">
        <v>45907</v>
      </c>
      <c r="I580" s="22" t="n">
        <v>46124</v>
      </c>
      <c r="J580" s="22" t="n">
        <v>46124</v>
      </c>
      <c r="K580" s="16" t="s">
        <v>596</v>
      </c>
      <c r="L580" s="16" t="s">
        <v>592</v>
      </c>
      <c r="M580" s="16"/>
      <c r="N580" s="16"/>
      <c r="O580" s="7" t="n">
        <f aca="false">IF(OR(E580="Closed Won",E580="Closed Lost"),0,1)</f>
        <v>0</v>
      </c>
      <c r="P580" s="17" t="str">
        <f aca="false">INDEX(Accounts!$K$5:$K$336,MATCH(B580,Accounts!$A$5:$A$336,0))</f>
        <v>Financial Services</v>
      </c>
      <c r="Q580" s="17" t="str">
        <f aca="false">INDEX(Accounts!$D$5:$D$336,MATCH(B580,Accounts!$A$5:$A$336,0))</f>
        <v>Priority</v>
      </c>
      <c r="R580" s="7" t="n">
        <f aca="false">INDEX(Inputs!$B$11:$B$16,MATCH(E580,Inputs!$A$11:$A$16,0))</f>
        <v>100</v>
      </c>
      <c r="S580" s="27" t="n">
        <f aca="false">IF(F580="",0,F580)*R580/100</f>
        <v>32122000</v>
      </c>
      <c r="T580" s="7" t="n">
        <f aca="false">Inputs!$B$4-J580</f>
        <v>190</v>
      </c>
      <c r="U580" s="7" t="n">
        <f aca="false">IF(OR(F580="",F580=0),1,0)</f>
        <v>0</v>
      </c>
      <c r="V580" s="7" t="n">
        <f aca="false">IF(K580="",1,0)</f>
        <v>0</v>
      </c>
      <c r="W580" s="7" t="n">
        <f aca="false">IF(AND(O580=1,K580&lt;&gt;"",COUNTIFS(Owners!$A$5:$A$32,K580,Owners!$E$5:$E$32,"No")&gt;0),1,0)</f>
        <v>0</v>
      </c>
      <c r="X580" s="7" t="n">
        <f aca="false">IF(AND(O580=1,I580&lt;Inputs!$B$4),1,0)</f>
        <v>0</v>
      </c>
      <c r="Y580" s="7" t="n">
        <f aca="false">IF(AND(O580=1,T580&gt;Inputs!$B$5),1,0)</f>
        <v>0</v>
      </c>
      <c r="Z580" s="7" t="n">
        <f aca="false">IF(AND(O580=1,G580&lt;&gt;R580),1,0)</f>
        <v>0</v>
      </c>
      <c r="AA580" s="7" t="n">
        <f aca="false">IF(AND(O580=1,M580=""),1,0)</f>
        <v>0</v>
      </c>
      <c r="AB580" s="7" t="n">
        <f aca="false">IF(AND(E580="Closed Lost",N580=""),1,0)</f>
        <v>0</v>
      </c>
      <c r="AC580" s="7" t="n">
        <f aca="false">SUM(U580:AB580)</f>
        <v>0</v>
      </c>
      <c r="AD580" s="7" t="n">
        <f aca="false">IF(AC580=0,1,0)</f>
        <v>1</v>
      </c>
      <c r="AE580" s="7" t="n">
        <f aca="false">IF(AND(O580=1,I580&gt;=Inputs!$B$6,I580&lt;=Inputs!$B$7),1,0)</f>
        <v>0</v>
      </c>
      <c r="AF580" s="7" t="n">
        <f aca="false">IF(AND(E580="Closed Won",I580&gt;=Inputs!$B$6,I580&lt;=Inputs!$B$4),1,0)</f>
        <v>0</v>
      </c>
      <c r="AG580" s="7" t="n">
        <f aca="false">IF(AND(O580=0,I580&gt;Inputs!$B$4-Inputs!$B$8,I580&lt;=Inputs!$B$4),1,0)</f>
        <v>1</v>
      </c>
      <c r="AH580" s="7" t="n">
        <f aca="false">I580-H580</f>
        <v>217</v>
      </c>
    </row>
    <row r="581" customFormat="false" ht="15" hidden="false" customHeight="false" outlineLevel="0" collapsed="false">
      <c r="A581" s="16" t="s">
        <v>1856</v>
      </c>
      <c r="B581" s="16" t="s">
        <v>945</v>
      </c>
      <c r="C581" s="16" t="s">
        <v>1857</v>
      </c>
      <c r="D581" s="16" t="s">
        <v>158</v>
      </c>
      <c r="E581" s="16" t="s">
        <v>531</v>
      </c>
      <c r="F581" s="26" t="n">
        <v>59182000</v>
      </c>
      <c r="G581" s="25" t="n">
        <v>0</v>
      </c>
      <c r="H581" s="22" t="n">
        <v>46061</v>
      </c>
      <c r="I581" s="22" t="n">
        <v>46166</v>
      </c>
      <c r="J581" s="22" t="n">
        <v>46166</v>
      </c>
      <c r="K581" s="16" t="s">
        <v>637</v>
      </c>
      <c r="L581" s="16" t="s">
        <v>584</v>
      </c>
      <c r="M581" s="16"/>
      <c r="N581" s="16" t="s">
        <v>579</v>
      </c>
      <c r="O581" s="7" t="n">
        <f aca="false">IF(OR(E581="Closed Won",E581="Closed Lost"),0,1)</f>
        <v>0</v>
      </c>
      <c r="P581" s="17" t="str">
        <f aca="false">INDEX(Accounts!$K$5:$K$336,MATCH(B581,Accounts!$A$5:$A$336,0))</f>
        <v>Public Sector &amp; Development</v>
      </c>
      <c r="Q581" s="17" t="str">
        <f aca="false">INDEX(Accounts!$D$5:$D$336,MATCH(B581,Accounts!$A$5:$A$336,0))</f>
        <v>Key</v>
      </c>
      <c r="R581" s="7" t="n">
        <f aca="false">INDEX(Inputs!$B$11:$B$16,MATCH(E581,Inputs!$A$11:$A$16,0))</f>
        <v>0</v>
      </c>
      <c r="S581" s="27" t="n">
        <f aca="false">IF(F581="",0,F581)*R581/100</f>
        <v>0</v>
      </c>
      <c r="T581" s="7" t="n">
        <f aca="false">Inputs!$B$4-J581</f>
        <v>148</v>
      </c>
      <c r="U581" s="7" t="n">
        <f aca="false">IF(OR(F581="",F581=0),1,0)</f>
        <v>0</v>
      </c>
      <c r="V581" s="7" t="n">
        <f aca="false">IF(K581="",1,0)</f>
        <v>0</v>
      </c>
      <c r="W581" s="7" t="n">
        <f aca="false">IF(AND(O581=1,K581&lt;&gt;"",COUNTIFS(Owners!$A$5:$A$32,K581,Owners!$E$5:$E$32,"No")&gt;0),1,0)</f>
        <v>0</v>
      </c>
      <c r="X581" s="7" t="n">
        <f aca="false">IF(AND(O581=1,I581&lt;Inputs!$B$4),1,0)</f>
        <v>0</v>
      </c>
      <c r="Y581" s="7" t="n">
        <f aca="false">IF(AND(O581=1,T581&gt;Inputs!$B$5),1,0)</f>
        <v>0</v>
      </c>
      <c r="Z581" s="7" t="n">
        <f aca="false">IF(AND(O581=1,G581&lt;&gt;R581),1,0)</f>
        <v>0</v>
      </c>
      <c r="AA581" s="7" t="n">
        <f aca="false">IF(AND(O581=1,M581=""),1,0)</f>
        <v>0</v>
      </c>
      <c r="AB581" s="7" t="n">
        <f aca="false">IF(AND(E581="Closed Lost",N581=""),1,0)</f>
        <v>0</v>
      </c>
      <c r="AC581" s="7" t="n">
        <f aca="false">SUM(U581:AB581)</f>
        <v>0</v>
      </c>
      <c r="AD581" s="7" t="n">
        <f aca="false">IF(AC581=0,1,0)</f>
        <v>1</v>
      </c>
      <c r="AE581" s="7" t="n">
        <f aca="false">IF(AND(O581=1,I581&gt;=Inputs!$B$6,I581&lt;=Inputs!$B$7),1,0)</f>
        <v>0</v>
      </c>
      <c r="AF581" s="7" t="n">
        <f aca="false">IF(AND(E581="Closed Won",I581&gt;=Inputs!$B$6,I581&lt;=Inputs!$B$4),1,0)</f>
        <v>0</v>
      </c>
      <c r="AG581" s="7" t="n">
        <f aca="false">IF(AND(O581=0,I581&gt;Inputs!$B$4-Inputs!$B$8,I581&lt;=Inputs!$B$4),1,0)</f>
        <v>1</v>
      </c>
      <c r="AH581" s="7" t="n">
        <f aca="false">I581-H581</f>
        <v>105</v>
      </c>
    </row>
    <row r="582" customFormat="false" ht="15" hidden="false" customHeight="false" outlineLevel="0" collapsed="false">
      <c r="A582" s="16" t="s">
        <v>1858</v>
      </c>
      <c r="B582" s="16" t="s">
        <v>1686</v>
      </c>
      <c r="C582" s="16" t="s">
        <v>1687</v>
      </c>
      <c r="D582" s="16" t="s">
        <v>167</v>
      </c>
      <c r="E582" s="16" t="s">
        <v>530</v>
      </c>
      <c r="F582" s="26" t="n">
        <v>2707000</v>
      </c>
      <c r="G582" s="25" t="n">
        <v>100</v>
      </c>
      <c r="H582" s="22" t="n">
        <v>46015</v>
      </c>
      <c r="I582" s="22" t="n">
        <v>46172</v>
      </c>
      <c r="J582" s="22" t="n">
        <v>46172</v>
      </c>
      <c r="K582" s="16" t="s">
        <v>765</v>
      </c>
      <c r="L582" s="16" t="s">
        <v>609</v>
      </c>
      <c r="M582" s="16"/>
      <c r="N582" s="16"/>
      <c r="O582" s="7" t="n">
        <f aca="false">IF(OR(E582="Closed Won",E582="Closed Lost"),0,1)</f>
        <v>0</v>
      </c>
      <c r="P582" s="17" t="str">
        <f aca="false">INDEX(Accounts!$K$5:$K$336,MATCH(B582,Accounts!$A$5:$A$336,0))</f>
        <v>Financial Services</v>
      </c>
      <c r="Q582" s="17" t="str">
        <f aca="false">INDEX(Accounts!$D$5:$D$336,MATCH(B582,Accounts!$A$5:$A$336,0))</f>
        <v>Standard</v>
      </c>
      <c r="R582" s="7" t="n">
        <f aca="false">INDEX(Inputs!$B$11:$B$16,MATCH(E582,Inputs!$A$11:$A$16,0))</f>
        <v>100</v>
      </c>
      <c r="S582" s="27" t="n">
        <f aca="false">IF(F582="",0,F582)*R582/100</f>
        <v>2707000</v>
      </c>
      <c r="T582" s="7" t="n">
        <f aca="false">Inputs!$B$4-J582</f>
        <v>142</v>
      </c>
      <c r="U582" s="7" t="n">
        <f aca="false">IF(OR(F582="",F582=0),1,0)</f>
        <v>0</v>
      </c>
      <c r="V582" s="7" t="n">
        <f aca="false">IF(K582="",1,0)</f>
        <v>0</v>
      </c>
      <c r="W582" s="7" t="n">
        <f aca="false">IF(AND(O582=1,K582&lt;&gt;"",COUNTIFS(Owners!$A$5:$A$32,K582,Owners!$E$5:$E$32,"No")&gt;0),1,0)</f>
        <v>0</v>
      </c>
      <c r="X582" s="7" t="n">
        <f aca="false">IF(AND(O582=1,I582&lt;Inputs!$B$4),1,0)</f>
        <v>0</v>
      </c>
      <c r="Y582" s="7" t="n">
        <f aca="false">IF(AND(O582=1,T582&gt;Inputs!$B$5),1,0)</f>
        <v>0</v>
      </c>
      <c r="Z582" s="7" t="n">
        <f aca="false">IF(AND(O582=1,G582&lt;&gt;R582),1,0)</f>
        <v>0</v>
      </c>
      <c r="AA582" s="7" t="n">
        <f aca="false">IF(AND(O582=1,M582=""),1,0)</f>
        <v>0</v>
      </c>
      <c r="AB582" s="7" t="n">
        <f aca="false">IF(AND(E582="Closed Lost",N582=""),1,0)</f>
        <v>0</v>
      </c>
      <c r="AC582" s="7" t="n">
        <f aca="false">SUM(U582:AB582)</f>
        <v>0</v>
      </c>
      <c r="AD582" s="7" t="n">
        <f aca="false">IF(AC582=0,1,0)</f>
        <v>1</v>
      </c>
      <c r="AE582" s="7" t="n">
        <f aca="false">IF(AND(O582=1,I582&gt;=Inputs!$B$6,I582&lt;=Inputs!$B$7),1,0)</f>
        <v>0</v>
      </c>
      <c r="AF582" s="7" t="n">
        <f aca="false">IF(AND(E582="Closed Won",I582&gt;=Inputs!$B$6,I582&lt;=Inputs!$B$4),1,0)</f>
        <v>0</v>
      </c>
      <c r="AG582" s="7" t="n">
        <f aca="false">IF(AND(O582=0,I582&gt;Inputs!$B$4-Inputs!$B$8,I582&lt;=Inputs!$B$4),1,0)</f>
        <v>1</v>
      </c>
      <c r="AH582" s="7" t="n">
        <f aca="false">I582-H582</f>
        <v>157</v>
      </c>
    </row>
    <row r="583" customFormat="false" ht="15" hidden="false" customHeight="false" outlineLevel="0" collapsed="false">
      <c r="A583" s="16" t="s">
        <v>1859</v>
      </c>
      <c r="B583" s="16" t="s">
        <v>64</v>
      </c>
      <c r="C583" s="16" t="s">
        <v>1860</v>
      </c>
      <c r="D583" s="16" t="s">
        <v>165</v>
      </c>
      <c r="E583" s="16" t="s">
        <v>531</v>
      </c>
      <c r="F583" s="26" t="n">
        <v>28568000</v>
      </c>
      <c r="G583" s="25" t="n">
        <v>0</v>
      </c>
      <c r="H583" s="22" t="n">
        <v>45900</v>
      </c>
      <c r="I583" s="22" t="n">
        <v>46109</v>
      </c>
      <c r="J583" s="22" t="n">
        <v>46109</v>
      </c>
      <c r="K583" s="16"/>
      <c r="L583" s="16" t="s">
        <v>592</v>
      </c>
      <c r="M583" s="16"/>
      <c r="N583" s="16" t="s">
        <v>610</v>
      </c>
      <c r="O583" s="7" t="n">
        <f aca="false">IF(OR(E583="Closed Won",E583="Closed Lost"),0,1)</f>
        <v>0</v>
      </c>
      <c r="P583" s="17" t="str">
        <f aca="false">INDEX(Accounts!$K$5:$K$336,MATCH(B583,Accounts!$A$5:$A$336,0))</f>
        <v>Financial Services</v>
      </c>
      <c r="Q583" s="17" t="str">
        <f aca="false">INDEX(Accounts!$D$5:$D$336,MATCH(B583,Accounts!$A$5:$A$336,0))</f>
        <v>Priority</v>
      </c>
      <c r="R583" s="7" t="n">
        <f aca="false">INDEX(Inputs!$B$11:$B$16,MATCH(E583,Inputs!$A$11:$A$16,0))</f>
        <v>0</v>
      </c>
      <c r="S583" s="27" t="n">
        <f aca="false">IF(F583="",0,F583)*R583/100</f>
        <v>0</v>
      </c>
      <c r="T583" s="7" t="n">
        <f aca="false">Inputs!$B$4-J583</f>
        <v>205</v>
      </c>
      <c r="U583" s="7" t="n">
        <f aca="false">IF(OR(F583="",F583=0),1,0)</f>
        <v>0</v>
      </c>
      <c r="V583" s="7" t="n">
        <f aca="false">IF(K583="",1,0)</f>
        <v>1</v>
      </c>
      <c r="W583" s="7" t="n">
        <f aca="false">IF(AND(O583=1,K583&lt;&gt;"",COUNTIFS(Owners!$A$5:$A$32,K583,Owners!$E$5:$E$32,"No")&gt;0),1,0)</f>
        <v>0</v>
      </c>
      <c r="X583" s="7" t="n">
        <f aca="false">IF(AND(O583=1,I583&lt;Inputs!$B$4),1,0)</f>
        <v>0</v>
      </c>
      <c r="Y583" s="7" t="n">
        <f aca="false">IF(AND(O583=1,T583&gt;Inputs!$B$5),1,0)</f>
        <v>0</v>
      </c>
      <c r="Z583" s="7" t="n">
        <f aca="false">IF(AND(O583=1,G583&lt;&gt;R583),1,0)</f>
        <v>0</v>
      </c>
      <c r="AA583" s="7" t="n">
        <f aca="false">IF(AND(O583=1,M583=""),1,0)</f>
        <v>0</v>
      </c>
      <c r="AB583" s="7" t="n">
        <f aca="false">IF(AND(E583="Closed Lost",N583=""),1,0)</f>
        <v>0</v>
      </c>
      <c r="AC583" s="7" t="n">
        <f aca="false">SUM(U583:AB583)</f>
        <v>1</v>
      </c>
      <c r="AD583" s="7" t="n">
        <f aca="false">IF(AC583=0,1,0)</f>
        <v>0</v>
      </c>
      <c r="AE583" s="7" t="n">
        <f aca="false">IF(AND(O583=1,I583&gt;=Inputs!$B$6,I583&lt;=Inputs!$B$7),1,0)</f>
        <v>0</v>
      </c>
      <c r="AF583" s="7" t="n">
        <f aca="false">IF(AND(E583="Closed Won",I583&gt;=Inputs!$B$6,I583&lt;=Inputs!$B$4),1,0)</f>
        <v>0</v>
      </c>
      <c r="AG583" s="7" t="n">
        <f aca="false">IF(AND(O583=0,I583&gt;Inputs!$B$4-Inputs!$B$8,I583&lt;=Inputs!$B$4),1,0)</f>
        <v>1</v>
      </c>
      <c r="AH583" s="7" t="n">
        <f aca="false">I583-H583</f>
        <v>209</v>
      </c>
    </row>
    <row r="584" customFormat="false" ht="15" hidden="false" customHeight="false" outlineLevel="0" collapsed="false">
      <c r="A584" s="16" t="s">
        <v>1861</v>
      </c>
      <c r="B584" s="16" t="s">
        <v>277</v>
      </c>
      <c r="C584" s="16" t="s">
        <v>1862</v>
      </c>
      <c r="D584" s="16" t="s">
        <v>177</v>
      </c>
      <c r="E584" s="16" t="s">
        <v>530</v>
      </c>
      <c r="F584" s="26" t="n">
        <v>18524000</v>
      </c>
      <c r="G584" s="25" t="n">
        <v>100</v>
      </c>
      <c r="H584" s="22" t="n">
        <v>46020</v>
      </c>
      <c r="I584" s="22" t="n">
        <v>46082</v>
      </c>
      <c r="J584" s="22" t="n">
        <v>46082</v>
      </c>
      <c r="K584" s="16" t="s">
        <v>578</v>
      </c>
      <c r="L584" s="16" t="s">
        <v>500</v>
      </c>
      <c r="M584" s="16"/>
      <c r="N584" s="16"/>
      <c r="O584" s="7" t="n">
        <f aca="false">IF(OR(E584="Closed Won",E584="Closed Lost"),0,1)</f>
        <v>0</v>
      </c>
      <c r="P584" s="17" t="str">
        <f aca="false">INDEX(Accounts!$K$5:$K$336,MATCH(B584,Accounts!$A$5:$A$336,0))</f>
        <v>Technology, Media &amp; Telecom</v>
      </c>
      <c r="Q584" s="17" t="str">
        <f aca="false">INDEX(Accounts!$D$5:$D$336,MATCH(B584,Accounts!$A$5:$A$336,0))</f>
        <v>Standard</v>
      </c>
      <c r="R584" s="7" t="n">
        <f aca="false">INDEX(Inputs!$B$11:$B$16,MATCH(E584,Inputs!$A$11:$A$16,0))</f>
        <v>100</v>
      </c>
      <c r="S584" s="27" t="n">
        <f aca="false">IF(F584="",0,F584)*R584/100</f>
        <v>18524000</v>
      </c>
      <c r="T584" s="7" t="n">
        <f aca="false">Inputs!$B$4-J584</f>
        <v>232</v>
      </c>
      <c r="U584" s="7" t="n">
        <f aca="false">IF(OR(F584="",F584=0),1,0)</f>
        <v>0</v>
      </c>
      <c r="V584" s="7" t="n">
        <f aca="false">IF(K584="",1,0)</f>
        <v>0</v>
      </c>
      <c r="W584" s="7" t="n">
        <f aca="false">IF(AND(O584=1,K584&lt;&gt;"",COUNTIFS(Owners!$A$5:$A$32,K584,Owners!$E$5:$E$32,"No")&gt;0),1,0)</f>
        <v>0</v>
      </c>
      <c r="X584" s="7" t="n">
        <f aca="false">IF(AND(O584=1,I584&lt;Inputs!$B$4),1,0)</f>
        <v>0</v>
      </c>
      <c r="Y584" s="7" t="n">
        <f aca="false">IF(AND(O584=1,T584&gt;Inputs!$B$5),1,0)</f>
        <v>0</v>
      </c>
      <c r="Z584" s="7" t="n">
        <f aca="false">IF(AND(O584=1,G584&lt;&gt;R584),1,0)</f>
        <v>0</v>
      </c>
      <c r="AA584" s="7" t="n">
        <f aca="false">IF(AND(O584=1,M584=""),1,0)</f>
        <v>0</v>
      </c>
      <c r="AB584" s="7" t="n">
        <f aca="false">IF(AND(E584="Closed Lost",N584=""),1,0)</f>
        <v>0</v>
      </c>
      <c r="AC584" s="7" t="n">
        <f aca="false">SUM(U584:AB584)</f>
        <v>0</v>
      </c>
      <c r="AD584" s="7" t="n">
        <f aca="false">IF(AC584=0,1,0)</f>
        <v>1</v>
      </c>
      <c r="AE584" s="7" t="n">
        <f aca="false">IF(AND(O584=1,I584&gt;=Inputs!$B$6,I584&lt;=Inputs!$B$7),1,0)</f>
        <v>0</v>
      </c>
      <c r="AF584" s="7" t="n">
        <f aca="false">IF(AND(E584="Closed Won",I584&gt;=Inputs!$B$6,I584&lt;=Inputs!$B$4),1,0)</f>
        <v>0</v>
      </c>
      <c r="AG584" s="7" t="n">
        <f aca="false">IF(AND(O584=0,I584&gt;Inputs!$B$4-Inputs!$B$8,I584&lt;=Inputs!$B$4),1,0)</f>
        <v>1</v>
      </c>
      <c r="AH584" s="7" t="n">
        <f aca="false">I584-H584</f>
        <v>62</v>
      </c>
    </row>
    <row r="585" customFormat="false" ht="15" hidden="false" customHeight="false" outlineLevel="0" collapsed="false">
      <c r="A585" s="16" t="s">
        <v>1863</v>
      </c>
      <c r="B585" s="16" t="s">
        <v>57</v>
      </c>
      <c r="C585" s="16" t="s">
        <v>1864</v>
      </c>
      <c r="D585" s="16" t="s">
        <v>162</v>
      </c>
      <c r="E585" s="16" t="s">
        <v>531</v>
      </c>
      <c r="F585" s="26" t="n">
        <v>7361000</v>
      </c>
      <c r="G585" s="25" t="n">
        <v>0</v>
      </c>
      <c r="H585" s="22" t="n">
        <v>45958</v>
      </c>
      <c r="I585" s="22" t="n">
        <v>46200</v>
      </c>
      <c r="J585" s="22" t="n">
        <v>46200</v>
      </c>
      <c r="K585" s="16" t="s">
        <v>691</v>
      </c>
      <c r="L585" s="16" t="s">
        <v>609</v>
      </c>
      <c r="M585" s="16"/>
      <c r="N585" s="16" t="s">
        <v>722</v>
      </c>
      <c r="O585" s="7" t="n">
        <f aca="false">IF(OR(E585="Closed Won",E585="Closed Lost"),0,1)</f>
        <v>0</v>
      </c>
      <c r="P585" s="17" t="str">
        <f aca="false">INDEX(Accounts!$K$5:$K$336,MATCH(B585,Accounts!$A$5:$A$336,0))</f>
        <v>Financial Services</v>
      </c>
      <c r="Q585" s="17" t="str">
        <f aca="false">INDEX(Accounts!$D$5:$D$336,MATCH(B585,Accounts!$A$5:$A$336,0))</f>
        <v>Priority</v>
      </c>
      <c r="R585" s="7" t="n">
        <f aca="false">INDEX(Inputs!$B$11:$B$16,MATCH(E585,Inputs!$A$11:$A$16,0))</f>
        <v>0</v>
      </c>
      <c r="S585" s="27" t="n">
        <f aca="false">IF(F585="",0,F585)*R585/100</f>
        <v>0</v>
      </c>
      <c r="T585" s="7" t="n">
        <f aca="false">Inputs!$B$4-J585</f>
        <v>114</v>
      </c>
      <c r="U585" s="7" t="n">
        <f aca="false">IF(OR(F585="",F585=0),1,0)</f>
        <v>0</v>
      </c>
      <c r="V585" s="7" t="n">
        <f aca="false">IF(K585="",1,0)</f>
        <v>0</v>
      </c>
      <c r="W585" s="7" t="n">
        <f aca="false">IF(AND(O585=1,K585&lt;&gt;"",COUNTIFS(Owners!$A$5:$A$32,K585,Owners!$E$5:$E$32,"No")&gt;0),1,0)</f>
        <v>0</v>
      </c>
      <c r="X585" s="7" t="n">
        <f aca="false">IF(AND(O585=1,I585&lt;Inputs!$B$4),1,0)</f>
        <v>0</v>
      </c>
      <c r="Y585" s="7" t="n">
        <f aca="false">IF(AND(O585=1,T585&gt;Inputs!$B$5),1,0)</f>
        <v>0</v>
      </c>
      <c r="Z585" s="7" t="n">
        <f aca="false">IF(AND(O585=1,G585&lt;&gt;R585),1,0)</f>
        <v>0</v>
      </c>
      <c r="AA585" s="7" t="n">
        <f aca="false">IF(AND(O585=1,M585=""),1,0)</f>
        <v>0</v>
      </c>
      <c r="AB585" s="7" t="n">
        <f aca="false">IF(AND(E585="Closed Lost",N585=""),1,0)</f>
        <v>0</v>
      </c>
      <c r="AC585" s="7" t="n">
        <f aca="false">SUM(U585:AB585)</f>
        <v>0</v>
      </c>
      <c r="AD585" s="7" t="n">
        <f aca="false">IF(AC585=0,1,0)</f>
        <v>1</v>
      </c>
      <c r="AE585" s="7" t="n">
        <f aca="false">IF(AND(O585=1,I585&gt;=Inputs!$B$6,I585&lt;=Inputs!$B$7),1,0)</f>
        <v>0</v>
      </c>
      <c r="AF585" s="7" t="n">
        <f aca="false">IF(AND(E585="Closed Won",I585&gt;=Inputs!$B$6,I585&lt;=Inputs!$B$4),1,0)</f>
        <v>0</v>
      </c>
      <c r="AG585" s="7" t="n">
        <f aca="false">IF(AND(O585=0,I585&gt;Inputs!$B$4-Inputs!$B$8,I585&lt;=Inputs!$B$4),1,0)</f>
        <v>1</v>
      </c>
      <c r="AH585" s="7" t="n">
        <f aca="false">I585-H585</f>
        <v>242</v>
      </c>
    </row>
    <row r="586" customFormat="false" ht="15" hidden="false" customHeight="false" outlineLevel="0" collapsed="false">
      <c r="A586" s="16" t="s">
        <v>1865</v>
      </c>
      <c r="B586" s="16" t="s">
        <v>285</v>
      </c>
      <c r="C586" s="16" t="s">
        <v>1866</v>
      </c>
      <c r="D586" s="16" t="s">
        <v>162</v>
      </c>
      <c r="E586" s="16" t="s">
        <v>531</v>
      </c>
      <c r="F586" s="26" t="n">
        <v>10651000</v>
      </c>
      <c r="G586" s="25" t="n">
        <v>0</v>
      </c>
      <c r="H586" s="22" t="n">
        <v>46018</v>
      </c>
      <c r="I586" s="22" t="n">
        <v>46177</v>
      </c>
      <c r="J586" s="22" t="n">
        <v>46177</v>
      </c>
      <c r="K586" s="16" t="s">
        <v>591</v>
      </c>
      <c r="L586" s="16" t="s">
        <v>609</v>
      </c>
      <c r="M586" s="16"/>
      <c r="N586" s="16" t="s">
        <v>579</v>
      </c>
      <c r="O586" s="7" t="n">
        <f aca="false">IF(OR(E586="Closed Won",E586="Closed Lost"),0,1)</f>
        <v>0</v>
      </c>
      <c r="P586" s="17" t="str">
        <f aca="false">INDEX(Accounts!$K$5:$K$336,MATCH(B586,Accounts!$A$5:$A$336,0))</f>
        <v>Technology, Media &amp; Telecom</v>
      </c>
      <c r="Q586" s="17" t="str">
        <f aca="false">INDEX(Accounts!$D$5:$D$336,MATCH(B586,Accounts!$A$5:$A$336,0))</f>
        <v>Standard</v>
      </c>
      <c r="R586" s="7" t="n">
        <f aca="false">INDEX(Inputs!$B$11:$B$16,MATCH(E586,Inputs!$A$11:$A$16,0))</f>
        <v>0</v>
      </c>
      <c r="S586" s="27" t="n">
        <f aca="false">IF(F586="",0,F586)*R586/100</f>
        <v>0</v>
      </c>
      <c r="T586" s="7" t="n">
        <f aca="false">Inputs!$B$4-J586</f>
        <v>137</v>
      </c>
      <c r="U586" s="7" t="n">
        <f aca="false">IF(OR(F586="",F586=0),1,0)</f>
        <v>0</v>
      </c>
      <c r="V586" s="7" t="n">
        <f aca="false">IF(K586="",1,0)</f>
        <v>0</v>
      </c>
      <c r="W586" s="7" t="n">
        <f aca="false">IF(AND(O586=1,K586&lt;&gt;"",COUNTIFS(Owners!$A$5:$A$32,K586,Owners!$E$5:$E$32,"No")&gt;0),1,0)</f>
        <v>0</v>
      </c>
      <c r="X586" s="7" t="n">
        <f aca="false">IF(AND(O586=1,I586&lt;Inputs!$B$4),1,0)</f>
        <v>0</v>
      </c>
      <c r="Y586" s="7" t="n">
        <f aca="false">IF(AND(O586=1,T586&gt;Inputs!$B$5),1,0)</f>
        <v>0</v>
      </c>
      <c r="Z586" s="7" t="n">
        <f aca="false">IF(AND(O586=1,G586&lt;&gt;R586),1,0)</f>
        <v>0</v>
      </c>
      <c r="AA586" s="7" t="n">
        <f aca="false">IF(AND(O586=1,M586=""),1,0)</f>
        <v>0</v>
      </c>
      <c r="AB586" s="7" t="n">
        <f aca="false">IF(AND(E586="Closed Lost",N586=""),1,0)</f>
        <v>0</v>
      </c>
      <c r="AC586" s="7" t="n">
        <f aca="false">SUM(U586:AB586)</f>
        <v>0</v>
      </c>
      <c r="AD586" s="7" t="n">
        <f aca="false">IF(AC586=0,1,0)</f>
        <v>1</v>
      </c>
      <c r="AE586" s="7" t="n">
        <f aca="false">IF(AND(O586=1,I586&gt;=Inputs!$B$6,I586&lt;=Inputs!$B$7),1,0)</f>
        <v>0</v>
      </c>
      <c r="AF586" s="7" t="n">
        <f aca="false">IF(AND(E586="Closed Won",I586&gt;=Inputs!$B$6,I586&lt;=Inputs!$B$4),1,0)</f>
        <v>0</v>
      </c>
      <c r="AG586" s="7" t="n">
        <f aca="false">IF(AND(O586=0,I586&gt;Inputs!$B$4-Inputs!$B$8,I586&lt;=Inputs!$B$4),1,0)</f>
        <v>1</v>
      </c>
      <c r="AH586" s="7" t="n">
        <f aca="false">I586-H586</f>
        <v>159</v>
      </c>
    </row>
    <row r="587" customFormat="false" ht="15" hidden="false" customHeight="false" outlineLevel="0" collapsed="false">
      <c r="A587" s="16" t="s">
        <v>1867</v>
      </c>
      <c r="B587" s="16" t="s">
        <v>1292</v>
      </c>
      <c r="C587" s="16" t="s">
        <v>1868</v>
      </c>
      <c r="D587" s="16" t="s">
        <v>158</v>
      </c>
      <c r="E587" s="16" t="s">
        <v>530</v>
      </c>
      <c r="F587" s="26" t="n">
        <v>8370000</v>
      </c>
      <c r="G587" s="25" t="n">
        <v>100</v>
      </c>
      <c r="H587" s="22" t="n">
        <v>45972</v>
      </c>
      <c r="I587" s="22" t="n">
        <v>46234</v>
      </c>
      <c r="J587" s="22" t="n">
        <v>46234</v>
      </c>
      <c r="K587" s="16" t="s">
        <v>831</v>
      </c>
      <c r="L587" s="16" t="s">
        <v>500</v>
      </c>
      <c r="M587" s="16"/>
      <c r="N587" s="16"/>
      <c r="O587" s="7" t="n">
        <f aca="false">IF(OR(E587="Closed Won",E587="Closed Lost"),0,1)</f>
        <v>0</v>
      </c>
      <c r="P587" s="17" t="str">
        <f aca="false">INDEX(Accounts!$K$5:$K$336,MATCH(B587,Accounts!$A$5:$A$336,0))</f>
        <v>Agribusiness</v>
      </c>
      <c r="Q587" s="17" t="str">
        <f aca="false">INDEX(Accounts!$D$5:$D$336,MATCH(B587,Accounts!$A$5:$A$336,0))</f>
        <v>Key</v>
      </c>
      <c r="R587" s="7" t="n">
        <f aca="false">INDEX(Inputs!$B$11:$B$16,MATCH(E587,Inputs!$A$11:$A$16,0))</f>
        <v>100</v>
      </c>
      <c r="S587" s="27" t="n">
        <f aca="false">IF(F587="",0,F587)*R587/100</f>
        <v>8370000</v>
      </c>
      <c r="T587" s="7" t="n">
        <f aca="false">Inputs!$B$4-J587</f>
        <v>80</v>
      </c>
      <c r="U587" s="7" t="n">
        <f aca="false">IF(OR(F587="",F587=0),1,0)</f>
        <v>0</v>
      </c>
      <c r="V587" s="7" t="n">
        <f aca="false">IF(K587="",1,0)</f>
        <v>0</v>
      </c>
      <c r="W587" s="7" t="n">
        <f aca="false">IF(AND(O587=1,K587&lt;&gt;"",COUNTIFS(Owners!$A$5:$A$32,K587,Owners!$E$5:$E$32,"No")&gt;0),1,0)</f>
        <v>0</v>
      </c>
      <c r="X587" s="7" t="n">
        <f aca="false">IF(AND(O587=1,I587&lt;Inputs!$B$4),1,0)</f>
        <v>0</v>
      </c>
      <c r="Y587" s="7" t="n">
        <f aca="false">IF(AND(O587=1,T587&gt;Inputs!$B$5),1,0)</f>
        <v>0</v>
      </c>
      <c r="Z587" s="7" t="n">
        <f aca="false">IF(AND(O587=1,G587&lt;&gt;R587),1,0)</f>
        <v>0</v>
      </c>
      <c r="AA587" s="7" t="n">
        <f aca="false">IF(AND(O587=1,M587=""),1,0)</f>
        <v>0</v>
      </c>
      <c r="AB587" s="7" t="n">
        <f aca="false">IF(AND(E587="Closed Lost",N587=""),1,0)</f>
        <v>0</v>
      </c>
      <c r="AC587" s="7" t="n">
        <f aca="false">SUM(U587:AB587)</f>
        <v>0</v>
      </c>
      <c r="AD587" s="7" t="n">
        <f aca="false">IF(AC587=0,1,0)</f>
        <v>1</v>
      </c>
      <c r="AE587" s="7" t="n">
        <f aca="false">IF(AND(O587=1,I587&gt;=Inputs!$B$6,I587&lt;=Inputs!$B$7),1,0)</f>
        <v>0</v>
      </c>
      <c r="AF587" s="7" t="n">
        <f aca="false">IF(AND(E587="Closed Won",I587&gt;=Inputs!$B$6,I587&lt;=Inputs!$B$4),1,0)</f>
        <v>1</v>
      </c>
      <c r="AG587" s="7" t="n">
        <f aca="false">IF(AND(O587=0,I587&gt;Inputs!$B$4-Inputs!$B$8,I587&lt;=Inputs!$B$4),1,0)</f>
        <v>1</v>
      </c>
      <c r="AH587" s="7" t="n">
        <f aca="false">I587-H587</f>
        <v>262</v>
      </c>
    </row>
    <row r="588" customFormat="false" ht="15" hidden="false" customHeight="false" outlineLevel="0" collapsed="false">
      <c r="A588" s="16" t="s">
        <v>1869</v>
      </c>
      <c r="B588" s="16" t="s">
        <v>83</v>
      </c>
      <c r="C588" s="16" t="s">
        <v>1870</v>
      </c>
      <c r="D588" s="16" t="s">
        <v>167</v>
      </c>
      <c r="E588" s="16" t="s">
        <v>526</v>
      </c>
      <c r="F588" s="26" t="n">
        <v>6022000</v>
      </c>
      <c r="G588" s="25" t="n">
        <v>10</v>
      </c>
      <c r="H588" s="22" t="n">
        <v>46307</v>
      </c>
      <c r="I588" s="22" t="n">
        <v>46509</v>
      </c>
      <c r="J588" s="22" t="n">
        <v>46300</v>
      </c>
      <c r="K588" s="16" t="s">
        <v>604</v>
      </c>
      <c r="L588" s="16" t="s">
        <v>574</v>
      </c>
      <c r="M588" s="16" t="s">
        <v>601</v>
      </c>
      <c r="N588" s="16"/>
      <c r="O588" s="7" t="n">
        <f aca="false">IF(OR(E588="Closed Won",E588="Closed Lost"),0,1)</f>
        <v>1</v>
      </c>
      <c r="P588" s="17" t="str">
        <f aca="false">INDEX(Accounts!$K$5:$K$336,MATCH(B588,Accounts!$A$5:$A$336,0))</f>
        <v>Agribusiness</v>
      </c>
      <c r="Q588" s="17" t="str">
        <f aca="false">INDEX(Accounts!$D$5:$D$336,MATCH(B588,Accounts!$A$5:$A$336,0))</f>
        <v>Priority</v>
      </c>
      <c r="R588" s="7" t="n">
        <f aca="false">INDEX(Inputs!$B$11:$B$16,MATCH(E588,Inputs!$A$11:$A$16,0))</f>
        <v>10</v>
      </c>
      <c r="S588" s="27" t="n">
        <f aca="false">IF(F588="",0,F588)*R588/100</f>
        <v>602200</v>
      </c>
      <c r="T588" s="7" t="n">
        <f aca="false">Inputs!$B$4-J588</f>
        <v>14</v>
      </c>
      <c r="U588" s="7" t="n">
        <f aca="false">IF(OR(F588="",F588=0),1,0)</f>
        <v>0</v>
      </c>
      <c r="V588" s="7" t="n">
        <f aca="false">IF(K588="",1,0)</f>
        <v>0</v>
      </c>
      <c r="W588" s="7" t="n">
        <f aca="false">IF(AND(O588=1,K588&lt;&gt;"",COUNTIFS(Owners!$A$5:$A$32,K588,Owners!$E$5:$E$32,"No")&gt;0),1,0)</f>
        <v>0</v>
      </c>
      <c r="X588" s="7" t="n">
        <f aca="false">IF(AND(O588=1,I588&lt;Inputs!$B$4),1,0)</f>
        <v>0</v>
      </c>
      <c r="Y588" s="7" t="n">
        <f aca="false">IF(AND(O588=1,T588&gt;Inputs!$B$5),1,0)</f>
        <v>0</v>
      </c>
      <c r="Z588" s="7" t="n">
        <f aca="false">IF(AND(O588=1,G588&lt;&gt;R588),1,0)</f>
        <v>0</v>
      </c>
      <c r="AA588" s="7" t="n">
        <f aca="false">IF(AND(O588=1,M588=""),1,0)</f>
        <v>0</v>
      </c>
      <c r="AB588" s="7" t="n">
        <f aca="false">IF(AND(E588="Closed Lost",N588=""),1,0)</f>
        <v>0</v>
      </c>
      <c r="AC588" s="7" t="n">
        <f aca="false">SUM(U588:AB588)</f>
        <v>0</v>
      </c>
      <c r="AD588" s="7" t="n">
        <f aca="false">IF(AC588=0,1,0)</f>
        <v>1</v>
      </c>
      <c r="AE588" s="7" t="n">
        <f aca="false">IF(AND(O588=1,I588&gt;=Inputs!$B$6,I588&lt;=Inputs!$B$7),1,0)</f>
        <v>1</v>
      </c>
      <c r="AF588" s="7" t="n">
        <f aca="false">IF(AND(E588="Closed Won",I588&gt;=Inputs!$B$6,I588&lt;=Inputs!$B$4),1,0)</f>
        <v>0</v>
      </c>
      <c r="AG588" s="7" t="n">
        <f aca="false">IF(AND(O588=0,I588&gt;Inputs!$B$4-Inputs!$B$8,I588&lt;=Inputs!$B$4),1,0)</f>
        <v>0</v>
      </c>
      <c r="AH588" s="7" t="n">
        <f aca="false">I588-H588</f>
        <v>202</v>
      </c>
    </row>
    <row r="589" customFormat="false" ht="15" hidden="false" customHeight="false" outlineLevel="0" collapsed="false">
      <c r="A589" s="16" t="s">
        <v>1871</v>
      </c>
      <c r="B589" s="16" t="s">
        <v>85</v>
      </c>
      <c r="C589" s="16" t="s">
        <v>1872</v>
      </c>
      <c r="D589" s="16" t="s">
        <v>167</v>
      </c>
      <c r="E589" s="16" t="s">
        <v>526</v>
      </c>
      <c r="F589" s="26"/>
      <c r="G589" s="25" t="n">
        <v>10</v>
      </c>
      <c r="H589" s="22" t="n">
        <v>46177</v>
      </c>
      <c r="I589" s="22" t="n">
        <v>46425</v>
      </c>
      <c r="J589" s="22" t="n">
        <v>46288</v>
      </c>
      <c r="K589" s="16" t="s">
        <v>646</v>
      </c>
      <c r="L589" s="16" t="s">
        <v>609</v>
      </c>
      <c r="M589" s="16" t="s">
        <v>575</v>
      </c>
      <c r="N589" s="16"/>
      <c r="O589" s="7" t="n">
        <f aca="false">IF(OR(E589="Closed Won",E589="Closed Lost"),0,1)</f>
        <v>1</v>
      </c>
      <c r="P589" s="17" t="str">
        <f aca="false">INDEX(Accounts!$K$5:$K$336,MATCH(B589,Accounts!$A$5:$A$336,0))</f>
        <v>Energy &amp; Resources</v>
      </c>
      <c r="Q589" s="17" t="str">
        <f aca="false">INDEX(Accounts!$D$5:$D$336,MATCH(B589,Accounts!$A$5:$A$336,0))</f>
        <v>Priority</v>
      </c>
      <c r="R589" s="7" t="n">
        <f aca="false">INDEX(Inputs!$B$11:$B$16,MATCH(E589,Inputs!$A$11:$A$16,0))</f>
        <v>10</v>
      </c>
      <c r="S589" s="27" t="n">
        <f aca="false">IF(F589="",0,F589)*R589/100</f>
        <v>0</v>
      </c>
      <c r="T589" s="7" t="n">
        <f aca="false">Inputs!$B$4-J589</f>
        <v>26</v>
      </c>
      <c r="U589" s="7" t="n">
        <f aca="false">IF(OR(F589="",F589=0),1,0)</f>
        <v>1</v>
      </c>
      <c r="V589" s="7" t="n">
        <f aca="false">IF(K589="",1,0)</f>
        <v>0</v>
      </c>
      <c r="W589" s="7" t="n">
        <f aca="false">IF(AND(O589=1,K589&lt;&gt;"",COUNTIFS(Owners!$A$5:$A$32,K589,Owners!$E$5:$E$32,"No")&gt;0),1,0)</f>
        <v>0</v>
      </c>
      <c r="X589" s="7" t="n">
        <f aca="false">IF(AND(O589=1,I589&lt;Inputs!$B$4),1,0)</f>
        <v>0</v>
      </c>
      <c r="Y589" s="7" t="n">
        <f aca="false">IF(AND(O589=1,T589&gt;Inputs!$B$5),1,0)</f>
        <v>0</v>
      </c>
      <c r="Z589" s="7" t="n">
        <f aca="false">IF(AND(O589=1,G589&lt;&gt;R589),1,0)</f>
        <v>0</v>
      </c>
      <c r="AA589" s="7" t="n">
        <f aca="false">IF(AND(O589=1,M589=""),1,0)</f>
        <v>0</v>
      </c>
      <c r="AB589" s="7" t="n">
        <f aca="false">IF(AND(E589="Closed Lost",N589=""),1,0)</f>
        <v>0</v>
      </c>
      <c r="AC589" s="7" t="n">
        <f aca="false">SUM(U589:AB589)</f>
        <v>1</v>
      </c>
      <c r="AD589" s="7" t="n">
        <f aca="false">IF(AC589=0,1,0)</f>
        <v>0</v>
      </c>
      <c r="AE589" s="7" t="n">
        <f aca="false">IF(AND(O589=1,I589&gt;=Inputs!$B$6,I589&lt;=Inputs!$B$7),1,0)</f>
        <v>1</v>
      </c>
      <c r="AF589" s="7" t="n">
        <f aca="false">IF(AND(E589="Closed Won",I589&gt;=Inputs!$B$6,I589&lt;=Inputs!$B$4),1,0)</f>
        <v>0</v>
      </c>
      <c r="AG589" s="7" t="n">
        <f aca="false">IF(AND(O589=0,I589&gt;Inputs!$B$4-Inputs!$B$8,I589&lt;=Inputs!$B$4),1,0)</f>
        <v>0</v>
      </c>
      <c r="AH589" s="7" t="n">
        <f aca="false">I589-H589</f>
        <v>248</v>
      </c>
    </row>
    <row r="590" customFormat="false" ht="15" hidden="false" customHeight="false" outlineLevel="0" collapsed="false">
      <c r="A590" s="16" t="s">
        <v>1873</v>
      </c>
      <c r="B590" s="16" t="s">
        <v>955</v>
      </c>
      <c r="C590" s="16" t="s">
        <v>1874</v>
      </c>
      <c r="D590" s="16" t="s">
        <v>162</v>
      </c>
      <c r="E590" s="16" t="s">
        <v>531</v>
      </c>
      <c r="F590" s="26" t="n">
        <v>17155000</v>
      </c>
      <c r="G590" s="25" t="n">
        <v>0</v>
      </c>
      <c r="H590" s="22" t="n">
        <v>45930</v>
      </c>
      <c r="I590" s="22" t="n">
        <v>46199</v>
      </c>
      <c r="J590" s="22" t="n">
        <v>46199</v>
      </c>
      <c r="K590" s="16" t="s">
        <v>654</v>
      </c>
      <c r="L590" s="16" t="s">
        <v>609</v>
      </c>
      <c r="M590" s="16"/>
      <c r="N590" s="16" t="s">
        <v>597</v>
      </c>
      <c r="O590" s="7" t="n">
        <f aca="false">IF(OR(E590="Closed Won",E590="Closed Lost"),0,1)</f>
        <v>0</v>
      </c>
      <c r="P590" s="17" t="str">
        <f aca="false">INDEX(Accounts!$K$5:$K$336,MATCH(B590,Accounts!$A$5:$A$336,0))</f>
        <v>Technology, Media &amp; Telecom</v>
      </c>
      <c r="Q590" s="17" t="str">
        <f aca="false">INDEX(Accounts!$D$5:$D$336,MATCH(B590,Accounts!$A$5:$A$336,0))</f>
        <v>Standard</v>
      </c>
      <c r="R590" s="7" t="n">
        <f aca="false">INDEX(Inputs!$B$11:$B$16,MATCH(E590,Inputs!$A$11:$A$16,0))</f>
        <v>0</v>
      </c>
      <c r="S590" s="27" t="n">
        <f aca="false">IF(F590="",0,F590)*R590/100</f>
        <v>0</v>
      </c>
      <c r="T590" s="7" t="n">
        <f aca="false">Inputs!$B$4-J590</f>
        <v>115</v>
      </c>
      <c r="U590" s="7" t="n">
        <f aca="false">IF(OR(F590="",F590=0),1,0)</f>
        <v>0</v>
      </c>
      <c r="V590" s="7" t="n">
        <f aca="false">IF(K590="",1,0)</f>
        <v>0</v>
      </c>
      <c r="W590" s="7" t="n">
        <f aca="false">IF(AND(O590=1,K590&lt;&gt;"",COUNTIFS(Owners!$A$5:$A$32,K590,Owners!$E$5:$E$32,"No")&gt;0),1,0)</f>
        <v>0</v>
      </c>
      <c r="X590" s="7" t="n">
        <f aca="false">IF(AND(O590=1,I590&lt;Inputs!$B$4),1,0)</f>
        <v>0</v>
      </c>
      <c r="Y590" s="7" t="n">
        <f aca="false">IF(AND(O590=1,T590&gt;Inputs!$B$5),1,0)</f>
        <v>0</v>
      </c>
      <c r="Z590" s="7" t="n">
        <f aca="false">IF(AND(O590=1,G590&lt;&gt;R590),1,0)</f>
        <v>0</v>
      </c>
      <c r="AA590" s="7" t="n">
        <f aca="false">IF(AND(O590=1,M590=""),1,0)</f>
        <v>0</v>
      </c>
      <c r="AB590" s="7" t="n">
        <f aca="false">IF(AND(E590="Closed Lost",N590=""),1,0)</f>
        <v>0</v>
      </c>
      <c r="AC590" s="7" t="n">
        <f aca="false">SUM(U590:AB590)</f>
        <v>0</v>
      </c>
      <c r="AD590" s="7" t="n">
        <f aca="false">IF(AC590=0,1,0)</f>
        <v>1</v>
      </c>
      <c r="AE590" s="7" t="n">
        <f aca="false">IF(AND(O590=1,I590&gt;=Inputs!$B$6,I590&lt;=Inputs!$B$7),1,0)</f>
        <v>0</v>
      </c>
      <c r="AF590" s="7" t="n">
        <f aca="false">IF(AND(E590="Closed Won",I590&gt;=Inputs!$B$6,I590&lt;=Inputs!$B$4),1,0)</f>
        <v>0</v>
      </c>
      <c r="AG590" s="7" t="n">
        <f aca="false">IF(AND(O590=0,I590&gt;Inputs!$B$4-Inputs!$B$8,I590&lt;=Inputs!$B$4),1,0)</f>
        <v>1</v>
      </c>
      <c r="AH590" s="7" t="n">
        <f aca="false">I590-H590</f>
        <v>269</v>
      </c>
    </row>
    <row r="591" customFormat="false" ht="15" hidden="false" customHeight="false" outlineLevel="0" collapsed="false">
      <c r="A591" s="16" t="s">
        <v>1875</v>
      </c>
      <c r="B591" s="16" t="s">
        <v>332</v>
      </c>
      <c r="C591" s="16" t="s">
        <v>1876</v>
      </c>
      <c r="D591" s="16" t="s">
        <v>165</v>
      </c>
      <c r="E591" s="16" t="s">
        <v>526</v>
      </c>
      <c r="F591" s="26" t="n">
        <v>4559000</v>
      </c>
      <c r="G591" s="25" t="n">
        <v>90</v>
      </c>
      <c r="H591" s="22" t="n">
        <v>46131</v>
      </c>
      <c r="I591" s="22" t="n">
        <v>46398</v>
      </c>
      <c r="J591" s="22" t="n">
        <v>46303</v>
      </c>
      <c r="K591" s="16" t="s">
        <v>637</v>
      </c>
      <c r="L591" s="16" t="s">
        <v>609</v>
      </c>
      <c r="M591" s="16" t="s">
        <v>619</v>
      </c>
      <c r="N591" s="16"/>
      <c r="O591" s="7" t="n">
        <f aca="false">IF(OR(E591="Closed Won",E591="Closed Lost"),0,1)</f>
        <v>1</v>
      </c>
      <c r="P591" s="17" t="str">
        <f aca="false">INDEX(Accounts!$K$5:$K$336,MATCH(B591,Accounts!$A$5:$A$336,0))</f>
        <v>Real Estate &amp; Infrastructure</v>
      </c>
      <c r="Q591" s="17" t="str">
        <f aca="false">INDEX(Accounts!$D$5:$D$336,MATCH(B591,Accounts!$A$5:$A$336,0))</f>
        <v>Standard</v>
      </c>
      <c r="R591" s="7" t="n">
        <f aca="false">INDEX(Inputs!$B$11:$B$16,MATCH(E591,Inputs!$A$11:$A$16,0))</f>
        <v>10</v>
      </c>
      <c r="S591" s="27" t="n">
        <f aca="false">IF(F591="",0,F591)*R591/100</f>
        <v>455900</v>
      </c>
      <c r="T591" s="7" t="n">
        <f aca="false">Inputs!$B$4-J591</f>
        <v>11</v>
      </c>
      <c r="U591" s="7" t="n">
        <f aca="false">IF(OR(F591="",F591=0),1,0)</f>
        <v>0</v>
      </c>
      <c r="V591" s="7" t="n">
        <f aca="false">IF(K591="",1,0)</f>
        <v>0</v>
      </c>
      <c r="W591" s="7" t="n">
        <f aca="false">IF(AND(O591=1,K591&lt;&gt;"",COUNTIFS(Owners!$A$5:$A$32,K591,Owners!$E$5:$E$32,"No")&gt;0),1,0)</f>
        <v>0</v>
      </c>
      <c r="X591" s="7" t="n">
        <f aca="false">IF(AND(O591=1,I591&lt;Inputs!$B$4),1,0)</f>
        <v>0</v>
      </c>
      <c r="Y591" s="7" t="n">
        <f aca="false">IF(AND(O591=1,T591&gt;Inputs!$B$5),1,0)</f>
        <v>0</v>
      </c>
      <c r="Z591" s="7" t="n">
        <f aca="false">IF(AND(O591=1,G591&lt;&gt;R591),1,0)</f>
        <v>1</v>
      </c>
      <c r="AA591" s="7" t="n">
        <f aca="false">IF(AND(O591=1,M591=""),1,0)</f>
        <v>0</v>
      </c>
      <c r="AB591" s="7" t="n">
        <f aca="false">IF(AND(E591="Closed Lost",N591=""),1,0)</f>
        <v>0</v>
      </c>
      <c r="AC591" s="7" t="n">
        <f aca="false">SUM(U591:AB591)</f>
        <v>1</v>
      </c>
      <c r="AD591" s="7" t="n">
        <f aca="false">IF(AC591=0,1,0)</f>
        <v>0</v>
      </c>
      <c r="AE591" s="7" t="n">
        <f aca="false">IF(AND(O591=1,I591&gt;=Inputs!$B$6,I591&lt;=Inputs!$B$7),1,0)</f>
        <v>1</v>
      </c>
      <c r="AF591" s="7" t="n">
        <f aca="false">IF(AND(E591="Closed Won",I591&gt;=Inputs!$B$6,I591&lt;=Inputs!$B$4),1,0)</f>
        <v>0</v>
      </c>
      <c r="AG591" s="7" t="n">
        <f aca="false">IF(AND(O591=0,I591&gt;Inputs!$B$4-Inputs!$B$8,I591&lt;=Inputs!$B$4),1,0)</f>
        <v>0</v>
      </c>
      <c r="AH591" s="7" t="n">
        <f aca="false">I591-H591</f>
        <v>267</v>
      </c>
    </row>
    <row r="592" customFormat="false" ht="15" hidden="false" customHeight="false" outlineLevel="0" collapsed="false">
      <c r="A592" s="16" t="s">
        <v>1877</v>
      </c>
      <c r="B592" s="16" t="s">
        <v>796</v>
      </c>
      <c r="C592" s="16" t="s">
        <v>1878</v>
      </c>
      <c r="D592" s="16" t="s">
        <v>165</v>
      </c>
      <c r="E592" s="16" t="s">
        <v>530</v>
      </c>
      <c r="F592" s="26" t="n">
        <v>33770000</v>
      </c>
      <c r="G592" s="25" t="n">
        <v>100</v>
      </c>
      <c r="H592" s="22" t="n">
        <v>46044</v>
      </c>
      <c r="I592" s="22" t="n">
        <v>46216</v>
      </c>
      <c r="J592" s="22" t="n">
        <v>46216</v>
      </c>
      <c r="K592" s="16" t="s">
        <v>573</v>
      </c>
      <c r="L592" s="16" t="s">
        <v>568</v>
      </c>
      <c r="M592" s="16"/>
      <c r="N592" s="16"/>
      <c r="O592" s="7" t="n">
        <f aca="false">IF(OR(E592="Closed Won",E592="Closed Lost"),0,1)</f>
        <v>0</v>
      </c>
      <c r="P592" s="17" t="str">
        <f aca="false">INDEX(Accounts!$K$5:$K$336,MATCH(B592,Accounts!$A$5:$A$336,0))</f>
        <v>Technology, Media &amp; Telecom</v>
      </c>
      <c r="Q592" s="17" t="str">
        <f aca="false">INDEX(Accounts!$D$5:$D$336,MATCH(B592,Accounts!$A$5:$A$336,0))</f>
        <v>Key</v>
      </c>
      <c r="R592" s="7" t="n">
        <f aca="false">INDEX(Inputs!$B$11:$B$16,MATCH(E592,Inputs!$A$11:$A$16,0))</f>
        <v>100</v>
      </c>
      <c r="S592" s="27" t="n">
        <f aca="false">IF(F592="",0,F592)*R592/100</f>
        <v>33770000</v>
      </c>
      <c r="T592" s="7" t="n">
        <f aca="false">Inputs!$B$4-J592</f>
        <v>98</v>
      </c>
      <c r="U592" s="7" t="n">
        <f aca="false">IF(OR(F592="",F592=0),1,0)</f>
        <v>0</v>
      </c>
      <c r="V592" s="7" t="n">
        <f aca="false">IF(K592="",1,0)</f>
        <v>0</v>
      </c>
      <c r="W592" s="7" t="n">
        <f aca="false">IF(AND(O592=1,K592&lt;&gt;"",COUNTIFS(Owners!$A$5:$A$32,K592,Owners!$E$5:$E$32,"No")&gt;0),1,0)</f>
        <v>0</v>
      </c>
      <c r="X592" s="7" t="n">
        <f aca="false">IF(AND(O592=1,I592&lt;Inputs!$B$4),1,0)</f>
        <v>0</v>
      </c>
      <c r="Y592" s="7" t="n">
        <f aca="false">IF(AND(O592=1,T592&gt;Inputs!$B$5),1,0)</f>
        <v>0</v>
      </c>
      <c r="Z592" s="7" t="n">
        <f aca="false">IF(AND(O592=1,G592&lt;&gt;R592),1,0)</f>
        <v>0</v>
      </c>
      <c r="AA592" s="7" t="n">
        <f aca="false">IF(AND(O592=1,M592=""),1,0)</f>
        <v>0</v>
      </c>
      <c r="AB592" s="7" t="n">
        <f aca="false">IF(AND(E592="Closed Lost",N592=""),1,0)</f>
        <v>0</v>
      </c>
      <c r="AC592" s="7" t="n">
        <f aca="false">SUM(U592:AB592)</f>
        <v>0</v>
      </c>
      <c r="AD592" s="7" t="n">
        <f aca="false">IF(AC592=0,1,0)</f>
        <v>1</v>
      </c>
      <c r="AE592" s="7" t="n">
        <f aca="false">IF(AND(O592=1,I592&gt;=Inputs!$B$6,I592&lt;=Inputs!$B$7),1,0)</f>
        <v>0</v>
      </c>
      <c r="AF592" s="7" t="n">
        <f aca="false">IF(AND(E592="Closed Won",I592&gt;=Inputs!$B$6,I592&lt;=Inputs!$B$4),1,0)</f>
        <v>1</v>
      </c>
      <c r="AG592" s="7" t="n">
        <f aca="false">IF(AND(O592=0,I592&gt;Inputs!$B$4-Inputs!$B$8,I592&lt;=Inputs!$B$4),1,0)</f>
        <v>1</v>
      </c>
      <c r="AH592" s="7" t="n">
        <f aca="false">I592-H592</f>
        <v>172</v>
      </c>
    </row>
    <row r="593" customFormat="false" ht="15" hidden="false" customHeight="false" outlineLevel="0" collapsed="false">
      <c r="A593" s="16" t="s">
        <v>1879</v>
      </c>
      <c r="B593" s="16" t="s">
        <v>252</v>
      </c>
      <c r="C593" s="16" t="s">
        <v>1880</v>
      </c>
      <c r="D593" s="16" t="s">
        <v>162</v>
      </c>
      <c r="E593" s="16" t="s">
        <v>527</v>
      </c>
      <c r="F593" s="26" t="n">
        <v>17770000</v>
      </c>
      <c r="G593" s="25" t="n">
        <v>25</v>
      </c>
      <c r="H593" s="22" t="n">
        <v>46132</v>
      </c>
      <c r="I593" s="22" t="n">
        <v>46430</v>
      </c>
      <c r="J593" s="22" t="n">
        <v>46299</v>
      </c>
      <c r="K593" s="16" t="s">
        <v>666</v>
      </c>
      <c r="L593" s="16" t="s">
        <v>584</v>
      </c>
      <c r="M593" s="16" t="s">
        <v>593</v>
      </c>
      <c r="N593" s="16"/>
      <c r="O593" s="7" t="n">
        <f aca="false">IF(OR(E593="Closed Won",E593="Closed Lost"),0,1)</f>
        <v>1</v>
      </c>
      <c r="P593" s="17" t="str">
        <f aca="false">INDEX(Accounts!$K$5:$K$336,MATCH(B593,Accounts!$A$5:$A$336,0))</f>
        <v>Financial Services</v>
      </c>
      <c r="Q593" s="17" t="str">
        <f aca="false">INDEX(Accounts!$D$5:$D$336,MATCH(B593,Accounts!$A$5:$A$336,0))</f>
        <v>Key</v>
      </c>
      <c r="R593" s="7" t="n">
        <f aca="false">INDEX(Inputs!$B$11:$B$16,MATCH(E593,Inputs!$A$11:$A$16,0))</f>
        <v>25</v>
      </c>
      <c r="S593" s="27" t="n">
        <f aca="false">IF(F593="",0,F593)*R593/100</f>
        <v>4442500</v>
      </c>
      <c r="T593" s="7" t="n">
        <f aca="false">Inputs!$B$4-J593</f>
        <v>15</v>
      </c>
      <c r="U593" s="7" t="n">
        <f aca="false">IF(OR(F593="",F593=0),1,0)</f>
        <v>0</v>
      </c>
      <c r="V593" s="7" t="n">
        <f aca="false">IF(K593="",1,0)</f>
        <v>0</v>
      </c>
      <c r="W593" s="7" t="n">
        <f aca="false">IF(AND(O593=1,K593&lt;&gt;"",COUNTIFS(Owners!$A$5:$A$32,K593,Owners!$E$5:$E$32,"No")&gt;0),1,0)</f>
        <v>0</v>
      </c>
      <c r="X593" s="7" t="n">
        <f aca="false">IF(AND(O593=1,I593&lt;Inputs!$B$4),1,0)</f>
        <v>0</v>
      </c>
      <c r="Y593" s="7" t="n">
        <f aca="false">IF(AND(O593=1,T593&gt;Inputs!$B$5),1,0)</f>
        <v>0</v>
      </c>
      <c r="Z593" s="7" t="n">
        <f aca="false">IF(AND(O593=1,G593&lt;&gt;R593),1,0)</f>
        <v>0</v>
      </c>
      <c r="AA593" s="7" t="n">
        <f aca="false">IF(AND(O593=1,M593=""),1,0)</f>
        <v>0</v>
      </c>
      <c r="AB593" s="7" t="n">
        <f aca="false">IF(AND(E593="Closed Lost",N593=""),1,0)</f>
        <v>0</v>
      </c>
      <c r="AC593" s="7" t="n">
        <f aca="false">SUM(U593:AB593)</f>
        <v>0</v>
      </c>
      <c r="AD593" s="7" t="n">
        <f aca="false">IF(AC593=0,1,0)</f>
        <v>1</v>
      </c>
      <c r="AE593" s="7" t="n">
        <f aca="false">IF(AND(O593=1,I593&gt;=Inputs!$B$6,I593&lt;=Inputs!$B$7),1,0)</f>
        <v>1</v>
      </c>
      <c r="AF593" s="7" t="n">
        <f aca="false">IF(AND(E593="Closed Won",I593&gt;=Inputs!$B$6,I593&lt;=Inputs!$B$4),1,0)</f>
        <v>0</v>
      </c>
      <c r="AG593" s="7" t="n">
        <f aca="false">IF(AND(O593=0,I593&gt;Inputs!$B$4-Inputs!$B$8,I593&lt;=Inputs!$B$4),1,0)</f>
        <v>0</v>
      </c>
      <c r="AH593" s="7" t="n">
        <f aca="false">I593-H593</f>
        <v>298</v>
      </c>
    </row>
    <row r="594" customFormat="false" ht="15" hidden="false" customHeight="false" outlineLevel="0" collapsed="false">
      <c r="A594" s="16" t="s">
        <v>1881</v>
      </c>
      <c r="B594" s="16" t="s">
        <v>60</v>
      </c>
      <c r="C594" s="16" t="s">
        <v>1882</v>
      </c>
      <c r="D594" s="16" t="s">
        <v>162</v>
      </c>
      <c r="E594" s="16" t="s">
        <v>531</v>
      </c>
      <c r="F594" s="26" t="n">
        <v>2859000</v>
      </c>
      <c r="G594" s="25" t="n">
        <v>0</v>
      </c>
      <c r="H594" s="22" t="n">
        <v>45918</v>
      </c>
      <c r="I594" s="22" t="n">
        <v>46199</v>
      </c>
      <c r="J594" s="22" t="n">
        <v>46199</v>
      </c>
      <c r="K594" s="16" t="s">
        <v>596</v>
      </c>
      <c r="L594" s="16" t="s">
        <v>584</v>
      </c>
      <c r="M594" s="16"/>
      <c r="N594" s="16"/>
      <c r="O594" s="7" t="n">
        <f aca="false">IF(OR(E594="Closed Won",E594="Closed Lost"),0,1)</f>
        <v>0</v>
      </c>
      <c r="P594" s="17" t="str">
        <f aca="false">INDEX(Accounts!$K$5:$K$336,MATCH(B594,Accounts!$A$5:$A$336,0))</f>
        <v>Financial Services</v>
      </c>
      <c r="Q594" s="17" t="str">
        <f aca="false">INDEX(Accounts!$D$5:$D$336,MATCH(B594,Accounts!$A$5:$A$336,0))</f>
        <v>Priority</v>
      </c>
      <c r="R594" s="7" t="n">
        <f aca="false">INDEX(Inputs!$B$11:$B$16,MATCH(E594,Inputs!$A$11:$A$16,0))</f>
        <v>0</v>
      </c>
      <c r="S594" s="27" t="n">
        <f aca="false">IF(F594="",0,F594)*R594/100</f>
        <v>0</v>
      </c>
      <c r="T594" s="7" t="n">
        <f aca="false">Inputs!$B$4-J594</f>
        <v>115</v>
      </c>
      <c r="U594" s="7" t="n">
        <f aca="false">IF(OR(F594="",F594=0),1,0)</f>
        <v>0</v>
      </c>
      <c r="V594" s="7" t="n">
        <f aca="false">IF(K594="",1,0)</f>
        <v>0</v>
      </c>
      <c r="W594" s="7" t="n">
        <f aca="false">IF(AND(O594=1,K594&lt;&gt;"",COUNTIFS(Owners!$A$5:$A$32,K594,Owners!$E$5:$E$32,"No")&gt;0),1,0)</f>
        <v>0</v>
      </c>
      <c r="X594" s="7" t="n">
        <f aca="false">IF(AND(O594=1,I594&lt;Inputs!$B$4),1,0)</f>
        <v>0</v>
      </c>
      <c r="Y594" s="7" t="n">
        <f aca="false">IF(AND(O594=1,T594&gt;Inputs!$B$5),1,0)</f>
        <v>0</v>
      </c>
      <c r="Z594" s="7" t="n">
        <f aca="false">IF(AND(O594=1,G594&lt;&gt;R594),1,0)</f>
        <v>0</v>
      </c>
      <c r="AA594" s="7" t="n">
        <f aca="false">IF(AND(O594=1,M594=""),1,0)</f>
        <v>0</v>
      </c>
      <c r="AB594" s="7" t="n">
        <f aca="false">IF(AND(E594="Closed Lost",N594=""),1,0)</f>
        <v>1</v>
      </c>
      <c r="AC594" s="7" t="n">
        <f aca="false">SUM(U594:AB594)</f>
        <v>1</v>
      </c>
      <c r="AD594" s="7" t="n">
        <f aca="false">IF(AC594=0,1,0)</f>
        <v>0</v>
      </c>
      <c r="AE594" s="7" t="n">
        <f aca="false">IF(AND(O594=1,I594&gt;=Inputs!$B$6,I594&lt;=Inputs!$B$7),1,0)</f>
        <v>0</v>
      </c>
      <c r="AF594" s="7" t="n">
        <f aca="false">IF(AND(E594="Closed Won",I594&gt;=Inputs!$B$6,I594&lt;=Inputs!$B$4),1,0)</f>
        <v>0</v>
      </c>
      <c r="AG594" s="7" t="n">
        <f aca="false">IF(AND(O594=0,I594&gt;Inputs!$B$4-Inputs!$B$8,I594&lt;=Inputs!$B$4),1,0)</f>
        <v>1</v>
      </c>
      <c r="AH594" s="7" t="n">
        <f aca="false">I594-H594</f>
        <v>281</v>
      </c>
    </row>
    <row r="595" customFormat="false" ht="15" hidden="false" customHeight="false" outlineLevel="0" collapsed="false">
      <c r="A595" s="16" t="s">
        <v>1883</v>
      </c>
      <c r="B595" s="16" t="s">
        <v>287</v>
      </c>
      <c r="C595" s="16" t="s">
        <v>1884</v>
      </c>
      <c r="D595" s="16" t="s">
        <v>165</v>
      </c>
      <c r="E595" s="16" t="s">
        <v>531</v>
      </c>
      <c r="F595" s="26" t="n">
        <v>25022000</v>
      </c>
      <c r="G595" s="25" t="n">
        <v>0</v>
      </c>
      <c r="H595" s="22" t="n">
        <v>45950</v>
      </c>
      <c r="I595" s="22" t="n">
        <v>46182</v>
      </c>
      <c r="J595" s="22" t="n">
        <v>46182</v>
      </c>
      <c r="K595" s="16" t="s">
        <v>567</v>
      </c>
      <c r="L595" s="16" t="s">
        <v>609</v>
      </c>
      <c r="M595" s="16"/>
      <c r="N595" s="16" t="s">
        <v>610</v>
      </c>
      <c r="O595" s="7" t="n">
        <f aca="false">IF(OR(E595="Closed Won",E595="Closed Lost"),0,1)</f>
        <v>0</v>
      </c>
      <c r="P595" s="17" t="str">
        <f aca="false">INDEX(Accounts!$K$5:$K$336,MATCH(B595,Accounts!$A$5:$A$336,0))</f>
        <v>Energy &amp; Resources</v>
      </c>
      <c r="Q595" s="17" t="str">
        <f aca="false">INDEX(Accounts!$D$5:$D$336,MATCH(B595,Accounts!$A$5:$A$336,0))</f>
        <v>Standard</v>
      </c>
      <c r="R595" s="7" t="n">
        <f aca="false">INDEX(Inputs!$B$11:$B$16,MATCH(E595,Inputs!$A$11:$A$16,0))</f>
        <v>0</v>
      </c>
      <c r="S595" s="27" t="n">
        <f aca="false">IF(F595="",0,F595)*R595/100</f>
        <v>0</v>
      </c>
      <c r="T595" s="7" t="n">
        <f aca="false">Inputs!$B$4-J595</f>
        <v>132</v>
      </c>
      <c r="U595" s="7" t="n">
        <f aca="false">IF(OR(F595="",F595=0),1,0)</f>
        <v>0</v>
      </c>
      <c r="V595" s="7" t="n">
        <f aca="false">IF(K595="",1,0)</f>
        <v>0</v>
      </c>
      <c r="W595" s="7" t="n">
        <f aca="false">IF(AND(O595=1,K595&lt;&gt;"",COUNTIFS(Owners!$A$5:$A$32,K595,Owners!$E$5:$E$32,"No")&gt;0),1,0)</f>
        <v>0</v>
      </c>
      <c r="X595" s="7" t="n">
        <f aca="false">IF(AND(O595=1,I595&lt;Inputs!$B$4),1,0)</f>
        <v>0</v>
      </c>
      <c r="Y595" s="7" t="n">
        <f aca="false">IF(AND(O595=1,T595&gt;Inputs!$B$5),1,0)</f>
        <v>0</v>
      </c>
      <c r="Z595" s="7" t="n">
        <f aca="false">IF(AND(O595=1,G595&lt;&gt;R595),1,0)</f>
        <v>0</v>
      </c>
      <c r="AA595" s="7" t="n">
        <f aca="false">IF(AND(O595=1,M595=""),1,0)</f>
        <v>0</v>
      </c>
      <c r="AB595" s="7" t="n">
        <f aca="false">IF(AND(E595="Closed Lost",N595=""),1,0)</f>
        <v>0</v>
      </c>
      <c r="AC595" s="7" t="n">
        <f aca="false">SUM(U595:AB595)</f>
        <v>0</v>
      </c>
      <c r="AD595" s="7" t="n">
        <f aca="false">IF(AC595=0,1,0)</f>
        <v>1</v>
      </c>
      <c r="AE595" s="7" t="n">
        <f aca="false">IF(AND(O595=1,I595&gt;=Inputs!$B$6,I595&lt;=Inputs!$B$7),1,0)</f>
        <v>0</v>
      </c>
      <c r="AF595" s="7" t="n">
        <f aca="false">IF(AND(E595="Closed Won",I595&gt;=Inputs!$B$6,I595&lt;=Inputs!$B$4),1,0)</f>
        <v>0</v>
      </c>
      <c r="AG595" s="7" t="n">
        <f aca="false">IF(AND(O595=0,I595&gt;Inputs!$B$4-Inputs!$B$8,I595&lt;=Inputs!$B$4),1,0)</f>
        <v>1</v>
      </c>
      <c r="AH595" s="7" t="n">
        <f aca="false">I595-H595</f>
        <v>232</v>
      </c>
    </row>
    <row r="596" customFormat="false" ht="15" hidden="false" customHeight="false" outlineLevel="0" collapsed="false">
      <c r="A596" s="16" t="s">
        <v>1885</v>
      </c>
      <c r="B596" s="16" t="s">
        <v>1289</v>
      </c>
      <c r="C596" s="16" t="s">
        <v>1886</v>
      </c>
      <c r="D596" s="16" t="s">
        <v>162</v>
      </c>
      <c r="E596" s="16" t="s">
        <v>526</v>
      </c>
      <c r="F596" s="26" t="n">
        <v>29626000</v>
      </c>
      <c r="G596" s="25" t="n">
        <v>10</v>
      </c>
      <c r="H596" s="22" t="n">
        <v>46151</v>
      </c>
      <c r="I596" s="22" t="n">
        <v>46537</v>
      </c>
      <c r="J596" s="22" t="n">
        <v>46276</v>
      </c>
      <c r="K596" s="16" t="s">
        <v>880</v>
      </c>
      <c r="L596" s="16" t="s">
        <v>574</v>
      </c>
      <c r="M596" s="16" t="s">
        <v>613</v>
      </c>
      <c r="N596" s="16"/>
      <c r="O596" s="7" t="n">
        <f aca="false">IF(OR(E596="Closed Won",E596="Closed Lost"),0,1)</f>
        <v>1</v>
      </c>
      <c r="P596" s="17" t="str">
        <f aca="false">INDEX(Accounts!$K$5:$K$336,MATCH(B596,Accounts!$A$5:$A$336,0))</f>
        <v>Technology, Media &amp; Telecom</v>
      </c>
      <c r="Q596" s="17" t="str">
        <f aca="false">INDEX(Accounts!$D$5:$D$336,MATCH(B596,Accounts!$A$5:$A$336,0))</f>
        <v>Key</v>
      </c>
      <c r="R596" s="7" t="n">
        <f aca="false">INDEX(Inputs!$B$11:$B$16,MATCH(E596,Inputs!$A$11:$A$16,0))</f>
        <v>10</v>
      </c>
      <c r="S596" s="27" t="n">
        <f aca="false">IF(F596="",0,F596)*R596/100</f>
        <v>2962600</v>
      </c>
      <c r="T596" s="7" t="n">
        <f aca="false">Inputs!$B$4-J596</f>
        <v>38</v>
      </c>
      <c r="U596" s="7" t="n">
        <f aca="false">IF(OR(F596="",F596=0),1,0)</f>
        <v>0</v>
      </c>
      <c r="V596" s="7" t="n">
        <f aca="false">IF(K596="",1,0)</f>
        <v>0</v>
      </c>
      <c r="W596" s="7" t="n">
        <f aca="false">IF(AND(O596=1,K596&lt;&gt;"",COUNTIFS(Owners!$A$5:$A$32,K596,Owners!$E$5:$E$32,"No")&gt;0),1,0)</f>
        <v>1</v>
      </c>
      <c r="X596" s="7" t="n">
        <f aca="false">IF(AND(O596=1,I596&lt;Inputs!$B$4),1,0)</f>
        <v>0</v>
      </c>
      <c r="Y596" s="7" t="n">
        <f aca="false">IF(AND(O596=1,T596&gt;Inputs!$B$5),1,0)</f>
        <v>0</v>
      </c>
      <c r="Z596" s="7" t="n">
        <f aca="false">IF(AND(O596=1,G596&lt;&gt;R596),1,0)</f>
        <v>0</v>
      </c>
      <c r="AA596" s="7" t="n">
        <f aca="false">IF(AND(O596=1,M596=""),1,0)</f>
        <v>0</v>
      </c>
      <c r="AB596" s="7" t="n">
        <f aca="false">IF(AND(E596="Closed Lost",N596=""),1,0)</f>
        <v>0</v>
      </c>
      <c r="AC596" s="7" t="n">
        <f aca="false">SUM(U596:AB596)</f>
        <v>1</v>
      </c>
      <c r="AD596" s="7" t="n">
        <f aca="false">IF(AC596=0,1,0)</f>
        <v>0</v>
      </c>
      <c r="AE596" s="7" t="n">
        <f aca="false">IF(AND(O596=1,I596&gt;=Inputs!$B$6,I596&lt;=Inputs!$B$7),1,0)</f>
        <v>1</v>
      </c>
      <c r="AF596" s="7" t="n">
        <f aca="false">IF(AND(E596="Closed Won",I596&gt;=Inputs!$B$6,I596&lt;=Inputs!$B$4),1,0)</f>
        <v>0</v>
      </c>
      <c r="AG596" s="7" t="n">
        <f aca="false">IF(AND(O596=0,I596&gt;Inputs!$B$4-Inputs!$B$8,I596&lt;=Inputs!$B$4),1,0)</f>
        <v>0</v>
      </c>
      <c r="AH596" s="7" t="n">
        <f aca="false">I596-H596</f>
        <v>386</v>
      </c>
    </row>
    <row r="597" customFormat="false" ht="15" hidden="false" customHeight="false" outlineLevel="0" collapsed="false">
      <c r="A597" s="16" t="s">
        <v>1887</v>
      </c>
      <c r="B597" s="16" t="s">
        <v>218</v>
      </c>
      <c r="C597" s="16" t="s">
        <v>1888</v>
      </c>
      <c r="D597" s="16" t="s">
        <v>177</v>
      </c>
      <c r="E597" s="16" t="s">
        <v>528</v>
      </c>
      <c r="F597" s="26" t="n">
        <v>11212000</v>
      </c>
      <c r="G597" s="25" t="n">
        <v>50</v>
      </c>
      <c r="H597" s="22" t="n">
        <v>46286</v>
      </c>
      <c r="I597" s="22" t="n">
        <v>46356</v>
      </c>
      <c r="J597" s="22" t="n">
        <v>46297</v>
      </c>
      <c r="K597" s="16" t="s">
        <v>600</v>
      </c>
      <c r="L597" s="16" t="s">
        <v>584</v>
      </c>
      <c r="M597" s="16" t="s">
        <v>569</v>
      </c>
      <c r="N597" s="16"/>
      <c r="O597" s="7" t="n">
        <f aca="false">IF(OR(E597="Closed Won",E597="Closed Lost"),0,1)</f>
        <v>1</v>
      </c>
      <c r="P597" s="17" t="str">
        <f aca="false">INDEX(Accounts!$K$5:$K$336,MATCH(B597,Accounts!$A$5:$A$336,0))</f>
        <v>Agribusiness</v>
      </c>
      <c r="Q597" s="17" t="str">
        <f aca="false">INDEX(Accounts!$D$5:$D$336,MATCH(B597,Accounts!$A$5:$A$336,0))</f>
        <v>Standard</v>
      </c>
      <c r="R597" s="7" t="n">
        <f aca="false">INDEX(Inputs!$B$11:$B$16,MATCH(E597,Inputs!$A$11:$A$16,0))</f>
        <v>50</v>
      </c>
      <c r="S597" s="27" t="n">
        <f aca="false">IF(F597="",0,F597)*R597/100</f>
        <v>5606000</v>
      </c>
      <c r="T597" s="7" t="n">
        <f aca="false">Inputs!$B$4-J597</f>
        <v>17</v>
      </c>
      <c r="U597" s="7" t="n">
        <f aca="false">IF(OR(F597="",F597=0),1,0)</f>
        <v>0</v>
      </c>
      <c r="V597" s="7" t="n">
        <f aca="false">IF(K597="",1,0)</f>
        <v>0</v>
      </c>
      <c r="W597" s="7" t="n">
        <f aca="false">IF(AND(O597=1,K597&lt;&gt;"",COUNTIFS(Owners!$A$5:$A$32,K597,Owners!$E$5:$E$32,"No")&gt;0),1,0)</f>
        <v>0</v>
      </c>
      <c r="X597" s="7" t="n">
        <f aca="false">IF(AND(O597=1,I597&lt;Inputs!$B$4),1,0)</f>
        <v>0</v>
      </c>
      <c r="Y597" s="7" t="n">
        <f aca="false">IF(AND(O597=1,T597&gt;Inputs!$B$5),1,0)</f>
        <v>0</v>
      </c>
      <c r="Z597" s="7" t="n">
        <f aca="false">IF(AND(O597=1,G597&lt;&gt;R597),1,0)</f>
        <v>0</v>
      </c>
      <c r="AA597" s="7" t="n">
        <f aca="false">IF(AND(O597=1,M597=""),1,0)</f>
        <v>0</v>
      </c>
      <c r="AB597" s="7" t="n">
        <f aca="false">IF(AND(E597="Closed Lost",N597=""),1,0)</f>
        <v>0</v>
      </c>
      <c r="AC597" s="7" t="n">
        <f aca="false">SUM(U597:AB597)</f>
        <v>0</v>
      </c>
      <c r="AD597" s="7" t="n">
        <f aca="false">IF(AC597=0,1,0)</f>
        <v>1</v>
      </c>
      <c r="AE597" s="7" t="n">
        <f aca="false">IF(AND(O597=1,I597&gt;=Inputs!$B$6,I597&lt;=Inputs!$B$7),1,0)</f>
        <v>1</v>
      </c>
      <c r="AF597" s="7" t="n">
        <f aca="false">IF(AND(E597="Closed Won",I597&gt;=Inputs!$B$6,I597&lt;=Inputs!$B$4),1,0)</f>
        <v>0</v>
      </c>
      <c r="AG597" s="7" t="n">
        <f aca="false">IF(AND(O597=0,I597&gt;Inputs!$B$4-Inputs!$B$8,I597&lt;=Inputs!$B$4),1,0)</f>
        <v>0</v>
      </c>
      <c r="AH597" s="7" t="n">
        <f aca="false">I597-H597</f>
        <v>70</v>
      </c>
    </row>
    <row r="598" customFormat="false" ht="15" hidden="false" customHeight="false" outlineLevel="0" collapsed="false">
      <c r="A598" s="16" t="s">
        <v>1889</v>
      </c>
      <c r="B598" s="16" t="s">
        <v>71</v>
      </c>
      <c r="C598" s="16" t="s">
        <v>1890</v>
      </c>
      <c r="D598" s="16" t="s">
        <v>177</v>
      </c>
      <c r="E598" s="16" t="s">
        <v>530</v>
      </c>
      <c r="F598" s="26" t="n">
        <v>7427000</v>
      </c>
      <c r="G598" s="25" t="n">
        <v>100</v>
      </c>
      <c r="H598" s="22" t="n">
        <v>46089</v>
      </c>
      <c r="I598" s="22" t="n">
        <v>46206</v>
      </c>
      <c r="J598" s="22" t="n">
        <v>46206</v>
      </c>
      <c r="K598" s="16" t="s">
        <v>691</v>
      </c>
      <c r="L598" s="16" t="s">
        <v>584</v>
      </c>
      <c r="M598" s="16"/>
      <c r="N598" s="16"/>
      <c r="O598" s="7" t="n">
        <f aca="false">IF(OR(E598="Closed Won",E598="Closed Lost"),0,1)</f>
        <v>0</v>
      </c>
      <c r="P598" s="17" t="str">
        <f aca="false">INDEX(Accounts!$K$5:$K$336,MATCH(B598,Accounts!$A$5:$A$336,0))</f>
        <v>Energy &amp; Resources</v>
      </c>
      <c r="Q598" s="17" t="str">
        <f aca="false">INDEX(Accounts!$D$5:$D$336,MATCH(B598,Accounts!$A$5:$A$336,0))</f>
        <v>Priority</v>
      </c>
      <c r="R598" s="7" t="n">
        <f aca="false">INDEX(Inputs!$B$11:$B$16,MATCH(E598,Inputs!$A$11:$A$16,0))</f>
        <v>100</v>
      </c>
      <c r="S598" s="27" t="n">
        <f aca="false">IF(F598="",0,F598)*R598/100</f>
        <v>7427000</v>
      </c>
      <c r="T598" s="7" t="n">
        <f aca="false">Inputs!$B$4-J598</f>
        <v>108</v>
      </c>
      <c r="U598" s="7" t="n">
        <f aca="false">IF(OR(F598="",F598=0),1,0)</f>
        <v>0</v>
      </c>
      <c r="V598" s="7" t="n">
        <f aca="false">IF(K598="",1,0)</f>
        <v>0</v>
      </c>
      <c r="W598" s="7" t="n">
        <f aca="false">IF(AND(O598=1,K598&lt;&gt;"",COUNTIFS(Owners!$A$5:$A$32,K598,Owners!$E$5:$E$32,"No")&gt;0),1,0)</f>
        <v>0</v>
      </c>
      <c r="X598" s="7" t="n">
        <f aca="false">IF(AND(O598=1,I598&lt;Inputs!$B$4),1,0)</f>
        <v>0</v>
      </c>
      <c r="Y598" s="7" t="n">
        <f aca="false">IF(AND(O598=1,T598&gt;Inputs!$B$5),1,0)</f>
        <v>0</v>
      </c>
      <c r="Z598" s="7" t="n">
        <f aca="false">IF(AND(O598=1,G598&lt;&gt;R598),1,0)</f>
        <v>0</v>
      </c>
      <c r="AA598" s="7" t="n">
        <f aca="false">IF(AND(O598=1,M598=""),1,0)</f>
        <v>0</v>
      </c>
      <c r="AB598" s="7" t="n">
        <f aca="false">IF(AND(E598="Closed Lost",N598=""),1,0)</f>
        <v>0</v>
      </c>
      <c r="AC598" s="7" t="n">
        <f aca="false">SUM(U598:AB598)</f>
        <v>0</v>
      </c>
      <c r="AD598" s="7" t="n">
        <f aca="false">IF(AC598=0,1,0)</f>
        <v>1</v>
      </c>
      <c r="AE598" s="7" t="n">
        <f aca="false">IF(AND(O598=1,I598&gt;=Inputs!$B$6,I598&lt;=Inputs!$B$7),1,0)</f>
        <v>0</v>
      </c>
      <c r="AF598" s="7" t="n">
        <f aca="false">IF(AND(E598="Closed Won",I598&gt;=Inputs!$B$6,I598&lt;=Inputs!$B$4),1,0)</f>
        <v>1</v>
      </c>
      <c r="AG598" s="7" t="n">
        <f aca="false">IF(AND(O598=0,I598&gt;Inputs!$B$4-Inputs!$B$8,I598&lt;=Inputs!$B$4),1,0)</f>
        <v>1</v>
      </c>
      <c r="AH598" s="7" t="n">
        <f aca="false">I598-H598</f>
        <v>117</v>
      </c>
    </row>
    <row r="599" customFormat="false" ht="15" hidden="false" customHeight="false" outlineLevel="0" collapsed="false">
      <c r="A599" s="16" t="s">
        <v>1891</v>
      </c>
      <c r="B599" s="16" t="s">
        <v>1358</v>
      </c>
      <c r="C599" s="16" t="s">
        <v>1892</v>
      </c>
      <c r="D599" s="16" t="s">
        <v>165</v>
      </c>
      <c r="E599" s="16" t="s">
        <v>531</v>
      </c>
      <c r="F599" s="26" t="n">
        <v>64994000</v>
      </c>
      <c r="G599" s="25" t="n">
        <v>0</v>
      </c>
      <c r="H599" s="22" t="n">
        <v>46014</v>
      </c>
      <c r="I599" s="22" t="n">
        <v>46295</v>
      </c>
      <c r="J599" s="22" t="n">
        <v>46295</v>
      </c>
      <c r="K599" s="16" t="s">
        <v>588</v>
      </c>
      <c r="L599" s="16" t="s">
        <v>609</v>
      </c>
      <c r="M599" s="16"/>
      <c r="N599" s="16"/>
      <c r="O599" s="7" t="n">
        <f aca="false">IF(OR(E599="Closed Won",E599="Closed Lost"),0,1)</f>
        <v>0</v>
      </c>
      <c r="P599" s="17" t="str">
        <f aca="false">INDEX(Accounts!$K$5:$K$336,MATCH(B599,Accounts!$A$5:$A$336,0))</f>
        <v>Agribusiness</v>
      </c>
      <c r="Q599" s="17" t="str">
        <f aca="false">INDEX(Accounts!$D$5:$D$336,MATCH(B599,Accounts!$A$5:$A$336,0))</f>
        <v>Key</v>
      </c>
      <c r="R599" s="7" t="n">
        <f aca="false">INDEX(Inputs!$B$11:$B$16,MATCH(E599,Inputs!$A$11:$A$16,0))</f>
        <v>0</v>
      </c>
      <c r="S599" s="27" t="n">
        <f aca="false">IF(F599="",0,F599)*R599/100</f>
        <v>0</v>
      </c>
      <c r="T599" s="7" t="n">
        <f aca="false">Inputs!$B$4-J599</f>
        <v>19</v>
      </c>
      <c r="U599" s="7" t="n">
        <f aca="false">IF(OR(F599="",F599=0),1,0)</f>
        <v>0</v>
      </c>
      <c r="V599" s="7" t="n">
        <f aca="false">IF(K599="",1,0)</f>
        <v>0</v>
      </c>
      <c r="W599" s="7" t="n">
        <f aca="false">IF(AND(O599=1,K599&lt;&gt;"",COUNTIFS(Owners!$A$5:$A$32,K599,Owners!$E$5:$E$32,"No")&gt;0),1,0)</f>
        <v>0</v>
      </c>
      <c r="X599" s="7" t="n">
        <f aca="false">IF(AND(O599=1,I599&lt;Inputs!$B$4),1,0)</f>
        <v>0</v>
      </c>
      <c r="Y599" s="7" t="n">
        <f aca="false">IF(AND(O599=1,T599&gt;Inputs!$B$5),1,0)</f>
        <v>0</v>
      </c>
      <c r="Z599" s="7" t="n">
        <f aca="false">IF(AND(O599=1,G599&lt;&gt;R599),1,0)</f>
        <v>0</v>
      </c>
      <c r="AA599" s="7" t="n">
        <f aca="false">IF(AND(O599=1,M599=""),1,0)</f>
        <v>0</v>
      </c>
      <c r="AB599" s="7" t="n">
        <f aca="false">IF(AND(E599="Closed Lost",N599=""),1,0)</f>
        <v>1</v>
      </c>
      <c r="AC599" s="7" t="n">
        <f aca="false">SUM(U599:AB599)</f>
        <v>1</v>
      </c>
      <c r="AD599" s="7" t="n">
        <f aca="false">IF(AC599=0,1,0)</f>
        <v>0</v>
      </c>
      <c r="AE599" s="7" t="n">
        <f aca="false">IF(AND(O599=1,I599&gt;=Inputs!$B$6,I599&lt;=Inputs!$B$7),1,0)</f>
        <v>0</v>
      </c>
      <c r="AF599" s="7" t="n">
        <f aca="false">IF(AND(E599="Closed Won",I599&gt;=Inputs!$B$6,I599&lt;=Inputs!$B$4),1,0)</f>
        <v>0</v>
      </c>
      <c r="AG599" s="7" t="n">
        <f aca="false">IF(AND(O599=0,I599&gt;Inputs!$B$4-Inputs!$B$8,I599&lt;=Inputs!$B$4),1,0)</f>
        <v>1</v>
      </c>
      <c r="AH599" s="7" t="n">
        <f aca="false">I599-H599</f>
        <v>281</v>
      </c>
    </row>
    <row r="600" customFormat="false" ht="15" hidden="false" customHeight="false" outlineLevel="0" collapsed="false">
      <c r="A600" s="16" t="s">
        <v>1893</v>
      </c>
      <c r="B600" s="16" t="s">
        <v>429</v>
      </c>
      <c r="C600" s="16" t="s">
        <v>1894</v>
      </c>
      <c r="D600" s="16" t="s">
        <v>167</v>
      </c>
      <c r="E600" s="16" t="s">
        <v>526</v>
      </c>
      <c r="F600" s="26" t="n">
        <v>5199000</v>
      </c>
      <c r="G600" s="25" t="n">
        <v>10</v>
      </c>
      <c r="H600" s="22" t="n">
        <v>46286</v>
      </c>
      <c r="I600" s="22" t="n">
        <v>46294</v>
      </c>
      <c r="J600" s="22" t="n">
        <v>46308</v>
      </c>
      <c r="K600" s="16" t="s">
        <v>591</v>
      </c>
      <c r="L600" s="16" t="s">
        <v>574</v>
      </c>
      <c r="M600" s="16" t="s">
        <v>575</v>
      </c>
      <c r="N600" s="16"/>
      <c r="O600" s="7" t="n">
        <f aca="false">IF(OR(E600="Closed Won",E600="Closed Lost"),0,1)</f>
        <v>1</v>
      </c>
      <c r="P600" s="17" t="str">
        <f aca="false">INDEX(Accounts!$K$5:$K$336,MATCH(B600,Accounts!$A$5:$A$336,0))</f>
        <v>Financial Services</v>
      </c>
      <c r="Q600" s="17" t="str">
        <f aca="false">INDEX(Accounts!$D$5:$D$336,MATCH(B600,Accounts!$A$5:$A$336,0))</f>
        <v>Standard</v>
      </c>
      <c r="R600" s="7" t="n">
        <f aca="false">INDEX(Inputs!$B$11:$B$16,MATCH(E600,Inputs!$A$11:$A$16,0))</f>
        <v>10</v>
      </c>
      <c r="S600" s="27" t="n">
        <f aca="false">IF(F600="",0,F600)*R600/100</f>
        <v>519900</v>
      </c>
      <c r="T600" s="7" t="n">
        <f aca="false">Inputs!$B$4-J600</f>
        <v>6</v>
      </c>
      <c r="U600" s="7" t="n">
        <f aca="false">IF(OR(F600="",F600=0),1,0)</f>
        <v>0</v>
      </c>
      <c r="V600" s="7" t="n">
        <f aca="false">IF(K600="",1,0)</f>
        <v>0</v>
      </c>
      <c r="W600" s="7" t="n">
        <f aca="false">IF(AND(O600=1,K600&lt;&gt;"",COUNTIFS(Owners!$A$5:$A$32,K600,Owners!$E$5:$E$32,"No")&gt;0),1,0)</f>
        <v>0</v>
      </c>
      <c r="X600" s="7" t="n">
        <f aca="false">IF(AND(O600=1,I600&lt;Inputs!$B$4),1,0)</f>
        <v>1</v>
      </c>
      <c r="Y600" s="7" t="n">
        <f aca="false">IF(AND(O600=1,T600&gt;Inputs!$B$5),1,0)</f>
        <v>0</v>
      </c>
      <c r="Z600" s="7" t="n">
        <f aca="false">IF(AND(O600=1,G600&lt;&gt;R600),1,0)</f>
        <v>0</v>
      </c>
      <c r="AA600" s="7" t="n">
        <f aca="false">IF(AND(O600=1,M600=""),1,0)</f>
        <v>0</v>
      </c>
      <c r="AB600" s="7" t="n">
        <f aca="false">IF(AND(E600="Closed Lost",N600=""),1,0)</f>
        <v>0</v>
      </c>
      <c r="AC600" s="7" t="n">
        <f aca="false">SUM(U600:AB600)</f>
        <v>1</v>
      </c>
      <c r="AD600" s="7" t="n">
        <f aca="false">IF(AC600=0,1,0)</f>
        <v>0</v>
      </c>
      <c r="AE600" s="7" t="n">
        <f aca="false">IF(AND(O600=1,I600&gt;=Inputs!$B$6,I600&lt;=Inputs!$B$7),1,0)</f>
        <v>1</v>
      </c>
      <c r="AF600" s="7" t="n">
        <f aca="false">IF(AND(E600="Closed Won",I600&gt;=Inputs!$B$6,I600&lt;=Inputs!$B$4),1,0)</f>
        <v>0</v>
      </c>
      <c r="AG600" s="7" t="n">
        <f aca="false">IF(AND(O600=0,I600&gt;Inputs!$B$4-Inputs!$B$8,I600&lt;=Inputs!$B$4),1,0)</f>
        <v>0</v>
      </c>
      <c r="AH600" s="7" t="n">
        <f aca="false">I600-H600</f>
        <v>8</v>
      </c>
    </row>
    <row r="601" customFormat="false" ht="15" hidden="false" customHeight="false" outlineLevel="0" collapsed="false">
      <c r="A601" s="16" t="s">
        <v>1895</v>
      </c>
      <c r="B601" s="16" t="s">
        <v>67</v>
      </c>
      <c r="C601" s="16" t="s">
        <v>1896</v>
      </c>
      <c r="D601" s="16" t="s">
        <v>165</v>
      </c>
      <c r="E601" s="16" t="s">
        <v>531</v>
      </c>
      <c r="F601" s="26" t="n">
        <v>22676000</v>
      </c>
      <c r="G601" s="25" t="n">
        <v>0</v>
      </c>
      <c r="H601" s="22" t="n">
        <v>45922</v>
      </c>
      <c r="I601" s="22" t="n">
        <v>46165</v>
      </c>
      <c r="J601" s="22" t="n">
        <v>46165</v>
      </c>
      <c r="K601" s="16" t="s">
        <v>596</v>
      </c>
      <c r="L601" s="16" t="s">
        <v>584</v>
      </c>
      <c r="M601" s="16"/>
      <c r="N601" s="16" t="s">
        <v>713</v>
      </c>
      <c r="O601" s="7" t="n">
        <f aca="false">IF(OR(E601="Closed Won",E601="Closed Lost"),0,1)</f>
        <v>0</v>
      </c>
      <c r="P601" s="17" t="str">
        <f aca="false">INDEX(Accounts!$K$5:$K$336,MATCH(B601,Accounts!$A$5:$A$336,0))</f>
        <v>Financial Services</v>
      </c>
      <c r="Q601" s="17" t="str">
        <f aca="false">INDEX(Accounts!$D$5:$D$336,MATCH(B601,Accounts!$A$5:$A$336,0))</f>
        <v>Priority</v>
      </c>
      <c r="R601" s="7" t="n">
        <f aca="false">INDEX(Inputs!$B$11:$B$16,MATCH(E601,Inputs!$A$11:$A$16,0))</f>
        <v>0</v>
      </c>
      <c r="S601" s="27" t="n">
        <f aca="false">IF(F601="",0,F601)*R601/100</f>
        <v>0</v>
      </c>
      <c r="T601" s="7" t="n">
        <f aca="false">Inputs!$B$4-J601</f>
        <v>149</v>
      </c>
      <c r="U601" s="7" t="n">
        <f aca="false">IF(OR(F601="",F601=0),1,0)</f>
        <v>0</v>
      </c>
      <c r="V601" s="7" t="n">
        <f aca="false">IF(K601="",1,0)</f>
        <v>0</v>
      </c>
      <c r="W601" s="7" t="n">
        <f aca="false">IF(AND(O601=1,K601&lt;&gt;"",COUNTIFS(Owners!$A$5:$A$32,K601,Owners!$E$5:$E$32,"No")&gt;0),1,0)</f>
        <v>0</v>
      </c>
      <c r="X601" s="7" t="n">
        <f aca="false">IF(AND(O601=1,I601&lt;Inputs!$B$4),1,0)</f>
        <v>0</v>
      </c>
      <c r="Y601" s="7" t="n">
        <f aca="false">IF(AND(O601=1,T601&gt;Inputs!$B$5),1,0)</f>
        <v>0</v>
      </c>
      <c r="Z601" s="7" t="n">
        <f aca="false">IF(AND(O601=1,G601&lt;&gt;R601),1,0)</f>
        <v>0</v>
      </c>
      <c r="AA601" s="7" t="n">
        <f aca="false">IF(AND(O601=1,M601=""),1,0)</f>
        <v>0</v>
      </c>
      <c r="AB601" s="7" t="n">
        <f aca="false">IF(AND(E601="Closed Lost",N601=""),1,0)</f>
        <v>0</v>
      </c>
      <c r="AC601" s="7" t="n">
        <f aca="false">SUM(U601:AB601)</f>
        <v>0</v>
      </c>
      <c r="AD601" s="7" t="n">
        <f aca="false">IF(AC601=0,1,0)</f>
        <v>1</v>
      </c>
      <c r="AE601" s="7" t="n">
        <f aca="false">IF(AND(O601=1,I601&gt;=Inputs!$B$6,I601&lt;=Inputs!$B$7),1,0)</f>
        <v>0</v>
      </c>
      <c r="AF601" s="7" t="n">
        <f aca="false">IF(AND(E601="Closed Won",I601&gt;=Inputs!$B$6,I601&lt;=Inputs!$B$4),1,0)</f>
        <v>0</v>
      </c>
      <c r="AG601" s="7" t="n">
        <f aca="false">IF(AND(O601=0,I601&gt;Inputs!$B$4-Inputs!$B$8,I601&lt;=Inputs!$B$4),1,0)</f>
        <v>1</v>
      </c>
      <c r="AH601" s="7" t="n">
        <f aca="false">I601-H601</f>
        <v>243</v>
      </c>
    </row>
    <row r="602" customFormat="false" ht="15" hidden="false" customHeight="false" outlineLevel="0" collapsed="false">
      <c r="A602" s="16" t="s">
        <v>1897</v>
      </c>
      <c r="B602" s="16" t="s">
        <v>86</v>
      </c>
      <c r="C602" s="16" t="s">
        <v>1898</v>
      </c>
      <c r="D602" s="16" t="s">
        <v>165</v>
      </c>
      <c r="E602" s="16" t="s">
        <v>531</v>
      </c>
      <c r="F602" s="26" t="n">
        <v>5216000</v>
      </c>
      <c r="G602" s="25" t="n">
        <v>0</v>
      </c>
      <c r="H602" s="22" t="n">
        <v>46206</v>
      </c>
      <c r="I602" s="22" t="n">
        <v>46298</v>
      </c>
      <c r="J602" s="22" t="n">
        <v>46298</v>
      </c>
      <c r="K602" s="16" t="s">
        <v>633</v>
      </c>
      <c r="L602" s="16" t="s">
        <v>568</v>
      </c>
      <c r="M602" s="16"/>
      <c r="N602" s="16" t="s">
        <v>579</v>
      </c>
      <c r="O602" s="7" t="n">
        <f aca="false">IF(OR(E602="Closed Won",E602="Closed Lost"),0,1)</f>
        <v>0</v>
      </c>
      <c r="P602" s="17" t="str">
        <f aca="false">INDEX(Accounts!$K$5:$K$336,MATCH(B602,Accounts!$A$5:$A$336,0))</f>
        <v>Technology, Media &amp; Telecom</v>
      </c>
      <c r="Q602" s="17" t="str">
        <f aca="false">INDEX(Accounts!$D$5:$D$336,MATCH(B602,Accounts!$A$5:$A$336,0))</f>
        <v>Priority</v>
      </c>
      <c r="R602" s="7" t="n">
        <f aca="false">INDEX(Inputs!$B$11:$B$16,MATCH(E602,Inputs!$A$11:$A$16,0))</f>
        <v>0</v>
      </c>
      <c r="S602" s="27" t="n">
        <f aca="false">IF(F602="",0,F602)*R602/100</f>
        <v>0</v>
      </c>
      <c r="T602" s="7" t="n">
        <f aca="false">Inputs!$B$4-J602</f>
        <v>16</v>
      </c>
      <c r="U602" s="7" t="n">
        <f aca="false">IF(OR(F602="",F602=0),1,0)</f>
        <v>0</v>
      </c>
      <c r="V602" s="7" t="n">
        <f aca="false">IF(K602="",1,0)</f>
        <v>0</v>
      </c>
      <c r="W602" s="7" t="n">
        <f aca="false">IF(AND(O602=1,K602&lt;&gt;"",COUNTIFS(Owners!$A$5:$A$32,K602,Owners!$E$5:$E$32,"No")&gt;0),1,0)</f>
        <v>0</v>
      </c>
      <c r="X602" s="7" t="n">
        <f aca="false">IF(AND(O602=1,I602&lt;Inputs!$B$4),1,0)</f>
        <v>0</v>
      </c>
      <c r="Y602" s="7" t="n">
        <f aca="false">IF(AND(O602=1,T602&gt;Inputs!$B$5),1,0)</f>
        <v>0</v>
      </c>
      <c r="Z602" s="7" t="n">
        <f aca="false">IF(AND(O602=1,G602&lt;&gt;R602),1,0)</f>
        <v>0</v>
      </c>
      <c r="AA602" s="7" t="n">
        <f aca="false">IF(AND(O602=1,M602=""),1,0)</f>
        <v>0</v>
      </c>
      <c r="AB602" s="7" t="n">
        <f aca="false">IF(AND(E602="Closed Lost",N602=""),1,0)</f>
        <v>0</v>
      </c>
      <c r="AC602" s="7" t="n">
        <f aca="false">SUM(U602:AB602)</f>
        <v>0</v>
      </c>
      <c r="AD602" s="7" t="n">
        <f aca="false">IF(AC602=0,1,0)</f>
        <v>1</v>
      </c>
      <c r="AE602" s="7" t="n">
        <f aca="false">IF(AND(O602=1,I602&gt;=Inputs!$B$6,I602&lt;=Inputs!$B$7),1,0)</f>
        <v>0</v>
      </c>
      <c r="AF602" s="7" t="n">
        <f aca="false">IF(AND(E602="Closed Won",I602&gt;=Inputs!$B$6,I602&lt;=Inputs!$B$4),1,0)</f>
        <v>0</v>
      </c>
      <c r="AG602" s="7" t="n">
        <f aca="false">IF(AND(O602=0,I602&gt;Inputs!$B$4-Inputs!$B$8,I602&lt;=Inputs!$B$4),1,0)</f>
        <v>1</v>
      </c>
      <c r="AH602" s="7" t="n">
        <f aca="false">I602-H602</f>
        <v>92</v>
      </c>
    </row>
    <row r="603" customFormat="false" ht="15" hidden="false" customHeight="false" outlineLevel="0" collapsed="false">
      <c r="A603" s="16" t="s">
        <v>1899</v>
      </c>
      <c r="B603" s="16" t="s">
        <v>269</v>
      </c>
      <c r="C603" s="16" t="s">
        <v>1900</v>
      </c>
      <c r="D603" s="16" t="s">
        <v>162</v>
      </c>
      <c r="E603" s="16" t="s">
        <v>531</v>
      </c>
      <c r="F603" s="26" t="n">
        <v>18328000</v>
      </c>
      <c r="G603" s="25" t="n">
        <v>0</v>
      </c>
      <c r="H603" s="22" t="n">
        <v>45966</v>
      </c>
      <c r="I603" s="22" t="n">
        <v>46133</v>
      </c>
      <c r="J603" s="22" t="n">
        <v>46133</v>
      </c>
      <c r="K603" s="16" t="s">
        <v>578</v>
      </c>
      <c r="L603" s="16" t="s">
        <v>584</v>
      </c>
      <c r="M603" s="16"/>
      <c r="N603" s="16" t="s">
        <v>597</v>
      </c>
      <c r="O603" s="7" t="n">
        <f aca="false">IF(OR(E603="Closed Won",E603="Closed Lost"),0,1)</f>
        <v>0</v>
      </c>
      <c r="P603" s="17" t="str">
        <f aca="false">INDEX(Accounts!$K$5:$K$336,MATCH(B603,Accounts!$A$5:$A$336,0))</f>
        <v>Technology, Media &amp; Telecom</v>
      </c>
      <c r="Q603" s="17" t="str">
        <f aca="false">INDEX(Accounts!$D$5:$D$336,MATCH(B603,Accounts!$A$5:$A$336,0))</f>
        <v>Key</v>
      </c>
      <c r="R603" s="7" t="n">
        <f aca="false">INDEX(Inputs!$B$11:$B$16,MATCH(E603,Inputs!$A$11:$A$16,0))</f>
        <v>0</v>
      </c>
      <c r="S603" s="27" t="n">
        <f aca="false">IF(F603="",0,F603)*R603/100</f>
        <v>0</v>
      </c>
      <c r="T603" s="7" t="n">
        <f aca="false">Inputs!$B$4-J603</f>
        <v>181</v>
      </c>
      <c r="U603" s="7" t="n">
        <f aca="false">IF(OR(F603="",F603=0),1,0)</f>
        <v>0</v>
      </c>
      <c r="V603" s="7" t="n">
        <f aca="false">IF(K603="",1,0)</f>
        <v>0</v>
      </c>
      <c r="W603" s="7" t="n">
        <f aca="false">IF(AND(O603=1,K603&lt;&gt;"",COUNTIFS(Owners!$A$5:$A$32,K603,Owners!$E$5:$E$32,"No")&gt;0),1,0)</f>
        <v>0</v>
      </c>
      <c r="X603" s="7" t="n">
        <f aca="false">IF(AND(O603=1,I603&lt;Inputs!$B$4),1,0)</f>
        <v>0</v>
      </c>
      <c r="Y603" s="7" t="n">
        <f aca="false">IF(AND(O603=1,T603&gt;Inputs!$B$5),1,0)</f>
        <v>0</v>
      </c>
      <c r="Z603" s="7" t="n">
        <f aca="false">IF(AND(O603=1,G603&lt;&gt;R603),1,0)</f>
        <v>0</v>
      </c>
      <c r="AA603" s="7" t="n">
        <f aca="false">IF(AND(O603=1,M603=""),1,0)</f>
        <v>0</v>
      </c>
      <c r="AB603" s="7" t="n">
        <f aca="false">IF(AND(E603="Closed Lost",N603=""),1,0)</f>
        <v>0</v>
      </c>
      <c r="AC603" s="7" t="n">
        <f aca="false">SUM(U603:AB603)</f>
        <v>0</v>
      </c>
      <c r="AD603" s="7" t="n">
        <f aca="false">IF(AC603=0,1,0)</f>
        <v>1</v>
      </c>
      <c r="AE603" s="7" t="n">
        <f aca="false">IF(AND(O603=1,I603&gt;=Inputs!$B$6,I603&lt;=Inputs!$B$7),1,0)</f>
        <v>0</v>
      </c>
      <c r="AF603" s="7" t="n">
        <f aca="false">IF(AND(E603="Closed Won",I603&gt;=Inputs!$B$6,I603&lt;=Inputs!$B$4),1,0)</f>
        <v>0</v>
      </c>
      <c r="AG603" s="7" t="n">
        <f aca="false">IF(AND(O603=0,I603&gt;Inputs!$B$4-Inputs!$B$8,I603&lt;=Inputs!$B$4),1,0)</f>
        <v>1</v>
      </c>
      <c r="AH603" s="7" t="n">
        <f aca="false">I603-H603</f>
        <v>167</v>
      </c>
    </row>
    <row r="604" customFormat="false" ht="15" hidden="false" customHeight="false" outlineLevel="0" collapsed="false">
      <c r="A604" s="16" t="s">
        <v>1901</v>
      </c>
      <c r="B604" s="16" t="s">
        <v>72</v>
      </c>
      <c r="C604" s="16" t="s">
        <v>1902</v>
      </c>
      <c r="D604" s="16" t="s">
        <v>165</v>
      </c>
      <c r="E604" s="16" t="s">
        <v>530</v>
      </c>
      <c r="F604" s="26" t="n">
        <v>3903000</v>
      </c>
      <c r="G604" s="25" t="n">
        <v>100</v>
      </c>
      <c r="H604" s="22" t="n">
        <v>45992</v>
      </c>
      <c r="I604" s="22" t="n">
        <v>46070</v>
      </c>
      <c r="J604" s="22" t="n">
        <v>46070</v>
      </c>
      <c r="K604" s="16" t="s">
        <v>646</v>
      </c>
      <c r="L604" s="16" t="s">
        <v>609</v>
      </c>
      <c r="M604" s="16"/>
      <c r="N604" s="16"/>
      <c r="O604" s="7" t="n">
        <f aca="false">IF(OR(E604="Closed Won",E604="Closed Lost"),0,1)</f>
        <v>0</v>
      </c>
      <c r="P604" s="17" t="str">
        <f aca="false">INDEX(Accounts!$K$5:$K$336,MATCH(B604,Accounts!$A$5:$A$336,0))</f>
        <v>Consumer &amp; Retail</v>
      </c>
      <c r="Q604" s="17" t="str">
        <f aca="false">INDEX(Accounts!$D$5:$D$336,MATCH(B604,Accounts!$A$5:$A$336,0))</f>
        <v>Priority</v>
      </c>
      <c r="R604" s="7" t="n">
        <f aca="false">INDEX(Inputs!$B$11:$B$16,MATCH(E604,Inputs!$A$11:$A$16,0))</f>
        <v>100</v>
      </c>
      <c r="S604" s="27" t="n">
        <f aca="false">IF(F604="",0,F604)*R604/100</f>
        <v>3903000</v>
      </c>
      <c r="T604" s="7" t="n">
        <f aca="false">Inputs!$B$4-J604</f>
        <v>244</v>
      </c>
      <c r="U604" s="7" t="n">
        <f aca="false">IF(OR(F604="",F604=0),1,0)</f>
        <v>0</v>
      </c>
      <c r="V604" s="7" t="n">
        <f aca="false">IF(K604="",1,0)</f>
        <v>0</v>
      </c>
      <c r="W604" s="7" t="n">
        <f aca="false">IF(AND(O604=1,K604&lt;&gt;"",COUNTIFS(Owners!$A$5:$A$32,K604,Owners!$E$5:$E$32,"No")&gt;0),1,0)</f>
        <v>0</v>
      </c>
      <c r="X604" s="7" t="n">
        <f aca="false">IF(AND(O604=1,I604&lt;Inputs!$B$4),1,0)</f>
        <v>0</v>
      </c>
      <c r="Y604" s="7" t="n">
        <f aca="false">IF(AND(O604=1,T604&gt;Inputs!$B$5),1,0)</f>
        <v>0</v>
      </c>
      <c r="Z604" s="7" t="n">
        <f aca="false">IF(AND(O604=1,G604&lt;&gt;R604),1,0)</f>
        <v>0</v>
      </c>
      <c r="AA604" s="7" t="n">
        <f aca="false">IF(AND(O604=1,M604=""),1,0)</f>
        <v>0</v>
      </c>
      <c r="AB604" s="7" t="n">
        <f aca="false">IF(AND(E604="Closed Lost",N604=""),1,0)</f>
        <v>0</v>
      </c>
      <c r="AC604" s="7" t="n">
        <f aca="false">SUM(U604:AB604)</f>
        <v>0</v>
      </c>
      <c r="AD604" s="7" t="n">
        <f aca="false">IF(AC604=0,1,0)</f>
        <v>1</v>
      </c>
      <c r="AE604" s="7" t="n">
        <f aca="false">IF(AND(O604=1,I604&gt;=Inputs!$B$6,I604&lt;=Inputs!$B$7),1,0)</f>
        <v>0</v>
      </c>
      <c r="AF604" s="7" t="n">
        <f aca="false">IF(AND(E604="Closed Won",I604&gt;=Inputs!$B$6,I604&lt;=Inputs!$B$4),1,0)</f>
        <v>0</v>
      </c>
      <c r="AG604" s="7" t="n">
        <f aca="false">IF(AND(O604=0,I604&gt;Inputs!$B$4-Inputs!$B$8,I604&lt;=Inputs!$B$4),1,0)</f>
        <v>1</v>
      </c>
      <c r="AH604" s="7" t="n">
        <f aca="false">I604-H604</f>
        <v>78</v>
      </c>
    </row>
    <row r="605" customFormat="false" ht="15" hidden="false" customHeight="false" outlineLevel="0" collapsed="false">
      <c r="A605" s="16" t="s">
        <v>1903</v>
      </c>
      <c r="B605" s="16" t="s">
        <v>91</v>
      </c>
      <c r="C605" s="16" t="s">
        <v>1783</v>
      </c>
      <c r="D605" s="16" t="s">
        <v>167</v>
      </c>
      <c r="E605" s="16" t="s">
        <v>528</v>
      </c>
      <c r="F605" s="26" t="n">
        <v>0</v>
      </c>
      <c r="G605" s="25" t="n">
        <v>50</v>
      </c>
      <c r="H605" s="22" t="n">
        <v>46194</v>
      </c>
      <c r="I605" s="22" t="n">
        <v>46463</v>
      </c>
      <c r="J605" s="22" t="n">
        <v>46290</v>
      </c>
      <c r="K605" s="16" t="s">
        <v>685</v>
      </c>
      <c r="L605" s="16" t="s">
        <v>568</v>
      </c>
      <c r="M605" s="16" t="s">
        <v>601</v>
      </c>
      <c r="N605" s="16"/>
      <c r="O605" s="7" t="n">
        <f aca="false">IF(OR(E605="Closed Won",E605="Closed Lost"),0,1)</f>
        <v>1</v>
      </c>
      <c r="P605" s="17" t="str">
        <f aca="false">INDEX(Accounts!$K$5:$K$336,MATCH(B605,Accounts!$A$5:$A$336,0))</f>
        <v>Technology, Media &amp; Telecom</v>
      </c>
      <c r="Q605" s="17" t="str">
        <f aca="false">INDEX(Accounts!$D$5:$D$336,MATCH(B605,Accounts!$A$5:$A$336,0))</f>
        <v>Priority</v>
      </c>
      <c r="R605" s="7" t="n">
        <f aca="false">INDEX(Inputs!$B$11:$B$16,MATCH(E605,Inputs!$A$11:$A$16,0))</f>
        <v>50</v>
      </c>
      <c r="S605" s="27" t="n">
        <f aca="false">IF(F605="",0,F605)*R605/100</f>
        <v>0</v>
      </c>
      <c r="T605" s="7" t="n">
        <f aca="false">Inputs!$B$4-J605</f>
        <v>24</v>
      </c>
      <c r="U605" s="7" t="n">
        <f aca="false">IF(OR(F605="",F605=0),1,0)</f>
        <v>1</v>
      </c>
      <c r="V605" s="7" t="n">
        <f aca="false">IF(K605="",1,0)</f>
        <v>0</v>
      </c>
      <c r="W605" s="7" t="n">
        <f aca="false">IF(AND(O605=1,K605&lt;&gt;"",COUNTIFS(Owners!$A$5:$A$32,K605,Owners!$E$5:$E$32,"No")&gt;0),1,0)</f>
        <v>0</v>
      </c>
      <c r="X605" s="7" t="n">
        <f aca="false">IF(AND(O605=1,I605&lt;Inputs!$B$4),1,0)</f>
        <v>0</v>
      </c>
      <c r="Y605" s="7" t="n">
        <f aca="false">IF(AND(O605=1,T605&gt;Inputs!$B$5),1,0)</f>
        <v>0</v>
      </c>
      <c r="Z605" s="7" t="n">
        <f aca="false">IF(AND(O605=1,G605&lt;&gt;R605),1,0)</f>
        <v>0</v>
      </c>
      <c r="AA605" s="7" t="n">
        <f aca="false">IF(AND(O605=1,M605=""),1,0)</f>
        <v>0</v>
      </c>
      <c r="AB605" s="7" t="n">
        <f aca="false">IF(AND(E605="Closed Lost",N605=""),1,0)</f>
        <v>0</v>
      </c>
      <c r="AC605" s="7" t="n">
        <f aca="false">SUM(U605:AB605)</f>
        <v>1</v>
      </c>
      <c r="AD605" s="7" t="n">
        <f aca="false">IF(AC605=0,1,0)</f>
        <v>0</v>
      </c>
      <c r="AE605" s="7" t="n">
        <f aca="false">IF(AND(O605=1,I605&gt;=Inputs!$B$6,I605&lt;=Inputs!$B$7),1,0)</f>
        <v>1</v>
      </c>
      <c r="AF605" s="7" t="n">
        <f aca="false">IF(AND(E605="Closed Won",I605&gt;=Inputs!$B$6,I605&lt;=Inputs!$B$4),1,0)</f>
        <v>0</v>
      </c>
      <c r="AG605" s="7" t="n">
        <f aca="false">IF(AND(O605=0,I605&gt;Inputs!$B$4-Inputs!$B$8,I605&lt;=Inputs!$B$4),1,0)</f>
        <v>0</v>
      </c>
      <c r="AH605" s="7" t="n">
        <f aca="false">I605-H605</f>
        <v>269</v>
      </c>
    </row>
    <row r="606" customFormat="false" ht="15" hidden="false" customHeight="false" outlineLevel="0" collapsed="false">
      <c r="A606" s="16" t="s">
        <v>1904</v>
      </c>
      <c r="B606" s="16" t="s">
        <v>945</v>
      </c>
      <c r="C606" s="16" t="s">
        <v>1905</v>
      </c>
      <c r="D606" s="16" t="s">
        <v>165</v>
      </c>
      <c r="E606" s="16" t="s">
        <v>527</v>
      </c>
      <c r="F606" s="26" t="n">
        <v>36387000</v>
      </c>
      <c r="G606" s="25" t="n">
        <v>25</v>
      </c>
      <c r="H606" s="22" t="n">
        <v>46260</v>
      </c>
      <c r="I606" s="22" t="n">
        <v>46432</v>
      </c>
      <c r="J606" s="22" t="n">
        <v>46291</v>
      </c>
      <c r="K606" s="16" t="s">
        <v>596</v>
      </c>
      <c r="L606" s="16" t="s">
        <v>592</v>
      </c>
      <c r="M606" s="16" t="s">
        <v>593</v>
      </c>
      <c r="N606" s="16"/>
      <c r="O606" s="7" t="n">
        <f aca="false">IF(OR(E606="Closed Won",E606="Closed Lost"),0,1)</f>
        <v>1</v>
      </c>
      <c r="P606" s="17" t="str">
        <f aca="false">INDEX(Accounts!$K$5:$K$336,MATCH(B606,Accounts!$A$5:$A$336,0))</f>
        <v>Public Sector &amp; Development</v>
      </c>
      <c r="Q606" s="17" t="str">
        <f aca="false">INDEX(Accounts!$D$5:$D$336,MATCH(B606,Accounts!$A$5:$A$336,0))</f>
        <v>Key</v>
      </c>
      <c r="R606" s="7" t="n">
        <f aca="false">INDEX(Inputs!$B$11:$B$16,MATCH(E606,Inputs!$A$11:$A$16,0))</f>
        <v>25</v>
      </c>
      <c r="S606" s="27" t="n">
        <f aca="false">IF(F606="",0,F606)*R606/100</f>
        <v>9096750</v>
      </c>
      <c r="T606" s="7" t="n">
        <f aca="false">Inputs!$B$4-J606</f>
        <v>23</v>
      </c>
      <c r="U606" s="7" t="n">
        <f aca="false">IF(OR(F606="",F606=0),1,0)</f>
        <v>0</v>
      </c>
      <c r="V606" s="7" t="n">
        <f aca="false">IF(K606="",1,0)</f>
        <v>0</v>
      </c>
      <c r="W606" s="7" t="n">
        <f aca="false">IF(AND(O606=1,K606&lt;&gt;"",COUNTIFS(Owners!$A$5:$A$32,K606,Owners!$E$5:$E$32,"No")&gt;0),1,0)</f>
        <v>0</v>
      </c>
      <c r="X606" s="7" t="n">
        <f aca="false">IF(AND(O606=1,I606&lt;Inputs!$B$4),1,0)</f>
        <v>0</v>
      </c>
      <c r="Y606" s="7" t="n">
        <f aca="false">IF(AND(O606=1,T606&gt;Inputs!$B$5),1,0)</f>
        <v>0</v>
      </c>
      <c r="Z606" s="7" t="n">
        <f aca="false">IF(AND(O606=1,G606&lt;&gt;R606),1,0)</f>
        <v>0</v>
      </c>
      <c r="AA606" s="7" t="n">
        <f aca="false">IF(AND(O606=1,M606=""),1,0)</f>
        <v>0</v>
      </c>
      <c r="AB606" s="7" t="n">
        <f aca="false">IF(AND(E606="Closed Lost",N606=""),1,0)</f>
        <v>0</v>
      </c>
      <c r="AC606" s="7" t="n">
        <f aca="false">SUM(U606:AB606)</f>
        <v>0</v>
      </c>
      <c r="AD606" s="7" t="n">
        <f aca="false">IF(AC606=0,1,0)</f>
        <v>1</v>
      </c>
      <c r="AE606" s="7" t="n">
        <f aca="false">IF(AND(O606=1,I606&gt;=Inputs!$B$6,I606&lt;=Inputs!$B$7),1,0)</f>
        <v>1</v>
      </c>
      <c r="AF606" s="7" t="n">
        <f aca="false">IF(AND(E606="Closed Won",I606&gt;=Inputs!$B$6,I606&lt;=Inputs!$B$4),1,0)</f>
        <v>0</v>
      </c>
      <c r="AG606" s="7" t="n">
        <f aca="false">IF(AND(O606=0,I606&gt;Inputs!$B$4-Inputs!$B$8,I606&lt;=Inputs!$B$4),1,0)</f>
        <v>0</v>
      </c>
      <c r="AH606" s="7" t="n">
        <f aca="false">I606-H606</f>
        <v>172</v>
      </c>
    </row>
    <row r="607" customFormat="false" ht="15" hidden="false" customHeight="false" outlineLevel="0" collapsed="false">
      <c r="A607" s="16" t="s">
        <v>1906</v>
      </c>
      <c r="B607" s="16" t="s">
        <v>311</v>
      </c>
      <c r="C607" s="16" t="s">
        <v>1907</v>
      </c>
      <c r="D607" s="16" t="s">
        <v>167</v>
      </c>
      <c r="E607" s="16" t="s">
        <v>527</v>
      </c>
      <c r="F607" s="26" t="n">
        <v>1897000</v>
      </c>
      <c r="G607" s="25" t="n">
        <v>25</v>
      </c>
      <c r="H607" s="22" t="n">
        <v>46243</v>
      </c>
      <c r="I607" s="22" t="n">
        <v>46570</v>
      </c>
      <c r="J607" s="22" t="n">
        <v>46310</v>
      </c>
      <c r="K607" s="16" t="s">
        <v>860</v>
      </c>
      <c r="L607" s="16" t="s">
        <v>609</v>
      </c>
      <c r="M607" s="16" t="s">
        <v>601</v>
      </c>
      <c r="N607" s="16"/>
      <c r="O607" s="7" t="n">
        <f aca="false">IF(OR(E607="Closed Won",E607="Closed Lost"),0,1)</f>
        <v>1</v>
      </c>
      <c r="P607" s="17" t="str">
        <f aca="false">INDEX(Accounts!$K$5:$K$336,MATCH(B607,Accounts!$A$5:$A$336,0))</f>
        <v>Consumer &amp; Retail</v>
      </c>
      <c r="Q607" s="17" t="str">
        <f aca="false">INDEX(Accounts!$D$5:$D$336,MATCH(B607,Accounts!$A$5:$A$336,0))</f>
        <v>Standard</v>
      </c>
      <c r="R607" s="7" t="n">
        <f aca="false">INDEX(Inputs!$B$11:$B$16,MATCH(E607,Inputs!$A$11:$A$16,0))</f>
        <v>25</v>
      </c>
      <c r="S607" s="27" t="n">
        <f aca="false">IF(F607="",0,F607)*R607/100</f>
        <v>474250</v>
      </c>
      <c r="T607" s="7" t="n">
        <f aca="false">Inputs!$B$4-J607</f>
        <v>4</v>
      </c>
      <c r="U607" s="7" t="n">
        <f aca="false">IF(OR(F607="",F607=0),1,0)</f>
        <v>0</v>
      </c>
      <c r="V607" s="7" t="n">
        <f aca="false">IF(K607="",1,0)</f>
        <v>0</v>
      </c>
      <c r="W607" s="7" t="n">
        <f aca="false">IF(AND(O607=1,K607&lt;&gt;"",COUNTIFS(Owners!$A$5:$A$32,K607,Owners!$E$5:$E$32,"No")&gt;0),1,0)</f>
        <v>0</v>
      </c>
      <c r="X607" s="7" t="n">
        <f aca="false">IF(AND(O607=1,I607&lt;Inputs!$B$4),1,0)</f>
        <v>0</v>
      </c>
      <c r="Y607" s="7" t="n">
        <f aca="false">IF(AND(O607=1,T607&gt;Inputs!$B$5),1,0)</f>
        <v>0</v>
      </c>
      <c r="Z607" s="7" t="n">
        <f aca="false">IF(AND(O607=1,G607&lt;&gt;R607),1,0)</f>
        <v>0</v>
      </c>
      <c r="AA607" s="7" t="n">
        <f aca="false">IF(AND(O607=1,M607=""),1,0)</f>
        <v>0</v>
      </c>
      <c r="AB607" s="7" t="n">
        <f aca="false">IF(AND(E607="Closed Lost",N607=""),1,0)</f>
        <v>0</v>
      </c>
      <c r="AC607" s="7" t="n">
        <f aca="false">SUM(U607:AB607)</f>
        <v>0</v>
      </c>
      <c r="AD607" s="7" t="n">
        <f aca="false">IF(AC607=0,1,0)</f>
        <v>1</v>
      </c>
      <c r="AE607" s="7" t="n">
        <f aca="false">IF(AND(O607=1,I607&gt;=Inputs!$B$6,I607&lt;=Inputs!$B$7),1,0)</f>
        <v>0</v>
      </c>
      <c r="AF607" s="7" t="n">
        <f aca="false">IF(AND(E607="Closed Won",I607&gt;=Inputs!$B$6,I607&lt;=Inputs!$B$4),1,0)</f>
        <v>0</v>
      </c>
      <c r="AG607" s="7" t="n">
        <f aca="false">IF(AND(O607=0,I607&gt;Inputs!$B$4-Inputs!$B$8,I607&lt;=Inputs!$B$4),1,0)</f>
        <v>0</v>
      </c>
      <c r="AH607" s="7" t="n">
        <f aca="false">I607-H607</f>
        <v>327</v>
      </c>
    </row>
    <row r="608" customFormat="false" ht="15" hidden="false" customHeight="false" outlineLevel="0" collapsed="false">
      <c r="A608" s="16" t="s">
        <v>1908</v>
      </c>
      <c r="B608" s="16" t="s">
        <v>1082</v>
      </c>
      <c r="C608" s="16" t="s">
        <v>1909</v>
      </c>
      <c r="D608" s="16" t="s">
        <v>162</v>
      </c>
      <c r="E608" s="16" t="s">
        <v>529</v>
      </c>
      <c r="F608" s="26" t="n">
        <v>35742000</v>
      </c>
      <c r="G608" s="25" t="n">
        <v>75</v>
      </c>
      <c r="H608" s="22" t="n">
        <v>46191</v>
      </c>
      <c r="I608" s="22" t="n">
        <v>46291</v>
      </c>
      <c r="J608" s="22" t="n">
        <v>46286</v>
      </c>
      <c r="K608" s="16" t="s">
        <v>831</v>
      </c>
      <c r="L608" s="16" t="s">
        <v>500</v>
      </c>
      <c r="M608" s="16" t="s">
        <v>593</v>
      </c>
      <c r="N608" s="16"/>
      <c r="O608" s="7" t="n">
        <f aca="false">IF(OR(E608="Closed Won",E608="Closed Lost"),0,1)</f>
        <v>1</v>
      </c>
      <c r="P608" s="17" t="str">
        <f aca="false">INDEX(Accounts!$K$5:$K$336,MATCH(B608,Accounts!$A$5:$A$336,0))</f>
        <v>Financial Services</v>
      </c>
      <c r="Q608" s="17" t="str">
        <f aca="false">INDEX(Accounts!$D$5:$D$336,MATCH(B608,Accounts!$A$5:$A$336,0))</f>
        <v>Standard</v>
      </c>
      <c r="R608" s="7" t="n">
        <f aca="false">INDEX(Inputs!$B$11:$B$16,MATCH(E608,Inputs!$A$11:$A$16,0))</f>
        <v>75</v>
      </c>
      <c r="S608" s="27" t="n">
        <f aca="false">IF(F608="",0,F608)*R608/100</f>
        <v>26806500</v>
      </c>
      <c r="T608" s="7" t="n">
        <f aca="false">Inputs!$B$4-J608</f>
        <v>28</v>
      </c>
      <c r="U608" s="7" t="n">
        <f aca="false">IF(OR(F608="",F608=0),1,0)</f>
        <v>0</v>
      </c>
      <c r="V608" s="7" t="n">
        <f aca="false">IF(K608="",1,0)</f>
        <v>0</v>
      </c>
      <c r="W608" s="7" t="n">
        <f aca="false">IF(AND(O608=1,K608&lt;&gt;"",COUNTIFS(Owners!$A$5:$A$32,K608,Owners!$E$5:$E$32,"No")&gt;0),1,0)</f>
        <v>0</v>
      </c>
      <c r="X608" s="7" t="n">
        <f aca="false">IF(AND(O608=1,I608&lt;Inputs!$B$4),1,0)</f>
        <v>1</v>
      </c>
      <c r="Y608" s="7" t="n">
        <f aca="false">IF(AND(O608=1,T608&gt;Inputs!$B$5),1,0)</f>
        <v>0</v>
      </c>
      <c r="Z608" s="7" t="n">
        <f aca="false">IF(AND(O608=1,G608&lt;&gt;R608),1,0)</f>
        <v>0</v>
      </c>
      <c r="AA608" s="7" t="n">
        <f aca="false">IF(AND(O608=1,M608=""),1,0)</f>
        <v>0</v>
      </c>
      <c r="AB608" s="7" t="n">
        <f aca="false">IF(AND(E608="Closed Lost",N608=""),1,0)</f>
        <v>0</v>
      </c>
      <c r="AC608" s="7" t="n">
        <f aca="false">SUM(U608:AB608)</f>
        <v>1</v>
      </c>
      <c r="AD608" s="7" t="n">
        <f aca="false">IF(AC608=0,1,0)</f>
        <v>0</v>
      </c>
      <c r="AE608" s="7" t="n">
        <f aca="false">IF(AND(O608=1,I608&gt;=Inputs!$B$6,I608&lt;=Inputs!$B$7),1,0)</f>
        <v>1</v>
      </c>
      <c r="AF608" s="7" t="n">
        <f aca="false">IF(AND(E608="Closed Won",I608&gt;=Inputs!$B$6,I608&lt;=Inputs!$B$4),1,0)</f>
        <v>0</v>
      </c>
      <c r="AG608" s="7" t="n">
        <f aca="false">IF(AND(O608=0,I608&gt;Inputs!$B$4-Inputs!$B$8,I608&lt;=Inputs!$B$4),1,0)</f>
        <v>0</v>
      </c>
      <c r="AH608" s="7" t="n">
        <f aca="false">I608-H608</f>
        <v>100</v>
      </c>
    </row>
    <row r="609" customFormat="false" ht="15" hidden="false" customHeight="false" outlineLevel="0" collapsed="false">
      <c r="A609" s="16" t="s">
        <v>1910</v>
      </c>
      <c r="B609" s="16" t="s">
        <v>64</v>
      </c>
      <c r="C609" s="16" t="s">
        <v>1911</v>
      </c>
      <c r="D609" s="16" t="s">
        <v>162</v>
      </c>
      <c r="E609" s="16" t="s">
        <v>530</v>
      </c>
      <c r="F609" s="26" t="n">
        <v>2315000</v>
      </c>
      <c r="G609" s="25" t="n">
        <v>100</v>
      </c>
      <c r="H609" s="22" t="n">
        <v>46054</v>
      </c>
      <c r="I609" s="22" t="n">
        <v>46133</v>
      </c>
      <c r="J609" s="22" t="n">
        <v>46133</v>
      </c>
      <c r="K609" s="16" t="s">
        <v>691</v>
      </c>
      <c r="L609" s="16" t="s">
        <v>592</v>
      </c>
      <c r="M609" s="16"/>
      <c r="N609" s="16"/>
      <c r="O609" s="7" t="n">
        <f aca="false">IF(OR(E609="Closed Won",E609="Closed Lost"),0,1)</f>
        <v>0</v>
      </c>
      <c r="P609" s="17" t="str">
        <f aca="false">INDEX(Accounts!$K$5:$K$336,MATCH(B609,Accounts!$A$5:$A$336,0))</f>
        <v>Financial Services</v>
      </c>
      <c r="Q609" s="17" t="str">
        <f aca="false">INDEX(Accounts!$D$5:$D$336,MATCH(B609,Accounts!$A$5:$A$336,0))</f>
        <v>Priority</v>
      </c>
      <c r="R609" s="7" t="n">
        <f aca="false">INDEX(Inputs!$B$11:$B$16,MATCH(E609,Inputs!$A$11:$A$16,0))</f>
        <v>100</v>
      </c>
      <c r="S609" s="27" t="n">
        <f aca="false">IF(F609="",0,F609)*R609/100</f>
        <v>2315000</v>
      </c>
      <c r="T609" s="7" t="n">
        <f aca="false">Inputs!$B$4-J609</f>
        <v>181</v>
      </c>
      <c r="U609" s="7" t="n">
        <f aca="false">IF(OR(F609="",F609=0),1,0)</f>
        <v>0</v>
      </c>
      <c r="V609" s="7" t="n">
        <f aca="false">IF(K609="",1,0)</f>
        <v>0</v>
      </c>
      <c r="W609" s="7" t="n">
        <f aca="false">IF(AND(O609=1,K609&lt;&gt;"",COUNTIFS(Owners!$A$5:$A$32,K609,Owners!$E$5:$E$32,"No")&gt;0),1,0)</f>
        <v>0</v>
      </c>
      <c r="X609" s="7" t="n">
        <f aca="false">IF(AND(O609=1,I609&lt;Inputs!$B$4),1,0)</f>
        <v>0</v>
      </c>
      <c r="Y609" s="7" t="n">
        <f aca="false">IF(AND(O609=1,T609&gt;Inputs!$B$5),1,0)</f>
        <v>0</v>
      </c>
      <c r="Z609" s="7" t="n">
        <f aca="false">IF(AND(O609=1,G609&lt;&gt;R609),1,0)</f>
        <v>0</v>
      </c>
      <c r="AA609" s="7" t="n">
        <f aca="false">IF(AND(O609=1,M609=""),1,0)</f>
        <v>0</v>
      </c>
      <c r="AB609" s="7" t="n">
        <f aca="false">IF(AND(E609="Closed Lost",N609=""),1,0)</f>
        <v>0</v>
      </c>
      <c r="AC609" s="7" t="n">
        <f aca="false">SUM(U609:AB609)</f>
        <v>0</v>
      </c>
      <c r="AD609" s="7" t="n">
        <f aca="false">IF(AC609=0,1,0)</f>
        <v>1</v>
      </c>
      <c r="AE609" s="7" t="n">
        <f aca="false">IF(AND(O609=1,I609&gt;=Inputs!$B$6,I609&lt;=Inputs!$B$7),1,0)</f>
        <v>0</v>
      </c>
      <c r="AF609" s="7" t="n">
        <f aca="false">IF(AND(E609="Closed Won",I609&gt;=Inputs!$B$6,I609&lt;=Inputs!$B$4),1,0)</f>
        <v>0</v>
      </c>
      <c r="AG609" s="7" t="n">
        <f aca="false">IF(AND(O609=0,I609&gt;Inputs!$B$4-Inputs!$B$8,I609&lt;=Inputs!$B$4),1,0)</f>
        <v>1</v>
      </c>
      <c r="AH609" s="7" t="n">
        <f aca="false">I609-H609</f>
        <v>79</v>
      </c>
    </row>
    <row r="610" customFormat="false" ht="15" hidden="false" customHeight="false" outlineLevel="0" collapsed="false">
      <c r="A610" s="16" t="s">
        <v>1912</v>
      </c>
      <c r="B610" s="16" t="s">
        <v>269</v>
      </c>
      <c r="C610" s="16" t="s">
        <v>1913</v>
      </c>
      <c r="D610" s="16" t="s">
        <v>162</v>
      </c>
      <c r="E610" s="16" t="s">
        <v>530</v>
      </c>
      <c r="F610" s="26" t="n">
        <v>8265000</v>
      </c>
      <c r="G610" s="25" t="n">
        <v>100</v>
      </c>
      <c r="H610" s="22" t="n">
        <v>46033</v>
      </c>
      <c r="I610" s="22" t="n">
        <v>46306</v>
      </c>
      <c r="J610" s="22" t="n">
        <v>46306</v>
      </c>
      <c r="K610" s="16" t="s">
        <v>591</v>
      </c>
      <c r="L610" s="16" t="s">
        <v>568</v>
      </c>
      <c r="M610" s="16"/>
      <c r="N610" s="16"/>
      <c r="O610" s="7" t="n">
        <f aca="false">IF(OR(E610="Closed Won",E610="Closed Lost"),0,1)</f>
        <v>0</v>
      </c>
      <c r="P610" s="17" t="str">
        <f aca="false">INDEX(Accounts!$K$5:$K$336,MATCH(B610,Accounts!$A$5:$A$336,0))</f>
        <v>Technology, Media &amp; Telecom</v>
      </c>
      <c r="Q610" s="17" t="str">
        <f aca="false">INDEX(Accounts!$D$5:$D$336,MATCH(B610,Accounts!$A$5:$A$336,0))</f>
        <v>Key</v>
      </c>
      <c r="R610" s="7" t="n">
        <f aca="false">INDEX(Inputs!$B$11:$B$16,MATCH(E610,Inputs!$A$11:$A$16,0))</f>
        <v>100</v>
      </c>
      <c r="S610" s="27" t="n">
        <f aca="false">IF(F610="",0,F610)*R610/100</f>
        <v>8265000</v>
      </c>
      <c r="T610" s="7" t="n">
        <f aca="false">Inputs!$B$4-J610</f>
        <v>8</v>
      </c>
      <c r="U610" s="7" t="n">
        <f aca="false">IF(OR(F610="",F610=0),1,0)</f>
        <v>0</v>
      </c>
      <c r="V610" s="7" t="n">
        <f aca="false">IF(K610="",1,0)</f>
        <v>0</v>
      </c>
      <c r="W610" s="7" t="n">
        <f aca="false">IF(AND(O610=1,K610&lt;&gt;"",COUNTIFS(Owners!$A$5:$A$32,K610,Owners!$E$5:$E$32,"No")&gt;0),1,0)</f>
        <v>0</v>
      </c>
      <c r="X610" s="7" t="n">
        <f aca="false">IF(AND(O610=1,I610&lt;Inputs!$B$4),1,0)</f>
        <v>0</v>
      </c>
      <c r="Y610" s="7" t="n">
        <f aca="false">IF(AND(O610=1,T610&gt;Inputs!$B$5),1,0)</f>
        <v>0</v>
      </c>
      <c r="Z610" s="7" t="n">
        <f aca="false">IF(AND(O610=1,G610&lt;&gt;R610),1,0)</f>
        <v>0</v>
      </c>
      <c r="AA610" s="7" t="n">
        <f aca="false">IF(AND(O610=1,M610=""),1,0)</f>
        <v>0</v>
      </c>
      <c r="AB610" s="7" t="n">
        <f aca="false">IF(AND(E610="Closed Lost",N610=""),1,0)</f>
        <v>0</v>
      </c>
      <c r="AC610" s="7" t="n">
        <f aca="false">SUM(U610:AB610)</f>
        <v>0</v>
      </c>
      <c r="AD610" s="7" t="n">
        <f aca="false">IF(AC610=0,1,0)</f>
        <v>1</v>
      </c>
      <c r="AE610" s="7" t="n">
        <f aca="false">IF(AND(O610=1,I610&gt;=Inputs!$B$6,I610&lt;=Inputs!$B$7),1,0)</f>
        <v>0</v>
      </c>
      <c r="AF610" s="7" t="n">
        <f aca="false">IF(AND(E610="Closed Won",I610&gt;=Inputs!$B$6,I610&lt;=Inputs!$B$4),1,0)</f>
        <v>1</v>
      </c>
      <c r="AG610" s="7" t="n">
        <f aca="false">IF(AND(O610=0,I610&gt;Inputs!$B$4-Inputs!$B$8,I610&lt;=Inputs!$B$4),1,0)</f>
        <v>1</v>
      </c>
      <c r="AH610" s="7" t="n">
        <f aca="false">I610-H610</f>
        <v>273</v>
      </c>
    </row>
    <row r="611" customFormat="false" ht="15" hidden="false" customHeight="false" outlineLevel="0" collapsed="false">
      <c r="A611" s="16" t="s">
        <v>1914</v>
      </c>
      <c r="B611" s="16" t="s">
        <v>1915</v>
      </c>
      <c r="C611" s="16" t="s">
        <v>1916</v>
      </c>
      <c r="D611" s="16" t="s">
        <v>162</v>
      </c>
      <c r="E611" s="16" t="s">
        <v>527</v>
      </c>
      <c r="F611" s="26" t="n">
        <v>9368000</v>
      </c>
      <c r="G611" s="25" t="n">
        <v>25</v>
      </c>
      <c r="H611" s="22" t="n">
        <v>46144</v>
      </c>
      <c r="I611" s="22" t="n">
        <v>46414</v>
      </c>
      <c r="J611" s="22" t="n">
        <v>46195</v>
      </c>
      <c r="K611" s="16" t="s">
        <v>578</v>
      </c>
      <c r="L611" s="16" t="s">
        <v>584</v>
      </c>
      <c r="M611" s="16" t="s">
        <v>575</v>
      </c>
      <c r="N611" s="16"/>
      <c r="O611" s="7" t="n">
        <f aca="false">IF(OR(E611="Closed Won",E611="Closed Lost"),0,1)</f>
        <v>1</v>
      </c>
      <c r="P611" s="17" t="str">
        <f aca="false">INDEX(Accounts!$K$5:$K$336,MATCH(B611,Accounts!$A$5:$A$336,0))</f>
        <v>Consumer &amp; Retail</v>
      </c>
      <c r="Q611" s="17" t="str">
        <f aca="false">INDEX(Accounts!$D$5:$D$336,MATCH(B611,Accounts!$A$5:$A$336,0))</f>
        <v>Standard</v>
      </c>
      <c r="R611" s="7" t="n">
        <f aca="false">INDEX(Inputs!$B$11:$B$16,MATCH(E611,Inputs!$A$11:$A$16,0))</f>
        <v>25</v>
      </c>
      <c r="S611" s="27" t="n">
        <f aca="false">IF(F611="",0,F611)*R611/100</f>
        <v>2342000</v>
      </c>
      <c r="T611" s="7" t="n">
        <f aca="false">Inputs!$B$4-J611</f>
        <v>119</v>
      </c>
      <c r="U611" s="7" t="n">
        <f aca="false">IF(OR(F611="",F611=0),1,0)</f>
        <v>0</v>
      </c>
      <c r="V611" s="7" t="n">
        <f aca="false">IF(K611="",1,0)</f>
        <v>0</v>
      </c>
      <c r="W611" s="7" t="n">
        <f aca="false">IF(AND(O611=1,K611&lt;&gt;"",COUNTIFS(Owners!$A$5:$A$32,K611,Owners!$E$5:$E$32,"No")&gt;0),1,0)</f>
        <v>0</v>
      </c>
      <c r="X611" s="7" t="n">
        <f aca="false">IF(AND(O611=1,I611&lt;Inputs!$B$4),1,0)</f>
        <v>0</v>
      </c>
      <c r="Y611" s="7" t="n">
        <f aca="false">IF(AND(O611=1,T611&gt;Inputs!$B$5),1,0)</f>
        <v>1</v>
      </c>
      <c r="Z611" s="7" t="n">
        <f aca="false">IF(AND(O611=1,G611&lt;&gt;R611),1,0)</f>
        <v>0</v>
      </c>
      <c r="AA611" s="7" t="n">
        <f aca="false">IF(AND(O611=1,M611=""),1,0)</f>
        <v>0</v>
      </c>
      <c r="AB611" s="7" t="n">
        <f aca="false">IF(AND(E611="Closed Lost",N611=""),1,0)</f>
        <v>0</v>
      </c>
      <c r="AC611" s="7" t="n">
        <f aca="false">SUM(U611:AB611)</f>
        <v>1</v>
      </c>
      <c r="AD611" s="7" t="n">
        <f aca="false">IF(AC611=0,1,0)</f>
        <v>0</v>
      </c>
      <c r="AE611" s="7" t="n">
        <f aca="false">IF(AND(O611=1,I611&gt;=Inputs!$B$6,I611&lt;=Inputs!$B$7),1,0)</f>
        <v>1</v>
      </c>
      <c r="AF611" s="7" t="n">
        <f aca="false">IF(AND(E611="Closed Won",I611&gt;=Inputs!$B$6,I611&lt;=Inputs!$B$4),1,0)</f>
        <v>0</v>
      </c>
      <c r="AG611" s="7" t="n">
        <f aca="false">IF(AND(O611=0,I611&gt;Inputs!$B$4-Inputs!$B$8,I611&lt;=Inputs!$B$4),1,0)</f>
        <v>0</v>
      </c>
      <c r="AH611" s="7" t="n">
        <f aca="false">I611-H611</f>
        <v>270</v>
      </c>
    </row>
    <row r="612" customFormat="false" ht="15" hidden="false" customHeight="false" outlineLevel="0" collapsed="false">
      <c r="A612" s="16" t="s">
        <v>1917</v>
      </c>
      <c r="B612" s="16" t="s">
        <v>456</v>
      </c>
      <c r="C612" s="16" t="s">
        <v>1918</v>
      </c>
      <c r="D612" s="16" t="s">
        <v>177</v>
      </c>
      <c r="E612" s="16" t="s">
        <v>529</v>
      </c>
      <c r="F612" s="26" t="n">
        <v>2385000</v>
      </c>
      <c r="G612" s="25" t="n">
        <v>75</v>
      </c>
      <c r="H612" s="22" t="n">
        <v>46241</v>
      </c>
      <c r="I612" s="22" t="n">
        <v>46378</v>
      </c>
      <c r="J612" s="22" t="n">
        <v>46283</v>
      </c>
      <c r="K612" s="16" t="s">
        <v>637</v>
      </c>
      <c r="L612" s="16" t="s">
        <v>584</v>
      </c>
      <c r="M612" s="16"/>
      <c r="N612" s="16"/>
      <c r="O612" s="7" t="n">
        <f aca="false">IF(OR(E612="Closed Won",E612="Closed Lost"),0,1)</f>
        <v>1</v>
      </c>
      <c r="P612" s="17" t="str">
        <f aca="false">INDEX(Accounts!$K$5:$K$336,MATCH(B612,Accounts!$A$5:$A$336,0))</f>
        <v>Agribusiness</v>
      </c>
      <c r="Q612" s="17" t="str">
        <f aca="false">INDEX(Accounts!$D$5:$D$336,MATCH(B612,Accounts!$A$5:$A$336,0))</f>
        <v>Key</v>
      </c>
      <c r="R612" s="7" t="n">
        <f aca="false">INDEX(Inputs!$B$11:$B$16,MATCH(E612,Inputs!$A$11:$A$16,0))</f>
        <v>75</v>
      </c>
      <c r="S612" s="27" t="n">
        <f aca="false">IF(F612="",0,F612)*R612/100</f>
        <v>1788750</v>
      </c>
      <c r="T612" s="7" t="n">
        <f aca="false">Inputs!$B$4-J612</f>
        <v>31</v>
      </c>
      <c r="U612" s="7" t="n">
        <f aca="false">IF(OR(F612="",F612=0),1,0)</f>
        <v>0</v>
      </c>
      <c r="V612" s="7" t="n">
        <f aca="false">IF(K612="",1,0)</f>
        <v>0</v>
      </c>
      <c r="W612" s="7" t="n">
        <f aca="false">IF(AND(O612=1,K612&lt;&gt;"",COUNTIFS(Owners!$A$5:$A$32,K612,Owners!$E$5:$E$32,"No")&gt;0),1,0)</f>
        <v>0</v>
      </c>
      <c r="X612" s="7" t="n">
        <f aca="false">IF(AND(O612=1,I612&lt;Inputs!$B$4),1,0)</f>
        <v>0</v>
      </c>
      <c r="Y612" s="7" t="n">
        <f aca="false">IF(AND(O612=1,T612&gt;Inputs!$B$5),1,0)</f>
        <v>0</v>
      </c>
      <c r="Z612" s="7" t="n">
        <f aca="false">IF(AND(O612=1,G612&lt;&gt;R612),1,0)</f>
        <v>0</v>
      </c>
      <c r="AA612" s="7" t="n">
        <f aca="false">IF(AND(O612=1,M612=""),1,0)</f>
        <v>1</v>
      </c>
      <c r="AB612" s="7" t="n">
        <f aca="false">IF(AND(E612="Closed Lost",N612=""),1,0)</f>
        <v>0</v>
      </c>
      <c r="AC612" s="7" t="n">
        <f aca="false">SUM(U612:AB612)</f>
        <v>1</v>
      </c>
      <c r="AD612" s="7" t="n">
        <f aca="false">IF(AC612=0,1,0)</f>
        <v>0</v>
      </c>
      <c r="AE612" s="7" t="n">
        <f aca="false">IF(AND(O612=1,I612&gt;=Inputs!$B$6,I612&lt;=Inputs!$B$7),1,0)</f>
        <v>1</v>
      </c>
      <c r="AF612" s="7" t="n">
        <f aca="false">IF(AND(E612="Closed Won",I612&gt;=Inputs!$B$6,I612&lt;=Inputs!$B$4),1,0)</f>
        <v>0</v>
      </c>
      <c r="AG612" s="7" t="n">
        <f aca="false">IF(AND(O612=0,I612&gt;Inputs!$B$4-Inputs!$B$8,I612&lt;=Inputs!$B$4),1,0)</f>
        <v>0</v>
      </c>
      <c r="AH612" s="7" t="n">
        <f aca="false">I612-H612</f>
        <v>137</v>
      </c>
    </row>
    <row r="613" customFormat="false" ht="15" hidden="false" customHeight="false" outlineLevel="0" collapsed="false">
      <c r="A613" s="16" t="s">
        <v>1919</v>
      </c>
      <c r="B613" s="16" t="s">
        <v>1920</v>
      </c>
      <c r="C613" s="16" t="s">
        <v>1921</v>
      </c>
      <c r="D613" s="16" t="s">
        <v>158</v>
      </c>
      <c r="E613" s="16" t="s">
        <v>531</v>
      </c>
      <c r="F613" s="26" t="n">
        <v>11139000</v>
      </c>
      <c r="G613" s="25" t="n">
        <v>0</v>
      </c>
      <c r="H613" s="22" t="n">
        <v>46016</v>
      </c>
      <c r="I613" s="22" t="n">
        <v>46102</v>
      </c>
      <c r="J613" s="22" t="n">
        <v>46102</v>
      </c>
      <c r="K613" s="16" t="s">
        <v>637</v>
      </c>
      <c r="L613" s="16" t="s">
        <v>584</v>
      </c>
      <c r="M613" s="16"/>
      <c r="N613" s="16" t="s">
        <v>597</v>
      </c>
      <c r="O613" s="7" t="n">
        <f aca="false">IF(OR(E613="Closed Won",E613="Closed Lost"),0,1)</f>
        <v>0</v>
      </c>
      <c r="P613" s="17" t="str">
        <f aca="false">INDEX(Accounts!$K$5:$K$336,MATCH(B613,Accounts!$A$5:$A$336,0))</f>
        <v>Public Sector &amp; Development</v>
      </c>
      <c r="Q613" s="17" t="str">
        <f aca="false">INDEX(Accounts!$D$5:$D$336,MATCH(B613,Accounts!$A$5:$A$336,0))</f>
        <v>Standard</v>
      </c>
      <c r="R613" s="7" t="n">
        <f aca="false">INDEX(Inputs!$B$11:$B$16,MATCH(E613,Inputs!$A$11:$A$16,0))</f>
        <v>0</v>
      </c>
      <c r="S613" s="27" t="n">
        <f aca="false">IF(F613="",0,F613)*R613/100</f>
        <v>0</v>
      </c>
      <c r="T613" s="7" t="n">
        <f aca="false">Inputs!$B$4-J613</f>
        <v>212</v>
      </c>
      <c r="U613" s="7" t="n">
        <f aca="false">IF(OR(F613="",F613=0),1,0)</f>
        <v>0</v>
      </c>
      <c r="V613" s="7" t="n">
        <f aca="false">IF(K613="",1,0)</f>
        <v>0</v>
      </c>
      <c r="W613" s="7" t="n">
        <f aca="false">IF(AND(O613=1,K613&lt;&gt;"",COUNTIFS(Owners!$A$5:$A$32,K613,Owners!$E$5:$E$32,"No")&gt;0),1,0)</f>
        <v>0</v>
      </c>
      <c r="X613" s="7" t="n">
        <f aca="false">IF(AND(O613=1,I613&lt;Inputs!$B$4),1,0)</f>
        <v>0</v>
      </c>
      <c r="Y613" s="7" t="n">
        <f aca="false">IF(AND(O613=1,T613&gt;Inputs!$B$5),1,0)</f>
        <v>0</v>
      </c>
      <c r="Z613" s="7" t="n">
        <f aca="false">IF(AND(O613=1,G613&lt;&gt;R613),1,0)</f>
        <v>0</v>
      </c>
      <c r="AA613" s="7" t="n">
        <f aca="false">IF(AND(O613=1,M613=""),1,0)</f>
        <v>0</v>
      </c>
      <c r="AB613" s="7" t="n">
        <f aca="false">IF(AND(E613="Closed Lost",N613=""),1,0)</f>
        <v>0</v>
      </c>
      <c r="AC613" s="7" t="n">
        <f aca="false">SUM(U613:AB613)</f>
        <v>0</v>
      </c>
      <c r="AD613" s="7" t="n">
        <f aca="false">IF(AC613=0,1,0)</f>
        <v>1</v>
      </c>
      <c r="AE613" s="7" t="n">
        <f aca="false">IF(AND(O613=1,I613&gt;=Inputs!$B$6,I613&lt;=Inputs!$B$7),1,0)</f>
        <v>0</v>
      </c>
      <c r="AF613" s="7" t="n">
        <f aca="false">IF(AND(E613="Closed Won",I613&gt;=Inputs!$B$6,I613&lt;=Inputs!$B$4),1,0)</f>
        <v>0</v>
      </c>
      <c r="AG613" s="7" t="n">
        <f aca="false">IF(AND(O613=0,I613&gt;Inputs!$B$4-Inputs!$B$8,I613&lt;=Inputs!$B$4),1,0)</f>
        <v>1</v>
      </c>
      <c r="AH613" s="7" t="n">
        <f aca="false">I613-H613</f>
        <v>86</v>
      </c>
    </row>
    <row r="614" customFormat="false" ht="15" hidden="false" customHeight="false" outlineLevel="0" collapsed="false">
      <c r="A614" s="16" t="s">
        <v>1922</v>
      </c>
      <c r="B614" s="16" t="s">
        <v>1681</v>
      </c>
      <c r="C614" s="16" t="s">
        <v>1923</v>
      </c>
      <c r="D614" s="16" t="s">
        <v>165</v>
      </c>
      <c r="E614" s="16" t="s">
        <v>531</v>
      </c>
      <c r="F614" s="26" t="n">
        <v>50135000</v>
      </c>
      <c r="G614" s="25" t="n">
        <v>0</v>
      </c>
      <c r="H614" s="22" t="n">
        <v>45963</v>
      </c>
      <c r="I614" s="22" t="n">
        <v>46100</v>
      </c>
      <c r="J614" s="22" t="n">
        <v>46100</v>
      </c>
      <c r="K614" s="16" t="s">
        <v>831</v>
      </c>
      <c r="L614" s="16" t="s">
        <v>500</v>
      </c>
      <c r="M614" s="16"/>
      <c r="N614" s="16" t="s">
        <v>610</v>
      </c>
      <c r="O614" s="7" t="n">
        <f aca="false">IF(OR(E614="Closed Won",E614="Closed Lost"),0,1)</f>
        <v>0</v>
      </c>
      <c r="P614" s="17" t="str">
        <f aca="false">INDEX(Accounts!$K$5:$K$336,MATCH(B614,Accounts!$A$5:$A$336,0))</f>
        <v>Public Sector &amp; Development</v>
      </c>
      <c r="Q614" s="17" t="str">
        <f aca="false">INDEX(Accounts!$D$5:$D$336,MATCH(B614,Accounts!$A$5:$A$336,0))</f>
        <v>Key</v>
      </c>
      <c r="R614" s="7" t="n">
        <f aca="false">INDEX(Inputs!$B$11:$B$16,MATCH(E614,Inputs!$A$11:$A$16,0))</f>
        <v>0</v>
      </c>
      <c r="S614" s="27" t="n">
        <f aca="false">IF(F614="",0,F614)*R614/100</f>
        <v>0</v>
      </c>
      <c r="T614" s="7" t="n">
        <f aca="false">Inputs!$B$4-J614</f>
        <v>214</v>
      </c>
      <c r="U614" s="7" t="n">
        <f aca="false">IF(OR(F614="",F614=0),1,0)</f>
        <v>0</v>
      </c>
      <c r="V614" s="7" t="n">
        <f aca="false">IF(K614="",1,0)</f>
        <v>0</v>
      </c>
      <c r="W614" s="7" t="n">
        <f aca="false">IF(AND(O614=1,K614&lt;&gt;"",COUNTIFS(Owners!$A$5:$A$32,K614,Owners!$E$5:$E$32,"No")&gt;0),1,0)</f>
        <v>0</v>
      </c>
      <c r="X614" s="7" t="n">
        <f aca="false">IF(AND(O614=1,I614&lt;Inputs!$B$4),1,0)</f>
        <v>0</v>
      </c>
      <c r="Y614" s="7" t="n">
        <f aca="false">IF(AND(O614=1,T614&gt;Inputs!$B$5),1,0)</f>
        <v>0</v>
      </c>
      <c r="Z614" s="7" t="n">
        <f aca="false">IF(AND(O614=1,G614&lt;&gt;R614),1,0)</f>
        <v>0</v>
      </c>
      <c r="AA614" s="7" t="n">
        <f aca="false">IF(AND(O614=1,M614=""),1,0)</f>
        <v>0</v>
      </c>
      <c r="AB614" s="7" t="n">
        <f aca="false">IF(AND(E614="Closed Lost",N614=""),1,0)</f>
        <v>0</v>
      </c>
      <c r="AC614" s="7" t="n">
        <f aca="false">SUM(U614:AB614)</f>
        <v>0</v>
      </c>
      <c r="AD614" s="7" t="n">
        <f aca="false">IF(AC614=0,1,0)</f>
        <v>1</v>
      </c>
      <c r="AE614" s="7" t="n">
        <f aca="false">IF(AND(O614=1,I614&gt;=Inputs!$B$6,I614&lt;=Inputs!$B$7),1,0)</f>
        <v>0</v>
      </c>
      <c r="AF614" s="7" t="n">
        <f aca="false">IF(AND(E614="Closed Won",I614&gt;=Inputs!$B$6,I614&lt;=Inputs!$B$4),1,0)</f>
        <v>0</v>
      </c>
      <c r="AG614" s="7" t="n">
        <f aca="false">IF(AND(O614=0,I614&gt;Inputs!$B$4-Inputs!$B$8,I614&lt;=Inputs!$B$4),1,0)</f>
        <v>1</v>
      </c>
      <c r="AH614" s="7" t="n">
        <f aca="false">I614-H614</f>
        <v>137</v>
      </c>
    </row>
    <row r="615" customFormat="false" ht="15" hidden="false" customHeight="false" outlineLevel="0" collapsed="false">
      <c r="A615" s="16" t="s">
        <v>1924</v>
      </c>
      <c r="B615" s="16" t="s">
        <v>991</v>
      </c>
      <c r="C615" s="16" t="s">
        <v>1925</v>
      </c>
      <c r="D615" s="16" t="s">
        <v>177</v>
      </c>
      <c r="E615" s="16" t="s">
        <v>530</v>
      </c>
      <c r="F615" s="26" t="n">
        <v>13376000</v>
      </c>
      <c r="G615" s="25" t="n">
        <v>100</v>
      </c>
      <c r="H615" s="22" t="n">
        <v>46181</v>
      </c>
      <c r="I615" s="22" t="n">
        <v>46293</v>
      </c>
      <c r="J615" s="22" t="n">
        <v>46293</v>
      </c>
      <c r="K615" s="16" t="s">
        <v>578</v>
      </c>
      <c r="L615" s="16" t="s">
        <v>592</v>
      </c>
      <c r="M615" s="16"/>
      <c r="N615" s="16"/>
      <c r="O615" s="7" t="n">
        <f aca="false">IF(OR(E615="Closed Won",E615="Closed Lost"),0,1)</f>
        <v>0</v>
      </c>
      <c r="P615" s="17" t="str">
        <f aca="false">INDEX(Accounts!$K$5:$K$336,MATCH(B615,Accounts!$A$5:$A$336,0))</f>
        <v>Energy &amp; Resources</v>
      </c>
      <c r="Q615" s="17" t="str">
        <f aca="false">INDEX(Accounts!$D$5:$D$336,MATCH(B615,Accounts!$A$5:$A$336,0))</f>
        <v>Standard</v>
      </c>
      <c r="R615" s="7" t="n">
        <f aca="false">INDEX(Inputs!$B$11:$B$16,MATCH(E615,Inputs!$A$11:$A$16,0))</f>
        <v>100</v>
      </c>
      <c r="S615" s="27" t="n">
        <f aca="false">IF(F615="",0,F615)*R615/100</f>
        <v>13376000</v>
      </c>
      <c r="T615" s="7" t="n">
        <f aca="false">Inputs!$B$4-J615</f>
        <v>21</v>
      </c>
      <c r="U615" s="7" t="n">
        <f aca="false">IF(OR(F615="",F615=0),1,0)</f>
        <v>0</v>
      </c>
      <c r="V615" s="7" t="n">
        <f aca="false">IF(K615="",1,0)</f>
        <v>0</v>
      </c>
      <c r="W615" s="7" t="n">
        <f aca="false">IF(AND(O615=1,K615&lt;&gt;"",COUNTIFS(Owners!$A$5:$A$32,K615,Owners!$E$5:$E$32,"No")&gt;0),1,0)</f>
        <v>0</v>
      </c>
      <c r="X615" s="7" t="n">
        <f aca="false">IF(AND(O615=1,I615&lt;Inputs!$B$4),1,0)</f>
        <v>0</v>
      </c>
      <c r="Y615" s="7" t="n">
        <f aca="false">IF(AND(O615=1,T615&gt;Inputs!$B$5),1,0)</f>
        <v>0</v>
      </c>
      <c r="Z615" s="7" t="n">
        <f aca="false">IF(AND(O615=1,G615&lt;&gt;R615),1,0)</f>
        <v>0</v>
      </c>
      <c r="AA615" s="7" t="n">
        <f aca="false">IF(AND(O615=1,M615=""),1,0)</f>
        <v>0</v>
      </c>
      <c r="AB615" s="7" t="n">
        <f aca="false">IF(AND(E615="Closed Lost",N615=""),1,0)</f>
        <v>0</v>
      </c>
      <c r="AC615" s="7" t="n">
        <f aca="false">SUM(U615:AB615)</f>
        <v>0</v>
      </c>
      <c r="AD615" s="7" t="n">
        <f aca="false">IF(AC615=0,1,0)</f>
        <v>1</v>
      </c>
      <c r="AE615" s="7" t="n">
        <f aca="false">IF(AND(O615=1,I615&gt;=Inputs!$B$6,I615&lt;=Inputs!$B$7),1,0)</f>
        <v>0</v>
      </c>
      <c r="AF615" s="7" t="n">
        <f aca="false">IF(AND(E615="Closed Won",I615&gt;=Inputs!$B$6,I615&lt;=Inputs!$B$4),1,0)</f>
        <v>1</v>
      </c>
      <c r="AG615" s="7" t="n">
        <f aca="false">IF(AND(O615=0,I615&gt;Inputs!$B$4-Inputs!$B$8,I615&lt;=Inputs!$B$4),1,0)</f>
        <v>1</v>
      </c>
      <c r="AH615" s="7" t="n">
        <f aca="false">I615-H615</f>
        <v>112</v>
      </c>
    </row>
    <row r="616" customFormat="false" ht="15" hidden="false" customHeight="false" outlineLevel="0" collapsed="false">
      <c r="A616" s="16" t="s">
        <v>1926</v>
      </c>
      <c r="B616" s="16" t="s">
        <v>936</v>
      </c>
      <c r="C616" s="16" t="s">
        <v>1927</v>
      </c>
      <c r="D616" s="16" t="s">
        <v>167</v>
      </c>
      <c r="E616" s="16" t="s">
        <v>528</v>
      </c>
      <c r="F616" s="26" t="n">
        <v>4332000</v>
      </c>
      <c r="G616" s="25" t="n">
        <v>50</v>
      </c>
      <c r="H616" s="22" t="n">
        <v>46139</v>
      </c>
      <c r="I616" s="22" t="n">
        <v>46407</v>
      </c>
      <c r="J616" s="22" t="n">
        <v>46313</v>
      </c>
      <c r="K616" s="16" t="s">
        <v>600</v>
      </c>
      <c r="L616" s="16" t="s">
        <v>500</v>
      </c>
      <c r="M616" s="16" t="s">
        <v>575</v>
      </c>
      <c r="N616" s="16"/>
      <c r="O616" s="7" t="n">
        <f aca="false">IF(OR(E616="Closed Won",E616="Closed Lost"),0,1)</f>
        <v>1</v>
      </c>
      <c r="P616" s="17" t="str">
        <f aca="false">INDEX(Accounts!$K$5:$K$336,MATCH(B616,Accounts!$A$5:$A$336,0))</f>
        <v>Real Estate &amp; Infrastructure</v>
      </c>
      <c r="Q616" s="17" t="str">
        <f aca="false">INDEX(Accounts!$D$5:$D$336,MATCH(B616,Accounts!$A$5:$A$336,0))</f>
        <v>Standard</v>
      </c>
      <c r="R616" s="7" t="n">
        <f aca="false">INDEX(Inputs!$B$11:$B$16,MATCH(E616,Inputs!$A$11:$A$16,0))</f>
        <v>50</v>
      </c>
      <c r="S616" s="27" t="n">
        <f aca="false">IF(F616="",0,F616)*R616/100</f>
        <v>2166000</v>
      </c>
      <c r="T616" s="7" t="n">
        <f aca="false">Inputs!$B$4-J616</f>
        <v>1</v>
      </c>
      <c r="U616" s="7" t="n">
        <f aca="false">IF(OR(F616="",F616=0),1,0)</f>
        <v>0</v>
      </c>
      <c r="V616" s="7" t="n">
        <f aca="false">IF(K616="",1,0)</f>
        <v>0</v>
      </c>
      <c r="W616" s="7" t="n">
        <f aca="false">IF(AND(O616=1,K616&lt;&gt;"",COUNTIFS(Owners!$A$5:$A$32,K616,Owners!$E$5:$E$32,"No")&gt;0),1,0)</f>
        <v>0</v>
      </c>
      <c r="X616" s="7" t="n">
        <f aca="false">IF(AND(O616=1,I616&lt;Inputs!$B$4),1,0)</f>
        <v>0</v>
      </c>
      <c r="Y616" s="7" t="n">
        <f aca="false">IF(AND(O616=1,T616&gt;Inputs!$B$5),1,0)</f>
        <v>0</v>
      </c>
      <c r="Z616" s="7" t="n">
        <f aca="false">IF(AND(O616=1,G616&lt;&gt;R616),1,0)</f>
        <v>0</v>
      </c>
      <c r="AA616" s="7" t="n">
        <f aca="false">IF(AND(O616=1,M616=""),1,0)</f>
        <v>0</v>
      </c>
      <c r="AB616" s="7" t="n">
        <f aca="false">IF(AND(E616="Closed Lost",N616=""),1,0)</f>
        <v>0</v>
      </c>
      <c r="AC616" s="7" t="n">
        <f aca="false">SUM(U616:AB616)</f>
        <v>0</v>
      </c>
      <c r="AD616" s="7" t="n">
        <f aca="false">IF(AC616=0,1,0)</f>
        <v>1</v>
      </c>
      <c r="AE616" s="7" t="n">
        <f aca="false">IF(AND(O616=1,I616&gt;=Inputs!$B$6,I616&lt;=Inputs!$B$7),1,0)</f>
        <v>1</v>
      </c>
      <c r="AF616" s="7" t="n">
        <f aca="false">IF(AND(E616="Closed Won",I616&gt;=Inputs!$B$6,I616&lt;=Inputs!$B$4),1,0)</f>
        <v>0</v>
      </c>
      <c r="AG616" s="7" t="n">
        <f aca="false">IF(AND(O616=0,I616&gt;Inputs!$B$4-Inputs!$B$8,I616&lt;=Inputs!$B$4),1,0)</f>
        <v>0</v>
      </c>
      <c r="AH616" s="7" t="n">
        <f aca="false">I616-H616</f>
        <v>268</v>
      </c>
    </row>
    <row r="617" customFormat="false" ht="15" hidden="false" customHeight="false" outlineLevel="0" collapsed="false">
      <c r="A617" s="16" t="s">
        <v>1928</v>
      </c>
      <c r="B617" s="16" t="s">
        <v>275</v>
      </c>
      <c r="C617" s="16" t="s">
        <v>1929</v>
      </c>
      <c r="D617" s="16" t="s">
        <v>167</v>
      </c>
      <c r="E617" s="16" t="s">
        <v>531</v>
      </c>
      <c r="F617" s="26" t="n">
        <v>8800000</v>
      </c>
      <c r="G617" s="25" t="n">
        <v>0</v>
      </c>
      <c r="H617" s="22" t="n">
        <v>45955</v>
      </c>
      <c r="I617" s="22" t="n">
        <v>46254</v>
      </c>
      <c r="J617" s="22" t="n">
        <v>46254</v>
      </c>
      <c r="K617" s="16" t="s">
        <v>604</v>
      </c>
      <c r="L617" s="16" t="s">
        <v>584</v>
      </c>
      <c r="M617" s="16"/>
      <c r="N617" s="16" t="s">
        <v>579</v>
      </c>
      <c r="O617" s="7" t="n">
        <f aca="false">IF(OR(E617="Closed Won",E617="Closed Lost"),0,1)</f>
        <v>0</v>
      </c>
      <c r="P617" s="17" t="str">
        <f aca="false">INDEX(Accounts!$K$5:$K$336,MATCH(B617,Accounts!$A$5:$A$336,0))</f>
        <v>Public Sector &amp; Development</v>
      </c>
      <c r="Q617" s="17" t="str">
        <f aca="false">INDEX(Accounts!$D$5:$D$336,MATCH(B617,Accounts!$A$5:$A$336,0))</f>
        <v>Key</v>
      </c>
      <c r="R617" s="7" t="n">
        <f aca="false">INDEX(Inputs!$B$11:$B$16,MATCH(E617,Inputs!$A$11:$A$16,0))</f>
        <v>0</v>
      </c>
      <c r="S617" s="27" t="n">
        <f aca="false">IF(F617="",0,F617)*R617/100</f>
        <v>0</v>
      </c>
      <c r="T617" s="7" t="n">
        <f aca="false">Inputs!$B$4-J617</f>
        <v>60</v>
      </c>
      <c r="U617" s="7" t="n">
        <f aca="false">IF(OR(F617="",F617=0),1,0)</f>
        <v>0</v>
      </c>
      <c r="V617" s="7" t="n">
        <f aca="false">IF(K617="",1,0)</f>
        <v>0</v>
      </c>
      <c r="W617" s="7" t="n">
        <f aca="false">IF(AND(O617=1,K617&lt;&gt;"",COUNTIFS(Owners!$A$5:$A$32,K617,Owners!$E$5:$E$32,"No")&gt;0),1,0)</f>
        <v>0</v>
      </c>
      <c r="X617" s="7" t="n">
        <f aca="false">IF(AND(O617=1,I617&lt;Inputs!$B$4),1,0)</f>
        <v>0</v>
      </c>
      <c r="Y617" s="7" t="n">
        <f aca="false">IF(AND(O617=1,T617&gt;Inputs!$B$5),1,0)</f>
        <v>0</v>
      </c>
      <c r="Z617" s="7" t="n">
        <f aca="false">IF(AND(O617=1,G617&lt;&gt;R617),1,0)</f>
        <v>0</v>
      </c>
      <c r="AA617" s="7" t="n">
        <f aca="false">IF(AND(O617=1,M617=""),1,0)</f>
        <v>0</v>
      </c>
      <c r="AB617" s="7" t="n">
        <f aca="false">IF(AND(E617="Closed Lost",N617=""),1,0)</f>
        <v>0</v>
      </c>
      <c r="AC617" s="7" t="n">
        <f aca="false">SUM(U617:AB617)</f>
        <v>0</v>
      </c>
      <c r="AD617" s="7" t="n">
        <f aca="false">IF(AC617=0,1,0)</f>
        <v>1</v>
      </c>
      <c r="AE617" s="7" t="n">
        <f aca="false">IF(AND(O617=1,I617&gt;=Inputs!$B$6,I617&lt;=Inputs!$B$7),1,0)</f>
        <v>0</v>
      </c>
      <c r="AF617" s="7" t="n">
        <f aca="false">IF(AND(E617="Closed Won",I617&gt;=Inputs!$B$6,I617&lt;=Inputs!$B$4),1,0)</f>
        <v>0</v>
      </c>
      <c r="AG617" s="7" t="n">
        <f aca="false">IF(AND(O617=0,I617&gt;Inputs!$B$4-Inputs!$B$8,I617&lt;=Inputs!$B$4),1,0)</f>
        <v>1</v>
      </c>
      <c r="AH617" s="7" t="n">
        <f aca="false">I617-H617</f>
        <v>299</v>
      </c>
    </row>
    <row r="618" customFormat="false" ht="15" hidden="false" customHeight="false" outlineLevel="0" collapsed="false">
      <c r="A618" s="16" t="s">
        <v>1930</v>
      </c>
      <c r="B618" s="16" t="s">
        <v>74</v>
      </c>
      <c r="C618" s="16" t="s">
        <v>1931</v>
      </c>
      <c r="D618" s="16" t="s">
        <v>158</v>
      </c>
      <c r="E618" s="16" t="s">
        <v>531</v>
      </c>
      <c r="F618" s="26" t="n">
        <v>78501000</v>
      </c>
      <c r="G618" s="25" t="n">
        <v>0</v>
      </c>
      <c r="H618" s="22" t="n">
        <v>45896</v>
      </c>
      <c r="I618" s="22" t="n">
        <v>46112</v>
      </c>
      <c r="J618" s="22" t="n">
        <v>46112</v>
      </c>
      <c r="K618" s="16" t="s">
        <v>596</v>
      </c>
      <c r="L618" s="16" t="s">
        <v>584</v>
      </c>
      <c r="M618" s="16"/>
      <c r="N618" s="16" t="s">
        <v>713</v>
      </c>
      <c r="O618" s="7" t="n">
        <f aca="false">IF(OR(E618="Closed Won",E618="Closed Lost"),0,1)</f>
        <v>0</v>
      </c>
      <c r="P618" s="17" t="str">
        <f aca="false">INDEX(Accounts!$K$5:$K$336,MATCH(B618,Accounts!$A$5:$A$336,0))</f>
        <v>Technology, Media &amp; Telecom</v>
      </c>
      <c r="Q618" s="17" t="str">
        <f aca="false">INDEX(Accounts!$D$5:$D$336,MATCH(B618,Accounts!$A$5:$A$336,0))</f>
        <v>Priority</v>
      </c>
      <c r="R618" s="7" t="n">
        <f aca="false">INDEX(Inputs!$B$11:$B$16,MATCH(E618,Inputs!$A$11:$A$16,0))</f>
        <v>0</v>
      </c>
      <c r="S618" s="27" t="n">
        <f aca="false">IF(F618="",0,F618)*R618/100</f>
        <v>0</v>
      </c>
      <c r="T618" s="7" t="n">
        <f aca="false">Inputs!$B$4-J618</f>
        <v>202</v>
      </c>
      <c r="U618" s="7" t="n">
        <f aca="false">IF(OR(F618="",F618=0),1,0)</f>
        <v>0</v>
      </c>
      <c r="V618" s="7" t="n">
        <f aca="false">IF(K618="",1,0)</f>
        <v>0</v>
      </c>
      <c r="W618" s="7" t="n">
        <f aca="false">IF(AND(O618=1,K618&lt;&gt;"",COUNTIFS(Owners!$A$5:$A$32,K618,Owners!$E$5:$E$32,"No")&gt;0),1,0)</f>
        <v>0</v>
      </c>
      <c r="X618" s="7" t="n">
        <f aca="false">IF(AND(O618=1,I618&lt;Inputs!$B$4),1,0)</f>
        <v>0</v>
      </c>
      <c r="Y618" s="7" t="n">
        <f aca="false">IF(AND(O618=1,T618&gt;Inputs!$B$5),1,0)</f>
        <v>0</v>
      </c>
      <c r="Z618" s="7" t="n">
        <f aca="false">IF(AND(O618=1,G618&lt;&gt;R618),1,0)</f>
        <v>0</v>
      </c>
      <c r="AA618" s="7" t="n">
        <f aca="false">IF(AND(O618=1,M618=""),1,0)</f>
        <v>0</v>
      </c>
      <c r="AB618" s="7" t="n">
        <f aca="false">IF(AND(E618="Closed Lost",N618=""),1,0)</f>
        <v>0</v>
      </c>
      <c r="AC618" s="7" t="n">
        <f aca="false">SUM(U618:AB618)</f>
        <v>0</v>
      </c>
      <c r="AD618" s="7" t="n">
        <f aca="false">IF(AC618=0,1,0)</f>
        <v>1</v>
      </c>
      <c r="AE618" s="7" t="n">
        <f aca="false">IF(AND(O618=1,I618&gt;=Inputs!$B$6,I618&lt;=Inputs!$B$7),1,0)</f>
        <v>0</v>
      </c>
      <c r="AF618" s="7" t="n">
        <f aca="false">IF(AND(E618="Closed Won",I618&gt;=Inputs!$B$6,I618&lt;=Inputs!$B$4),1,0)</f>
        <v>0</v>
      </c>
      <c r="AG618" s="7" t="n">
        <f aca="false">IF(AND(O618=0,I618&gt;Inputs!$B$4-Inputs!$B$8,I618&lt;=Inputs!$B$4),1,0)</f>
        <v>1</v>
      </c>
      <c r="AH618" s="7" t="n">
        <f aca="false">I618-H618</f>
        <v>216</v>
      </c>
    </row>
    <row r="619" customFormat="false" ht="15" hidden="false" customHeight="false" outlineLevel="0" collapsed="false">
      <c r="A619" s="16" t="s">
        <v>1932</v>
      </c>
      <c r="B619" s="16" t="s">
        <v>1933</v>
      </c>
      <c r="C619" s="16" t="s">
        <v>1934</v>
      </c>
      <c r="D619" s="16" t="s">
        <v>158</v>
      </c>
      <c r="E619" s="16" t="s">
        <v>530</v>
      </c>
      <c r="F619" s="26" t="n">
        <v>23019000</v>
      </c>
      <c r="G619" s="25" t="n">
        <v>100</v>
      </c>
      <c r="H619" s="22" t="n">
        <v>46198</v>
      </c>
      <c r="I619" s="22" t="n">
        <v>46281</v>
      </c>
      <c r="J619" s="22" t="n">
        <v>46281</v>
      </c>
      <c r="K619" s="16" t="s">
        <v>685</v>
      </c>
      <c r="L619" s="16" t="s">
        <v>584</v>
      </c>
      <c r="M619" s="16"/>
      <c r="N619" s="16"/>
      <c r="O619" s="7" t="n">
        <f aca="false">IF(OR(E619="Closed Won",E619="Closed Lost"),0,1)</f>
        <v>0</v>
      </c>
      <c r="P619" s="17" t="str">
        <f aca="false">INDEX(Accounts!$K$5:$K$336,MATCH(B619,Accounts!$A$5:$A$336,0))</f>
        <v>Real Estate &amp; Infrastructure</v>
      </c>
      <c r="Q619" s="17" t="str">
        <f aca="false">INDEX(Accounts!$D$5:$D$336,MATCH(B619,Accounts!$A$5:$A$336,0))</f>
        <v>Standard</v>
      </c>
      <c r="R619" s="7" t="n">
        <f aca="false">INDEX(Inputs!$B$11:$B$16,MATCH(E619,Inputs!$A$11:$A$16,0))</f>
        <v>100</v>
      </c>
      <c r="S619" s="27" t="n">
        <f aca="false">IF(F619="",0,F619)*R619/100</f>
        <v>23019000</v>
      </c>
      <c r="T619" s="7" t="n">
        <f aca="false">Inputs!$B$4-J619</f>
        <v>33</v>
      </c>
      <c r="U619" s="7" t="n">
        <f aca="false">IF(OR(F619="",F619=0),1,0)</f>
        <v>0</v>
      </c>
      <c r="V619" s="7" t="n">
        <f aca="false">IF(K619="",1,0)</f>
        <v>0</v>
      </c>
      <c r="W619" s="7" t="n">
        <f aca="false">IF(AND(O619=1,K619&lt;&gt;"",COUNTIFS(Owners!$A$5:$A$32,K619,Owners!$E$5:$E$32,"No")&gt;0),1,0)</f>
        <v>0</v>
      </c>
      <c r="X619" s="7" t="n">
        <f aca="false">IF(AND(O619=1,I619&lt;Inputs!$B$4),1,0)</f>
        <v>0</v>
      </c>
      <c r="Y619" s="7" t="n">
        <f aca="false">IF(AND(O619=1,T619&gt;Inputs!$B$5),1,0)</f>
        <v>0</v>
      </c>
      <c r="Z619" s="7" t="n">
        <f aca="false">IF(AND(O619=1,G619&lt;&gt;R619),1,0)</f>
        <v>0</v>
      </c>
      <c r="AA619" s="7" t="n">
        <f aca="false">IF(AND(O619=1,M619=""),1,0)</f>
        <v>0</v>
      </c>
      <c r="AB619" s="7" t="n">
        <f aca="false">IF(AND(E619="Closed Lost",N619=""),1,0)</f>
        <v>0</v>
      </c>
      <c r="AC619" s="7" t="n">
        <f aca="false">SUM(U619:AB619)</f>
        <v>0</v>
      </c>
      <c r="AD619" s="7" t="n">
        <f aca="false">IF(AC619=0,1,0)</f>
        <v>1</v>
      </c>
      <c r="AE619" s="7" t="n">
        <f aca="false">IF(AND(O619=1,I619&gt;=Inputs!$B$6,I619&lt;=Inputs!$B$7),1,0)</f>
        <v>0</v>
      </c>
      <c r="AF619" s="7" t="n">
        <f aca="false">IF(AND(E619="Closed Won",I619&gt;=Inputs!$B$6,I619&lt;=Inputs!$B$4),1,0)</f>
        <v>1</v>
      </c>
      <c r="AG619" s="7" t="n">
        <f aca="false">IF(AND(O619=0,I619&gt;Inputs!$B$4-Inputs!$B$8,I619&lt;=Inputs!$B$4),1,0)</f>
        <v>1</v>
      </c>
      <c r="AH619" s="7" t="n">
        <f aca="false">I619-H619</f>
        <v>83</v>
      </c>
    </row>
    <row r="620" customFormat="false" ht="15" hidden="false" customHeight="false" outlineLevel="0" collapsed="false">
      <c r="A620" s="16" t="s">
        <v>1935</v>
      </c>
      <c r="B620" s="16" t="s">
        <v>1060</v>
      </c>
      <c r="C620" s="16" t="s">
        <v>1936</v>
      </c>
      <c r="D620" s="16" t="s">
        <v>167</v>
      </c>
      <c r="E620" s="16" t="s">
        <v>526</v>
      </c>
      <c r="F620" s="26" t="n">
        <v>4359000</v>
      </c>
      <c r="G620" s="25" t="n">
        <v>10</v>
      </c>
      <c r="H620" s="22" t="n">
        <v>46190</v>
      </c>
      <c r="I620" s="22" t="n">
        <v>46503</v>
      </c>
      <c r="J620" s="22" t="n">
        <v>46287</v>
      </c>
      <c r="K620" s="16" t="s">
        <v>880</v>
      </c>
      <c r="L620" s="16" t="s">
        <v>568</v>
      </c>
      <c r="M620" s="16" t="s">
        <v>613</v>
      </c>
      <c r="N620" s="16"/>
      <c r="O620" s="7" t="n">
        <f aca="false">IF(OR(E620="Closed Won",E620="Closed Lost"),0,1)</f>
        <v>1</v>
      </c>
      <c r="P620" s="17" t="str">
        <f aca="false">INDEX(Accounts!$K$5:$K$336,MATCH(B620,Accounts!$A$5:$A$336,0))</f>
        <v>Consumer &amp; Retail</v>
      </c>
      <c r="Q620" s="17" t="str">
        <f aca="false">INDEX(Accounts!$D$5:$D$336,MATCH(B620,Accounts!$A$5:$A$336,0))</f>
        <v>Standard</v>
      </c>
      <c r="R620" s="7" t="n">
        <f aca="false">INDEX(Inputs!$B$11:$B$16,MATCH(E620,Inputs!$A$11:$A$16,0))</f>
        <v>10</v>
      </c>
      <c r="S620" s="27" t="n">
        <f aca="false">IF(F620="",0,F620)*R620/100</f>
        <v>435900</v>
      </c>
      <c r="T620" s="7" t="n">
        <f aca="false">Inputs!$B$4-J620</f>
        <v>27</v>
      </c>
      <c r="U620" s="7" t="n">
        <f aca="false">IF(OR(F620="",F620=0),1,0)</f>
        <v>0</v>
      </c>
      <c r="V620" s="7" t="n">
        <f aca="false">IF(K620="",1,0)</f>
        <v>0</v>
      </c>
      <c r="W620" s="7" t="n">
        <f aca="false">IF(AND(O620=1,K620&lt;&gt;"",COUNTIFS(Owners!$A$5:$A$32,K620,Owners!$E$5:$E$32,"No")&gt;0),1,0)</f>
        <v>1</v>
      </c>
      <c r="X620" s="7" t="n">
        <f aca="false">IF(AND(O620=1,I620&lt;Inputs!$B$4),1,0)</f>
        <v>0</v>
      </c>
      <c r="Y620" s="7" t="n">
        <f aca="false">IF(AND(O620=1,T620&gt;Inputs!$B$5),1,0)</f>
        <v>0</v>
      </c>
      <c r="Z620" s="7" t="n">
        <f aca="false">IF(AND(O620=1,G620&lt;&gt;R620),1,0)</f>
        <v>0</v>
      </c>
      <c r="AA620" s="7" t="n">
        <f aca="false">IF(AND(O620=1,M620=""),1,0)</f>
        <v>0</v>
      </c>
      <c r="AB620" s="7" t="n">
        <f aca="false">IF(AND(E620="Closed Lost",N620=""),1,0)</f>
        <v>0</v>
      </c>
      <c r="AC620" s="7" t="n">
        <f aca="false">SUM(U620:AB620)</f>
        <v>1</v>
      </c>
      <c r="AD620" s="7" t="n">
        <f aca="false">IF(AC620=0,1,0)</f>
        <v>0</v>
      </c>
      <c r="AE620" s="7" t="n">
        <f aca="false">IF(AND(O620=1,I620&gt;=Inputs!$B$6,I620&lt;=Inputs!$B$7),1,0)</f>
        <v>1</v>
      </c>
      <c r="AF620" s="7" t="n">
        <f aca="false">IF(AND(E620="Closed Won",I620&gt;=Inputs!$B$6,I620&lt;=Inputs!$B$4),1,0)</f>
        <v>0</v>
      </c>
      <c r="AG620" s="7" t="n">
        <f aca="false">IF(AND(O620=0,I620&gt;Inputs!$B$4-Inputs!$B$8,I620&lt;=Inputs!$B$4),1,0)</f>
        <v>0</v>
      </c>
      <c r="AH620" s="7" t="n">
        <f aca="false">I620-H620</f>
        <v>313</v>
      </c>
    </row>
    <row r="621" customFormat="false" ht="15" hidden="false" customHeight="false" outlineLevel="0" collapsed="false">
      <c r="A621" s="16" t="s">
        <v>1937</v>
      </c>
      <c r="B621" s="16" t="s">
        <v>264</v>
      </c>
      <c r="C621" s="16" t="s">
        <v>1938</v>
      </c>
      <c r="D621" s="16" t="s">
        <v>162</v>
      </c>
      <c r="E621" s="16" t="s">
        <v>526</v>
      </c>
      <c r="F621" s="26" t="n">
        <v>19688000</v>
      </c>
      <c r="G621" s="25" t="n">
        <v>10</v>
      </c>
      <c r="H621" s="22" t="n">
        <v>46300</v>
      </c>
      <c r="I621" s="22" t="n">
        <v>46524</v>
      </c>
      <c r="J621" s="22" t="n">
        <v>46292</v>
      </c>
      <c r="K621" s="16" t="s">
        <v>831</v>
      </c>
      <c r="L621" s="16" t="s">
        <v>592</v>
      </c>
      <c r="M621" s="16" t="s">
        <v>613</v>
      </c>
      <c r="N621" s="16"/>
      <c r="O621" s="7" t="n">
        <f aca="false">IF(OR(E621="Closed Won",E621="Closed Lost"),0,1)</f>
        <v>1</v>
      </c>
      <c r="P621" s="17" t="str">
        <f aca="false">INDEX(Accounts!$K$5:$K$336,MATCH(B621,Accounts!$A$5:$A$336,0))</f>
        <v>Consumer &amp; Retail</v>
      </c>
      <c r="Q621" s="17" t="str">
        <f aca="false">INDEX(Accounts!$D$5:$D$336,MATCH(B621,Accounts!$A$5:$A$336,0))</f>
        <v>Standard</v>
      </c>
      <c r="R621" s="7" t="n">
        <f aca="false">INDEX(Inputs!$B$11:$B$16,MATCH(E621,Inputs!$A$11:$A$16,0))</f>
        <v>10</v>
      </c>
      <c r="S621" s="27" t="n">
        <f aca="false">IF(F621="",0,F621)*R621/100</f>
        <v>1968800</v>
      </c>
      <c r="T621" s="7" t="n">
        <f aca="false">Inputs!$B$4-J621</f>
        <v>22</v>
      </c>
      <c r="U621" s="7" t="n">
        <f aca="false">IF(OR(F621="",F621=0),1,0)</f>
        <v>0</v>
      </c>
      <c r="V621" s="7" t="n">
        <f aca="false">IF(K621="",1,0)</f>
        <v>0</v>
      </c>
      <c r="W621" s="7" t="n">
        <f aca="false">IF(AND(O621=1,K621&lt;&gt;"",COUNTIFS(Owners!$A$5:$A$32,K621,Owners!$E$5:$E$32,"No")&gt;0),1,0)</f>
        <v>0</v>
      </c>
      <c r="X621" s="7" t="n">
        <f aca="false">IF(AND(O621=1,I621&lt;Inputs!$B$4),1,0)</f>
        <v>0</v>
      </c>
      <c r="Y621" s="7" t="n">
        <f aca="false">IF(AND(O621=1,T621&gt;Inputs!$B$5),1,0)</f>
        <v>0</v>
      </c>
      <c r="Z621" s="7" t="n">
        <f aca="false">IF(AND(O621=1,G621&lt;&gt;R621),1,0)</f>
        <v>0</v>
      </c>
      <c r="AA621" s="7" t="n">
        <f aca="false">IF(AND(O621=1,M621=""),1,0)</f>
        <v>0</v>
      </c>
      <c r="AB621" s="7" t="n">
        <f aca="false">IF(AND(E621="Closed Lost",N621=""),1,0)</f>
        <v>0</v>
      </c>
      <c r="AC621" s="7" t="n">
        <f aca="false">SUM(U621:AB621)</f>
        <v>0</v>
      </c>
      <c r="AD621" s="7" t="n">
        <f aca="false">IF(AC621=0,1,0)</f>
        <v>1</v>
      </c>
      <c r="AE621" s="7" t="n">
        <f aca="false">IF(AND(O621=1,I621&gt;=Inputs!$B$6,I621&lt;=Inputs!$B$7),1,0)</f>
        <v>1</v>
      </c>
      <c r="AF621" s="7" t="n">
        <f aca="false">IF(AND(E621="Closed Won",I621&gt;=Inputs!$B$6,I621&lt;=Inputs!$B$4),1,0)</f>
        <v>0</v>
      </c>
      <c r="AG621" s="7" t="n">
        <f aca="false">IF(AND(O621=0,I621&gt;Inputs!$B$4-Inputs!$B$8,I621&lt;=Inputs!$B$4),1,0)</f>
        <v>0</v>
      </c>
      <c r="AH621" s="7" t="n">
        <f aca="false">I621-H621</f>
        <v>224</v>
      </c>
    </row>
    <row r="622" customFormat="false" ht="15" hidden="false" customHeight="false" outlineLevel="0" collapsed="false">
      <c r="A622" s="16" t="s">
        <v>1939</v>
      </c>
      <c r="B622" s="16" t="s">
        <v>1448</v>
      </c>
      <c r="C622" s="16" t="s">
        <v>1940</v>
      </c>
      <c r="D622" s="16" t="s">
        <v>167</v>
      </c>
      <c r="E622" s="16" t="s">
        <v>528</v>
      </c>
      <c r="F622" s="26" t="n">
        <v>30289000</v>
      </c>
      <c r="G622" s="25" t="n">
        <v>50</v>
      </c>
      <c r="H622" s="22" t="n">
        <v>46243</v>
      </c>
      <c r="I622" s="22" t="n">
        <v>46503</v>
      </c>
      <c r="J622" s="22" t="n">
        <v>46215</v>
      </c>
      <c r="K622" s="16" t="s">
        <v>860</v>
      </c>
      <c r="L622" s="16" t="s">
        <v>609</v>
      </c>
      <c r="M622" s="16" t="s">
        <v>619</v>
      </c>
      <c r="N622" s="16"/>
      <c r="O622" s="7" t="n">
        <f aca="false">IF(OR(E622="Closed Won",E622="Closed Lost"),0,1)</f>
        <v>1</v>
      </c>
      <c r="P622" s="17" t="str">
        <f aca="false">INDEX(Accounts!$K$5:$K$336,MATCH(B622,Accounts!$A$5:$A$336,0))</f>
        <v>Consumer &amp; Retail</v>
      </c>
      <c r="Q622" s="17" t="str">
        <f aca="false">INDEX(Accounts!$D$5:$D$336,MATCH(B622,Accounts!$A$5:$A$336,0))</f>
        <v>Standard</v>
      </c>
      <c r="R622" s="7" t="n">
        <f aca="false">INDEX(Inputs!$B$11:$B$16,MATCH(E622,Inputs!$A$11:$A$16,0))</f>
        <v>50</v>
      </c>
      <c r="S622" s="27" t="n">
        <f aca="false">IF(F622="",0,F622)*R622/100</f>
        <v>15144500</v>
      </c>
      <c r="T622" s="7" t="n">
        <f aca="false">Inputs!$B$4-J622</f>
        <v>99</v>
      </c>
      <c r="U622" s="7" t="n">
        <f aca="false">IF(OR(F622="",F622=0),1,0)</f>
        <v>0</v>
      </c>
      <c r="V622" s="7" t="n">
        <f aca="false">IF(K622="",1,0)</f>
        <v>0</v>
      </c>
      <c r="W622" s="7" t="n">
        <f aca="false">IF(AND(O622=1,K622&lt;&gt;"",COUNTIFS(Owners!$A$5:$A$32,K622,Owners!$E$5:$E$32,"No")&gt;0),1,0)</f>
        <v>0</v>
      </c>
      <c r="X622" s="7" t="n">
        <f aca="false">IF(AND(O622=1,I622&lt;Inputs!$B$4),1,0)</f>
        <v>0</v>
      </c>
      <c r="Y622" s="7" t="n">
        <f aca="false">IF(AND(O622=1,T622&gt;Inputs!$B$5),1,0)</f>
        <v>1</v>
      </c>
      <c r="Z622" s="7" t="n">
        <f aca="false">IF(AND(O622=1,G622&lt;&gt;R622),1,0)</f>
        <v>0</v>
      </c>
      <c r="AA622" s="7" t="n">
        <f aca="false">IF(AND(O622=1,M622=""),1,0)</f>
        <v>0</v>
      </c>
      <c r="AB622" s="7" t="n">
        <f aca="false">IF(AND(E622="Closed Lost",N622=""),1,0)</f>
        <v>0</v>
      </c>
      <c r="AC622" s="7" t="n">
        <f aca="false">SUM(U622:AB622)</f>
        <v>1</v>
      </c>
      <c r="AD622" s="7" t="n">
        <f aca="false">IF(AC622=0,1,0)</f>
        <v>0</v>
      </c>
      <c r="AE622" s="7" t="n">
        <f aca="false">IF(AND(O622=1,I622&gt;=Inputs!$B$6,I622&lt;=Inputs!$B$7),1,0)</f>
        <v>1</v>
      </c>
      <c r="AF622" s="7" t="n">
        <f aca="false">IF(AND(E622="Closed Won",I622&gt;=Inputs!$B$6,I622&lt;=Inputs!$B$4),1,0)</f>
        <v>0</v>
      </c>
      <c r="AG622" s="7" t="n">
        <f aca="false">IF(AND(O622=0,I622&gt;Inputs!$B$4-Inputs!$B$8,I622&lt;=Inputs!$B$4),1,0)</f>
        <v>0</v>
      </c>
      <c r="AH622" s="7" t="n">
        <f aca="false">I622-H622</f>
        <v>260</v>
      </c>
    </row>
    <row r="623" customFormat="false" ht="15" hidden="false" customHeight="false" outlineLevel="0" collapsed="false">
      <c r="A623" s="16" t="s">
        <v>1941</v>
      </c>
      <c r="B623" s="16" t="s">
        <v>69</v>
      </c>
      <c r="C623" s="16" t="s">
        <v>1942</v>
      </c>
      <c r="D623" s="16" t="s">
        <v>162</v>
      </c>
      <c r="E623" s="16" t="s">
        <v>528</v>
      </c>
      <c r="F623" s="26" t="n">
        <v>20612000</v>
      </c>
      <c r="G623" s="25" t="n">
        <v>50</v>
      </c>
      <c r="H623" s="22" t="n">
        <v>46268</v>
      </c>
      <c r="I623" s="22" t="n">
        <v>46282</v>
      </c>
      <c r="J623" s="22" t="n">
        <v>46275</v>
      </c>
      <c r="K623" s="16" t="s">
        <v>583</v>
      </c>
      <c r="L623" s="16" t="s">
        <v>568</v>
      </c>
      <c r="M623" s="16"/>
      <c r="N623" s="16"/>
      <c r="O623" s="7" t="n">
        <f aca="false">IF(OR(E623="Closed Won",E623="Closed Lost"),0,1)</f>
        <v>1</v>
      </c>
      <c r="P623" s="17" t="str">
        <f aca="false">INDEX(Accounts!$K$5:$K$336,MATCH(B623,Accounts!$A$5:$A$336,0))</f>
        <v>Financial Services</v>
      </c>
      <c r="Q623" s="17" t="str">
        <f aca="false">INDEX(Accounts!$D$5:$D$336,MATCH(B623,Accounts!$A$5:$A$336,0))</f>
        <v>Priority</v>
      </c>
      <c r="R623" s="7" t="n">
        <f aca="false">INDEX(Inputs!$B$11:$B$16,MATCH(E623,Inputs!$A$11:$A$16,0))</f>
        <v>50</v>
      </c>
      <c r="S623" s="27" t="n">
        <f aca="false">IF(F623="",0,F623)*R623/100</f>
        <v>10306000</v>
      </c>
      <c r="T623" s="7" t="n">
        <f aca="false">Inputs!$B$4-J623</f>
        <v>39</v>
      </c>
      <c r="U623" s="7" t="n">
        <f aca="false">IF(OR(F623="",F623=0),1,0)</f>
        <v>0</v>
      </c>
      <c r="V623" s="7" t="n">
        <f aca="false">IF(K623="",1,0)</f>
        <v>0</v>
      </c>
      <c r="W623" s="7" t="n">
        <f aca="false">IF(AND(O623=1,K623&lt;&gt;"",COUNTIFS(Owners!$A$5:$A$32,K623,Owners!$E$5:$E$32,"No")&gt;0),1,0)</f>
        <v>1</v>
      </c>
      <c r="X623" s="7" t="n">
        <f aca="false">IF(AND(O623=1,I623&lt;Inputs!$B$4),1,0)</f>
        <v>1</v>
      </c>
      <c r="Y623" s="7" t="n">
        <f aca="false">IF(AND(O623=1,T623&gt;Inputs!$B$5),1,0)</f>
        <v>0</v>
      </c>
      <c r="Z623" s="7" t="n">
        <f aca="false">IF(AND(O623=1,G623&lt;&gt;R623),1,0)</f>
        <v>0</v>
      </c>
      <c r="AA623" s="7" t="n">
        <f aca="false">IF(AND(O623=1,M623=""),1,0)</f>
        <v>1</v>
      </c>
      <c r="AB623" s="7" t="n">
        <f aca="false">IF(AND(E623="Closed Lost",N623=""),1,0)</f>
        <v>0</v>
      </c>
      <c r="AC623" s="7" t="n">
        <f aca="false">SUM(U623:AB623)</f>
        <v>3</v>
      </c>
      <c r="AD623" s="7" t="n">
        <f aca="false">IF(AC623=0,1,0)</f>
        <v>0</v>
      </c>
      <c r="AE623" s="7" t="n">
        <f aca="false">IF(AND(O623=1,I623&gt;=Inputs!$B$6,I623&lt;=Inputs!$B$7),1,0)</f>
        <v>1</v>
      </c>
      <c r="AF623" s="7" t="n">
        <f aca="false">IF(AND(E623="Closed Won",I623&gt;=Inputs!$B$6,I623&lt;=Inputs!$B$4),1,0)</f>
        <v>0</v>
      </c>
      <c r="AG623" s="7" t="n">
        <f aca="false">IF(AND(O623=0,I623&gt;Inputs!$B$4-Inputs!$B$8,I623&lt;=Inputs!$B$4),1,0)</f>
        <v>0</v>
      </c>
      <c r="AH623" s="7" t="n">
        <f aca="false">I623-H623</f>
        <v>14</v>
      </c>
    </row>
    <row r="624" customFormat="false" ht="15" hidden="false" customHeight="false" outlineLevel="0" collapsed="false">
      <c r="A624" s="16" t="s">
        <v>1943</v>
      </c>
      <c r="B624" s="16" t="s">
        <v>1944</v>
      </c>
      <c r="C624" s="16" t="s">
        <v>1945</v>
      </c>
      <c r="D624" s="16" t="s">
        <v>162</v>
      </c>
      <c r="E624" s="16" t="s">
        <v>531</v>
      </c>
      <c r="F624" s="26" t="n">
        <v>7882000</v>
      </c>
      <c r="G624" s="25" t="n">
        <v>0</v>
      </c>
      <c r="H624" s="22" t="n">
        <v>46003</v>
      </c>
      <c r="I624" s="22" t="n">
        <v>46248</v>
      </c>
      <c r="J624" s="22" t="n">
        <v>46248</v>
      </c>
      <c r="K624" s="16" t="s">
        <v>596</v>
      </c>
      <c r="L624" s="16" t="s">
        <v>609</v>
      </c>
      <c r="M624" s="16"/>
      <c r="N624" s="16" t="s">
        <v>597</v>
      </c>
      <c r="O624" s="7" t="n">
        <f aca="false">IF(OR(E624="Closed Won",E624="Closed Lost"),0,1)</f>
        <v>0</v>
      </c>
      <c r="P624" s="17" t="str">
        <f aca="false">INDEX(Accounts!$K$5:$K$336,MATCH(B624,Accounts!$A$5:$A$336,0))</f>
        <v>Technology, Media &amp; Telecom</v>
      </c>
      <c r="Q624" s="17" t="str">
        <f aca="false">INDEX(Accounts!$D$5:$D$336,MATCH(B624,Accounts!$A$5:$A$336,0))</f>
        <v>Standard</v>
      </c>
      <c r="R624" s="7" t="n">
        <f aca="false">INDEX(Inputs!$B$11:$B$16,MATCH(E624,Inputs!$A$11:$A$16,0))</f>
        <v>0</v>
      </c>
      <c r="S624" s="27" t="n">
        <f aca="false">IF(F624="",0,F624)*R624/100</f>
        <v>0</v>
      </c>
      <c r="T624" s="7" t="n">
        <f aca="false">Inputs!$B$4-J624</f>
        <v>66</v>
      </c>
      <c r="U624" s="7" t="n">
        <f aca="false">IF(OR(F624="",F624=0),1,0)</f>
        <v>0</v>
      </c>
      <c r="V624" s="7" t="n">
        <f aca="false">IF(K624="",1,0)</f>
        <v>0</v>
      </c>
      <c r="W624" s="7" t="n">
        <f aca="false">IF(AND(O624=1,K624&lt;&gt;"",COUNTIFS(Owners!$A$5:$A$32,K624,Owners!$E$5:$E$32,"No")&gt;0),1,0)</f>
        <v>0</v>
      </c>
      <c r="X624" s="7" t="n">
        <f aca="false">IF(AND(O624=1,I624&lt;Inputs!$B$4),1,0)</f>
        <v>0</v>
      </c>
      <c r="Y624" s="7" t="n">
        <f aca="false">IF(AND(O624=1,T624&gt;Inputs!$B$5),1,0)</f>
        <v>0</v>
      </c>
      <c r="Z624" s="7" t="n">
        <f aca="false">IF(AND(O624=1,G624&lt;&gt;R624),1,0)</f>
        <v>0</v>
      </c>
      <c r="AA624" s="7" t="n">
        <f aca="false">IF(AND(O624=1,M624=""),1,0)</f>
        <v>0</v>
      </c>
      <c r="AB624" s="7" t="n">
        <f aca="false">IF(AND(E624="Closed Lost",N624=""),1,0)</f>
        <v>0</v>
      </c>
      <c r="AC624" s="7" t="n">
        <f aca="false">SUM(U624:AB624)</f>
        <v>0</v>
      </c>
      <c r="AD624" s="7" t="n">
        <f aca="false">IF(AC624=0,1,0)</f>
        <v>1</v>
      </c>
      <c r="AE624" s="7" t="n">
        <f aca="false">IF(AND(O624=1,I624&gt;=Inputs!$B$6,I624&lt;=Inputs!$B$7),1,0)</f>
        <v>0</v>
      </c>
      <c r="AF624" s="7" t="n">
        <f aca="false">IF(AND(E624="Closed Won",I624&gt;=Inputs!$B$6,I624&lt;=Inputs!$B$4),1,0)</f>
        <v>0</v>
      </c>
      <c r="AG624" s="7" t="n">
        <f aca="false">IF(AND(O624=0,I624&gt;Inputs!$B$4-Inputs!$B$8,I624&lt;=Inputs!$B$4),1,0)</f>
        <v>1</v>
      </c>
      <c r="AH624" s="7" t="n">
        <f aca="false">I624-H624</f>
        <v>245</v>
      </c>
    </row>
    <row r="625" customFormat="false" ht="15" hidden="false" customHeight="false" outlineLevel="0" collapsed="false">
      <c r="A625" s="16" t="s">
        <v>1946</v>
      </c>
      <c r="B625" s="16" t="s">
        <v>963</v>
      </c>
      <c r="C625" s="16" t="s">
        <v>1947</v>
      </c>
      <c r="D625" s="16" t="s">
        <v>165</v>
      </c>
      <c r="E625" s="16" t="s">
        <v>530</v>
      </c>
      <c r="F625" s="26" t="n">
        <v>15223000</v>
      </c>
      <c r="G625" s="25" t="n">
        <v>100</v>
      </c>
      <c r="H625" s="22" t="n">
        <v>45958</v>
      </c>
      <c r="I625" s="22" t="n">
        <v>46115</v>
      </c>
      <c r="J625" s="22" t="n">
        <v>46115</v>
      </c>
      <c r="K625" s="16" t="s">
        <v>663</v>
      </c>
      <c r="L625" s="16" t="s">
        <v>592</v>
      </c>
      <c r="M625" s="16"/>
      <c r="N625" s="16"/>
      <c r="O625" s="7" t="n">
        <f aca="false">IF(OR(E625="Closed Won",E625="Closed Lost"),0,1)</f>
        <v>0</v>
      </c>
      <c r="P625" s="17" t="str">
        <f aca="false">INDEX(Accounts!$K$5:$K$336,MATCH(B625,Accounts!$A$5:$A$336,0))</f>
        <v>Financial Services</v>
      </c>
      <c r="Q625" s="17" t="str">
        <f aca="false">INDEX(Accounts!$D$5:$D$336,MATCH(B625,Accounts!$A$5:$A$336,0))</f>
        <v>Key</v>
      </c>
      <c r="R625" s="7" t="n">
        <f aca="false">INDEX(Inputs!$B$11:$B$16,MATCH(E625,Inputs!$A$11:$A$16,0))</f>
        <v>100</v>
      </c>
      <c r="S625" s="27" t="n">
        <f aca="false">IF(F625="",0,F625)*R625/100</f>
        <v>15223000</v>
      </c>
      <c r="T625" s="7" t="n">
        <f aca="false">Inputs!$B$4-J625</f>
        <v>199</v>
      </c>
      <c r="U625" s="7" t="n">
        <f aca="false">IF(OR(F625="",F625=0),1,0)</f>
        <v>0</v>
      </c>
      <c r="V625" s="7" t="n">
        <f aca="false">IF(K625="",1,0)</f>
        <v>0</v>
      </c>
      <c r="W625" s="7" t="n">
        <f aca="false">IF(AND(O625=1,K625&lt;&gt;"",COUNTIFS(Owners!$A$5:$A$32,K625,Owners!$E$5:$E$32,"No")&gt;0),1,0)</f>
        <v>0</v>
      </c>
      <c r="X625" s="7" t="n">
        <f aca="false">IF(AND(O625=1,I625&lt;Inputs!$B$4),1,0)</f>
        <v>0</v>
      </c>
      <c r="Y625" s="7" t="n">
        <f aca="false">IF(AND(O625=1,T625&gt;Inputs!$B$5),1,0)</f>
        <v>0</v>
      </c>
      <c r="Z625" s="7" t="n">
        <f aca="false">IF(AND(O625=1,G625&lt;&gt;R625),1,0)</f>
        <v>0</v>
      </c>
      <c r="AA625" s="7" t="n">
        <f aca="false">IF(AND(O625=1,M625=""),1,0)</f>
        <v>0</v>
      </c>
      <c r="AB625" s="7" t="n">
        <f aca="false">IF(AND(E625="Closed Lost",N625=""),1,0)</f>
        <v>0</v>
      </c>
      <c r="AC625" s="7" t="n">
        <f aca="false">SUM(U625:AB625)</f>
        <v>0</v>
      </c>
      <c r="AD625" s="7" t="n">
        <f aca="false">IF(AC625=0,1,0)</f>
        <v>1</v>
      </c>
      <c r="AE625" s="7" t="n">
        <f aca="false">IF(AND(O625=1,I625&gt;=Inputs!$B$6,I625&lt;=Inputs!$B$7),1,0)</f>
        <v>0</v>
      </c>
      <c r="AF625" s="7" t="n">
        <f aca="false">IF(AND(E625="Closed Won",I625&gt;=Inputs!$B$6,I625&lt;=Inputs!$B$4),1,0)</f>
        <v>0</v>
      </c>
      <c r="AG625" s="7" t="n">
        <f aca="false">IF(AND(O625=0,I625&gt;Inputs!$B$4-Inputs!$B$8,I625&lt;=Inputs!$B$4),1,0)</f>
        <v>1</v>
      </c>
      <c r="AH625" s="7" t="n">
        <f aca="false">I625-H625</f>
        <v>157</v>
      </c>
    </row>
    <row r="626" customFormat="false" ht="15" hidden="false" customHeight="false" outlineLevel="0" collapsed="false">
      <c r="A626" s="16" t="s">
        <v>1948</v>
      </c>
      <c r="B626" s="16" t="s">
        <v>59</v>
      </c>
      <c r="C626" s="16" t="s">
        <v>1949</v>
      </c>
      <c r="D626" s="16" t="s">
        <v>177</v>
      </c>
      <c r="E626" s="16" t="s">
        <v>526</v>
      </c>
      <c r="F626" s="26" t="n">
        <v>3959000</v>
      </c>
      <c r="G626" s="25" t="n">
        <v>10</v>
      </c>
      <c r="H626" s="22" t="n">
        <v>46189</v>
      </c>
      <c r="I626" s="22" t="n">
        <v>46424</v>
      </c>
      <c r="J626" s="22" t="n">
        <v>46223</v>
      </c>
      <c r="K626" s="16" t="s">
        <v>640</v>
      </c>
      <c r="L626" s="16" t="s">
        <v>574</v>
      </c>
      <c r="M626" s="16" t="s">
        <v>601</v>
      </c>
      <c r="N626" s="16"/>
      <c r="O626" s="7" t="n">
        <f aca="false">IF(OR(E626="Closed Won",E626="Closed Lost"),0,1)</f>
        <v>1</v>
      </c>
      <c r="P626" s="17" t="str">
        <f aca="false">INDEX(Accounts!$K$5:$K$336,MATCH(B626,Accounts!$A$5:$A$336,0))</f>
        <v>Financial Services</v>
      </c>
      <c r="Q626" s="17" t="str">
        <f aca="false">INDEX(Accounts!$D$5:$D$336,MATCH(B626,Accounts!$A$5:$A$336,0))</f>
        <v>Priority</v>
      </c>
      <c r="R626" s="7" t="n">
        <f aca="false">INDEX(Inputs!$B$11:$B$16,MATCH(E626,Inputs!$A$11:$A$16,0))</f>
        <v>10</v>
      </c>
      <c r="S626" s="27" t="n">
        <f aca="false">IF(F626="",0,F626)*R626/100</f>
        <v>395900</v>
      </c>
      <c r="T626" s="7" t="n">
        <f aca="false">Inputs!$B$4-J626</f>
        <v>91</v>
      </c>
      <c r="U626" s="7" t="n">
        <f aca="false">IF(OR(F626="",F626=0),1,0)</f>
        <v>0</v>
      </c>
      <c r="V626" s="7" t="n">
        <f aca="false">IF(K626="",1,0)</f>
        <v>0</v>
      </c>
      <c r="W626" s="7" t="n">
        <f aca="false">IF(AND(O626=1,K626&lt;&gt;"",COUNTIFS(Owners!$A$5:$A$32,K626,Owners!$E$5:$E$32,"No")&gt;0),1,0)</f>
        <v>0</v>
      </c>
      <c r="X626" s="7" t="n">
        <f aca="false">IF(AND(O626=1,I626&lt;Inputs!$B$4),1,0)</f>
        <v>0</v>
      </c>
      <c r="Y626" s="7" t="n">
        <f aca="false">IF(AND(O626=1,T626&gt;Inputs!$B$5),1,0)</f>
        <v>1</v>
      </c>
      <c r="Z626" s="7" t="n">
        <f aca="false">IF(AND(O626=1,G626&lt;&gt;R626),1,0)</f>
        <v>0</v>
      </c>
      <c r="AA626" s="7" t="n">
        <f aca="false">IF(AND(O626=1,M626=""),1,0)</f>
        <v>0</v>
      </c>
      <c r="AB626" s="7" t="n">
        <f aca="false">IF(AND(E626="Closed Lost",N626=""),1,0)</f>
        <v>0</v>
      </c>
      <c r="AC626" s="7" t="n">
        <f aca="false">SUM(U626:AB626)</f>
        <v>1</v>
      </c>
      <c r="AD626" s="7" t="n">
        <f aca="false">IF(AC626=0,1,0)</f>
        <v>0</v>
      </c>
      <c r="AE626" s="7" t="n">
        <f aca="false">IF(AND(O626=1,I626&gt;=Inputs!$B$6,I626&lt;=Inputs!$B$7),1,0)</f>
        <v>1</v>
      </c>
      <c r="AF626" s="7" t="n">
        <f aca="false">IF(AND(E626="Closed Won",I626&gt;=Inputs!$B$6,I626&lt;=Inputs!$B$4),1,0)</f>
        <v>0</v>
      </c>
      <c r="AG626" s="7" t="n">
        <f aca="false">IF(AND(O626=0,I626&gt;Inputs!$B$4-Inputs!$B$8,I626&lt;=Inputs!$B$4),1,0)</f>
        <v>0</v>
      </c>
      <c r="AH626" s="7" t="n">
        <f aca="false">I626-H626</f>
        <v>235</v>
      </c>
    </row>
    <row r="627" customFormat="false" ht="15" hidden="false" customHeight="false" outlineLevel="0" collapsed="false">
      <c r="A627" s="16" t="s">
        <v>1950</v>
      </c>
      <c r="B627" s="16" t="s">
        <v>1492</v>
      </c>
      <c r="C627" s="16" t="s">
        <v>1951</v>
      </c>
      <c r="D627" s="16" t="s">
        <v>162</v>
      </c>
      <c r="E627" s="16" t="s">
        <v>530</v>
      </c>
      <c r="F627" s="26" t="n">
        <v>2521000</v>
      </c>
      <c r="G627" s="25" t="n">
        <v>100</v>
      </c>
      <c r="H627" s="22" t="n">
        <v>46003</v>
      </c>
      <c r="I627" s="22" t="n">
        <v>46215</v>
      </c>
      <c r="J627" s="22" t="n">
        <v>46215</v>
      </c>
      <c r="K627" s="16" t="s">
        <v>880</v>
      </c>
      <c r="L627" s="16" t="s">
        <v>574</v>
      </c>
      <c r="M627" s="16"/>
      <c r="N627" s="16"/>
      <c r="O627" s="7" t="n">
        <f aca="false">IF(OR(E627="Closed Won",E627="Closed Lost"),0,1)</f>
        <v>0</v>
      </c>
      <c r="P627" s="17" t="str">
        <f aca="false">INDEX(Accounts!$K$5:$K$336,MATCH(B627,Accounts!$A$5:$A$336,0))</f>
        <v>Energy &amp; Resources</v>
      </c>
      <c r="Q627" s="17" t="str">
        <f aca="false">INDEX(Accounts!$D$5:$D$336,MATCH(B627,Accounts!$A$5:$A$336,0))</f>
        <v>Key</v>
      </c>
      <c r="R627" s="7" t="n">
        <f aca="false">INDEX(Inputs!$B$11:$B$16,MATCH(E627,Inputs!$A$11:$A$16,0))</f>
        <v>100</v>
      </c>
      <c r="S627" s="27" t="n">
        <f aca="false">IF(F627="",0,F627)*R627/100</f>
        <v>2521000</v>
      </c>
      <c r="T627" s="7" t="n">
        <f aca="false">Inputs!$B$4-J627</f>
        <v>99</v>
      </c>
      <c r="U627" s="7" t="n">
        <f aca="false">IF(OR(F627="",F627=0),1,0)</f>
        <v>0</v>
      </c>
      <c r="V627" s="7" t="n">
        <f aca="false">IF(K627="",1,0)</f>
        <v>0</v>
      </c>
      <c r="W627" s="7" t="n">
        <f aca="false">IF(AND(O627=1,K627&lt;&gt;"",COUNTIFS(Owners!$A$5:$A$32,K627,Owners!$E$5:$E$32,"No")&gt;0),1,0)</f>
        <v>0</v>
      </c>
      <c r="X627" s="7" t="n">
        <f aca="false">IF(AND(O627=1,I627&lt;Inputs!$B$4),1,0)</f>
        <v>0</v>
      </c>
      <c r="Y627" s="7" t="n">
        <f aca="false">IF(AND(O627=1,T627&gt;Inputs!$B$5),1,0)</f>
        <v>0</v>
      </c>
      <c r="Z627" s="7" t="n">
        <f aca="false">IF(AND(O627=1,G627&lt;&gt;R627),1,0)</f>
        <v>0</v>
      </c>
      <c r="AA627" s="7" t="n">
        <f aca="false">IF(AND(O627=1,M627=""),1,0)</f>
        <v>0</v>
      </c>
      <c r="AB627" s="7" t="n">
        <f aca="false">IF(AND(E627="Closed Lost",N627=""),1,0)</f>
        <v>0</v>
      </c>
      <c r="AC627" s="7" t="n">
        <f aca="false">SUM(U627:AB627)</f>
        <v>0</v>
      </c>
      <c r="AD627" s="7" t="n">
        <f aca="false">IF(AC627=0,1,0)</f>
        <v>1</v>
      </c>
      <c r="AE627" s="7" t="n">
        <f aca="false">IF(AND(O627=1,I627&gt;=Inputs!$B$6,I627&lt;=Inputs!$B$7),1,0)</f>
        <v>0</v>
      </c>
      <c r="AF627" s="7" t="n">
        <f aca="false">IF(AND(E627="Closed Won",I627&gt;=Inputs!$B$6,I627&lt;=Inputs!$B$4),1,0)</f>
        <v>1</v>
      </c>
      <c r="AG627" s="7" t="n">
        <f aca="false">IF(AND(O627=0,I627&gt;Inputs!$B$4-Inputs!$B$8,I627&lt;=Inputs!$B$4),1,0)</f>
        <v>1</v>
      </c>
      <c r="AH627" s="7" t="n">
        <f aca="false">I627-H627</f>
        <v>212</v>
      </c>
    </row>
    <row r="628" customFormat="false" ht="15" hidden="false" customHeight="false" outlineLevel="0" collapsed="false">
      <c r="A628" s="16" t="s">
        <v>1952</v>
      </c>
      <c r="B628" s="16" t="s">
        <v>57</v>
      </c>
      <c r="C628" s="16" t="s">
        <v>1559</v>
      </c>
      <c r="D628" s="16" t="s">
        <v>165</v>
      </c>
      <c r="E628" s="16" t="s">
        <v>531</v>
      </c>
      <c r="F628" s="26" t="n">
        <v>15053000</v>
      </c>
      <c r="G628" s="25" t="n">
        <v>0</v>
      </c>
      <c r="H628" s="22" t="n">
        <v>45998</v>
      </c>
      <c r="I628" s="22" t="n">
        <v>46214</v>
      </c>
      <c r="J628" s="22" t="n">
        <v>46214</v>
      </c>
      <c r="K628" s="16" t="s">
        <v>691</v>
      </c>
      <c r="L628" s="16" t="s">
        <v>574</v>
      </c>
      <c r="M628" s="16"/>
      <c r="N628" s="16" t="s">
        <v>722</v>
      </c>
      <c r="O628" s="7" t="n">
        <f aca="false">IF(OR(E628="Closed Won",E628="Closed Lost"),0,1)</f>
        <v>0</v>
      </c>
      <c r="P628" s="17" t="str">
        <f aca="false">INDEX(Accounts!$K$5:$K$336,MATCH(B628,Accounts!$A$5:$A$336,0))</f>
        <v>Financial Services</v>
      </c>
      <c r="Q628" s="17" t="str">
        <f aca="false">INDEX(Accounts!$D$5:$D$336,MATCH(B628,Accounts!$A$5:$A$336,0))</f>
        <v>Priority</v>
      </c>
      <c r="R628" s="7" t="n">
        <f aca="false">INDEX(Inputs!$B$11:$B$16,MATCH(E628,Inputs!$A$11:$A$16,0))</f>
        <v>0</v>
      </c>
      <c r="S628" s="27" t="n">
        <f aca="false">IF(F628="",0,F628)*R628/100</f>
        <v>0</v>
      </c>
      <c r="T628" s="7" t="n">
        <f aca="false">Inputs!$B$4-J628</f>
        <v>100</v>
      </c>
      <c r="U628" s="7" t="n">
        <f aca="false">IF(OR(F628="",F628=0),1,0)</f>
        <v>0</v>
      </c>
      <c r="V628" s="7" t="n">
        <f aca="false">IF(K628="",1,0)</f>
        <v>0</v>
      </c>
      <c r="W628" s="7" t="n">
        <f aca="false">IF(AND(O628=1,K628&lt;&gt;"",COUNTIFS(Owners!$A$5:$A$32,K628,Owners!$E$5:$E$32,"No")&gt;0),1,0)</f>
        <v>0</v>
      </c>
      <c r="X628" s="7" t="n">
        <f aca="false">IF(AND(O628=1,I628&lt;Inputs!$B$4),1,0)</f>
        <v>0</v>
      </c>
      <c r="Y628" s="7" t="n">
        <f aca="false">IF(AND(O628=1,T628&gt;Inputs!$B$5),1,0)</f>
        <v>0</v>
      </c>
      <c r="Z628" s="7" t="n">
        <f aca="false">IF(AND(O628=1,G628&lt;&gt;R628),1,0)</f>
        <v>0</v>
      </c>
      <c r="AA628" s="7" t="n">
        <f aca="false">IF(AND(O628=1,M628=""),1,0)</f>
        <v>0</v>
      </c>
      <c r="AB628" s="7" t="n">
        <f aca="false">IF(AND(E628="Closed Lost",N628=""),1,0)</f>
        <v>0</v>
      </c>
      <c r="AC628" s="7" t="n">
        <f aca="false">SUM(U628:AB628)</f>
        <v>0</v>
      </c>
      <c r="AD628" s="7" t="n">
        <f aca="false">IF(AC628=0,1,0)</f>
        <v>1</v>
      </c>
      <c r="AE628" s="7" t="n">
        <f aca="false">IF(AND(O628=1,I628&gt;=Inputs!$B$6,I628&lt;=Inputs!$B$7),1,0)</f>
        <v>0</v>
      </c>
      <c r="AF628" s="7" t="n">
        <f aca="false">IF(AND(E628="Closed Won",I628&gt;=Inputs!$B$6,I628&lt;=Inputs!$B$4),1,0)</f>
        <v>0</v>
      </c>
      <c r="AG628" s="7" t="n">
        <f aca="false">IF(AND(O628=0,I628&gt;Inputs!$B$4-Inputs!$B$8,I628&lt;=Inputs!$B$4),1,0)</f>
        <v>1</v>
      </c>
      <c r="AH628" s="7" t="n">
        <f aca="false">I628-H628</f>
        <v>216</v>
      </c>
    </row>
    <row r="629" customFormat="false" ht="15" hidden="false" customHeight="false" outlineLevel="0" collapsed="false">
      <c r="A629" s="16" t="s">
        <v>1953</v>
      </c>
      <c r="B629" s="16" t="s">
        <v>57</v>
      </c>
      <c r="C629" s="16" t="s">
        <v>1954</v>
      </c>
      <c r="D629" s="16" t="s">
        <v>167</v>
      </c>
      <c r="E629" s="16" t="s">
        <v>531</v>
      </c>
      <c r="F629" s="26" t="n">
        <v>3779000</v>
      </c>
      <c r="G629" s="25" t="n">
        <v>0</v>
      </c>
      <c r="H629" s="22" t="n">
        <v>45971</v>
      </c>
      <c r="I629" s="22" t="n">
        <v>46056</v>
      </c>
      <c r="J629" s="22" t="n">
        <v>46056</v>
      </c>
      <c r="K629" s="16" t="s">
        <v>666</v>
      </c>
      <c r="L629" s="16" t="s">
        <v>609</v>
      </c>
      <c r="M629" s="16"/>
      <c r="N629" s="16"/>
      <c r="O629" s="7" t="n">
        <f aca="false">IF(OR(E629="Closed Won",E629="Closed Lost"),0,1)</f>
        <v>0</v>
      </c>
      <c r="P629" s="17" t="str">
        <f aca="false">INDEX(Accounts!$K$5:$K$336,MATCH(B629,Accounts!$A$5:$A$336,0))</f>
        <v>Financial Services</v>
      </c>
      <c r="Q629" s="17" t="str">
        <f aca="false">INDEX(Accounts!$D$5:$D$336,MATCH(B629,Accounts!$A$5:$A$336,0))</f>
        <v>Priority</v>
      </c>
      <c r="R629" s="7" t="n">
        <f aca="false">INDEX(Inputs!$B$11:$B$16,MATCH(E629,Inputs!$A$11:$A$16,0))</f>
        <v>0</v>
      </c>
      <c r="S629" s="27" t="n">
        <f aca="false">IF(F629="",0,F629)*R629/100</f>
        <v>0</v>
      </c>
      <c r="T629" s="7" t="n">
        <f aca="false">Inputs!$B$4-J629</f>
        <v>258</v>
      </c>
      <c r="U629" s="7" t="n">
        <f aca="false">IF(OR(F629="",F629=0),1,0)</f>
        <v>0</v>
      </c>
      <c r="V629" s="7" t="n">
        <f aca="false">IF(K629="",1,0)</f>
        <v>0</v>
      </c>
      <c r="W629" s="7" t="n">
        <f aca="false">IF(AND(O629=1,K629&lt;&gt;"",COUNTIFS(Owners!$A$5:$A$32,K629,Owners!$E$5:$E$32,"No")&gt;0),1,0)</f>
        <v>0</v>
      </c>
      <c r="X629" s="7" t="n">
        <f aca="false">IF(AND(O629=1,I629&lt;Inputs!$B$4),1,0)</f>
        <v>0</v>
      </c>
      <c r="Y629" s="7" t="n">
        <f aca="false">IF(AND(O629=1,T629&gt;Inputs!$B$5),1,0)</f>
        <v>0</v>
      </c>
      <c r="Z629" s="7" t="n">
        <f aca="false">IF(AND(O629=1,G629&lt;&gt;R629),1,0)</f>
        <v>0</v>
      </c>
      <c r="AA629" s="7" t="n">
        <f aca="false">IF(AND(O629=1,M629=""),1,0)</f>
        <v>0</v>
      </c>
      <c r="AB629" s="7" t="n">
        <f aca="false">IF(AND(E629="Closed Lost",N629=""),1,0)</f>
        <v>1</v>
      </c>
      <c r="AC629" s="7" t="n">
        <f aca="false">SUM(U629:AB629)</f>
        <v>1</v>
      </c>
      <c r="AD629" s="7" t="n">
        <f aca="false">IF(AC629=0,1,0)</f>
        <v>0</v>
      </c>
      <c r="AE629" s="7" t="n">
        <f aca="false">IF(AND(O629=1,I629&gt;=Inputs!$B$6,I629&lt;=Inputs!$B$7),1,0)</f>
        <v>0</v>
      </c>
      <c r="AF629" s="7" t="n">
        <f aca="false">IF(AND(E629="Closed Won",I629&gt;=Inputs!$B$6,I629&lt;=Inputs!$B$4),1,0)</f>
        <v>0</v>
      </c>
      <c r="AG629" s="7" t="n">
        <f aca="false">IF(AND(O629=0,I629&gt;Inputs!$B$4-Inputs!$B$8,I629&lt;=Inputs!$B$4),1,0)</f>
        <v>1</v>
      </c>
      <c r="AH629" s="7" t="n">
        <f aca="false">I629-H629</f>
        <v>85</v>
      </c>
    </row>
    <row r="630" customFormat="false" ht="15" hidden="false" customHeight="false" outlineLevel="0" collapsed="false">
      <c r="A630" s="16" t="s">
        <v>1955</v>
      </c>
      <c r="B630" s="16" t="s">
        <v>945</v>
      </c>
      <c r="C630" s="16" t="s">
        <v>1956</v>
      </c>
      <c r="D630" s="16" t="s">
        <v>162</v>
      </c>
      <c r="E630" s="16" t="s">
        <v>531</v>
      </c>
      <c r="F630" s="26" t="n">
        <v>3203000</v>
      </c>
      <c r="G630" s="25" t="n">
        <v>0</v>
      </c>
      <c r="H630" s="22" t="n">
        <v>45984</v>
      </c>
      <c r="I630" s="22" t="n">
        <v>46129</v>
      </c>
      <c r="J630" s="22" t="n">
        <v>46129</v>
      </c>
      <c r="K630" s="16" t="s">
        <v>860</v>
      </c>
      <c r="L630" s="16" t="s">
        <v>500</v>
      </c>
      <c r="M630" s="16"/>
      <c r="N630" s="16" t="s">
        <v>610</v>
      </c>
      <c r="O630" s="7" t="n">
        <f aca="false">IF(OR(E630="Closed Won",E630="Closed Lost"),0,1)</f>
        <v>0</v>
      </c>
      <c r="P630" s="17" t="str">
        <f aca="false">INDEX(Accounts!$K$5:$K$336,MATCH(B630,Accounts!$A$5:$A$336,0))</f>
        <v>Public Sector &amp; Development</v>
      </c>
      <c r="Q630" s="17" t="str">
        <f aca="false">INDEX(Accounts!$D$5:$D$336,MATCH(B630,Accounts!$A$5:$A$336,0))</f>
        <v>Key</v>
      </c>
      <c r="R630" s="7" t="n">
        <f aca="false">INDEX(Inputs!$B$11:$B$16,MATCH(E630,Inputs!$A$11:$A$16,0))</f>
        <v>0</v>
      </c>
      <c r="S630" s="27" t="n">
        <f aca="false">IF(F630="",0,F630)*R630/100</f>
        <v>0</v>
      </c>
      <c r="T630" s="7" t="n">
        <f aca="false">Inputs!$B$4-J630</f>
        <v>185</v>
      </c>
      <c r="U630" s="7" t="n">
        <f aca="false">IF(OR(F630="",F630=0),1,0)</f>
        <v>0</v>
      </c>
      <c r="V630" s="7" t="n">
        <f aca="false">IF(K630="",1,0)</f>
        <v>0</v>
      </c>
      <c r="W630" s="7" t="n">
        <f aca="false">IF(AND(O630=1,K630&lt;&gt;"",COUNTIFS(Owners!$A$5:$A$32,K630,Owners!$E$5:$E$32,"No")&gt;0),1,0)</f>
        <v>0</v>
      </c>
      <c r="X630" s="7" t="n">
        <f aca="false">IF(AND(O630=1,I630&lt;Inputs!$B$4),1,0)</f>
        <v>0</v>
      </c>
      <c r="Y630" s="7" t="n">
        <f aca="false">IF(AND(O630=1,T630&gt;Inputs!$B$5),1,0)</f>
        <v>0</v>
      </c>
      <c r="Z630" s="7" t="n">
        <f aca="false">IF(AND(O630=1,G630&lt;&gt;R630),1,0)</f>
        <v>0</v>
      </c>
      <c r="AA630" s="7" t="n">
        <f aca="false">IF(AND(O630=1,M630=""),1,0)</f>
        <v>0</v>
      </c>
      <c r="AB630" s="7" t="n">
        <f aca="false">IF(AND(E630="Closed Lost",N630=""),1,0)</f>
        <v>0</v>
      </c>
      <c r="AC630" s="7" t="n">
        <f aca="false">SUM(U630:AB630)</f>
        <v>0</v>
      </c>
      <c r="AD630" s="7" t="n">
        <f aca="false">IF(AC630=0,1,0)</f>
        <v>1</v>
      </c>
      <c r="AE630" s="7" t="n">
        <f aca="false">IF(AND(O630=1,I630&gt;=Inputs!$B$6,I630&lt;=Inputs!$B$7),1,0)</f>
        <v>0</v>
      </c>
      <c r="AF630" s="7" t="n">
        <f aca="false">IF(AND(E630="Closed Won",I630&gt;=Inputs!$B$6,I630&lt;=Inputs!$B$4),1,0)</f>
        <v>0</v>
      </c>
      <c r="AG630" s="7" t="n">
        <f aca="false">IF(AND(O630=0,I630&gt;Inputs!$B$4-Inputs!$B$8,I630&lt;=Inputs!$B$4),1,0)</f>
        <v>1</v>
      </c>
      <c r="AH630" s="7" t="n">
        <f aca="false">I630-H630</f>
        <v>145</v>
      </c>
    </row>
    <row r="631" customFormat="false" ht="15" hidden="false" customHeight="false" outlineLevel="0" collapsed="false">
      <c r="A631" s="16" t="s">
        <v>1957</v>
      </c>
      <c r="B631" s="16" t="s">
        <v>1191</v>
      </c>
      <c r="C631" s="16" t="s">
        <v>1958</v>
      </c>
      <c r="D631" s="16" t="s">
        <v>165</v>
      </c>
      <c r="E631" s="16" t="s">
        <v>527</v>
      </c>
      <c r="F631" s="26" t="n">
        <v>32400000</v>
      </c>
      <c r="G631" s="25" t="n">
        <v>25</v>
      </c>
      <c r="H631" s="22" t="n">
        <v>46046</v>
      </c>
      <c r="I631" s="22" t="n">
        <v>46475</v>
      </c>
      <c r="J631" s="22" t="n">
        <v>46266</v>
      </c>
      <c r="K631" s="16" t="s">
        <v>578</v>
      </c>
      <c r="L631" s="16" t="s">
        <v>574</v>
      </c>
      <c r="M631" s="16" t="s">
        <v>575</v>
      </c>
      <c r="N631" s="16"/>
      <c r="O631" s="7" t="n">
        <f aca="false">IF(OR(E631="Closed Won",E631="Closed Lost"),0,1)</f>
        <v>1</v>
      </c>
      <c r="P631" s="17" t="str">
        <f aca="false">INDEX(Accounts!$K$5:$K$336,MATCH(B631,Accounts!$A$5:$A$336,0))</f>
        <v>Financial Services</v>
      </c>
      <c r="Q631" s="17" t="str">
        <f aca="false">INDEX(Accounts!$D$5:$D$336,MATCH(B631,Accounts!$A$5:$A$336,0))</f>
        <v>Standard</v>
      </c>
      <c r="R631" s="7" t="n">
        <f aca="false">INDEX(Inputs!$B$11:$B$16,MATCH(E631,Inputs!$A$11:$A$16,0))</f>
        <v>25</v>
      </c>
      <c r="S631" s="27" t="n">
        <f aca="false">IF(F631="",0,F631)*R631/100</f>
        <v>8100000</v>
      </c>
      <c r="T631" s="7" t="n">
        <f aca="false">Inputs!$B$4-J631</f>
        <v>48</v>
      </c>
      <c r="U631" s="7" t="n">
        <f aca="false">IF(OR(F631="",F631=0),1,0)</f>
        <v>0</v>
      </c>
      <c r="V631" s="7" t="n">
        <f aca="false">IF(K631="",1,0)</f>
        <v>0</v>
      </c>
      <c r="W631" s="7" t="n">
        <f aca="false">IF(AND(O631=1,K631&lt;&gt;"",COUNTIFS(Owners!$A$5:$A$32,K631,Owners!$E$5:$E$32,"No")&gt;0),1,0)</f>
        <v>0</v>
      </c>
      <c r="X631" s="7" t="n">
        <f aca="false">IF(AND(O631=1,I631&lt;Inputs!$B$4),1,0)</f>
        <v>0</v>
      </c>
      <c r="Y631" s="7" t="n">
        <f aca="false">IF(AND(O631=1,T631&gt;Inputs!$B$5),1,0)</f>
        <v>0</v>
      </c>
      <c r="Z631" s="7" t="n">
        <f aca="false">IF(AND(O631=1,G631&lt;&gt;R631),1,0)</f>
        <v>0</v>
      </c>
      <c r="AA631" s="7" t="n">
        <f aca="false">IF(AND(O631=1,M631=""),1,0)</f>
        <v>0</v>
      </c>
      <c r="AB631" s="7" t="n">
        <f aca="false">IF(AND(E631="Closed Lost",N631=""),1,0)</f>
        <v>0</v>
      </c>
      <c r="AC631" s="7" t="n">
        <f aca="false">SUM(U631:AB631)</f>
        <v>0</v>
      </c>
      <c r="AD631" s="7" t="n">
        <f aca="false">IF(AC631=0,1,0)</f>
        <v>1</v>
      </c>
      <c r="AE631" s="7" t="n">
        <f aca="false">IF(AND(O631=1,I631&gt;=Inputs!$B$6,I631&lt;=Inputs!$B$7),1,0)</f>
        <v>1</v>
      </c>
      <c r="AF631" s="7" t="n">
        <f aca="false">IF(AND(E631="Closed Won",I631&gt;=Inputs!$B$6,I631&lt;=Inputs!$B$4),1,0)</f>
        <v>0</v>
      </c>
      <c r="AG631" s="7" t="n">
        <f aca="false">IF(AND(O631=0,I631&gt;Inputs!$B$4-Inputs!$B$8,I631&lt;=Inputs!$B$4),1,0)</f>
        <v>0</v>
      </c>
      <c r="AH631" s="7" t="n">
        <f aca="false">I631-H631</f>
        <v>429</v>
      </c>
    </row>
    <row r="632" customFormat="false" ht="15" hidden="false" customHeight="false" outlineLevel="0" collapsed="false">
      <c r="A632" s="16" t="s">
        <v>1959</v>
      </c>
      <c r="B632" s="16" t="s">
        <v>939</v>
      </c>
      <c r="C632" s="16" t="s">
        <v>1960</v>
      </c>
      <c r="D632" s="16" t="s">
        <v>167</v>
      </c>
      <c r="E632" s="16" t="s">
        <v>530</v>
      </c>
      <c r="F632" s="26" t="n">
        <v>2932000</v>
      </c>
      <c r="G632" s="25" t="n">
        <v>100</v>
      </c>
      <c r="H632" s="22" t="n">
        <v>46081</v>
      </c>
      <c r="I632" s="22" t="n">
        <v>46224</v>
      </c>
      <c r="J632" s="22" t="n">
        <v>46224</v>
      </c>
      <c r="K632" s="16" t="s">
        <v>860</v>
      </c>
      <c r="L632" s="16" t="s">
        <v>500</v>
      </c>
      <c r="M632" s="16"/>
      <c r="N632" s="16"/>
      <c r="O632" s="7" t="n">
        <f aca="false">IF(OR(E632="Closed Won",E632="Closed Lost"),0,1)</f>
        <v>0</v>
      </c>
      <c r="P632" s="17" t="str">
        <f aca="false">INDEX(Accounts!$K$5:$K$336,MATCH(B632,Accounts!$A$5:$A$336,0))</f>
        <v>Financial Services</v>
      </c>
      <c r="Q632" s="17" t="str">
        <f aca="false">INDEX(Accounts!$D$5:$D$336,MATCH(B632,Accounts!$A$5:$A$336,0))</f>
        <v>Standard</v>
      </c>
      <c r="R632" s="7" t="n">
        <f aca="false">INDEX(Inputs!$B$11:$B$16,MATCH(E632,Inputs!$A$11:$A$16,0))</f>
        <v>100</v>
      </c>
      <c r="S632" s="27" t="n">
        <f aca="false">IF(F632="",0,F632)*R632/100</f>
        <v>2932000</v>
      </c>
      <c r="T632" s="7" t="n">
        <f aca="false">Inputs!$B$4-J632</f>
        <v>90</v>
      </c>
      <c r="U632" s="7" t="n">
        <f aca="false">IF(OR(F632="",F632=0),1,0)</f>
        <v>0</v>
      </c>
      <c r="V632" s="7" t="n">
        <f aca="false">IF(K632="",1,0)</f>
        <v>0</v>
      </c>
      <c r="W632" s="7" t="n">
        <f aca="false">IF(AND(O632=1,K632&lt;&gt;"",COUNTIFS(Owners!$A$5:$A$32,K632,Owners!$E$5:$E$32,"No")&gt;0),1,0)</f>
        <v>0</v>
      </c>
      <c r="X632" s="7" t="n">
        <f aca="false">IF(AND(O632=1,I632&lt;Inputs!$B$4),1,0)</f>
        <v>0</v>
      </c>
      <c r="Y632" s="7" t="n">
        <f aca="false">IF(AND(O632=1,T632&gt;Inputs!$B$5),1,0)</f>
        <v>0</v>
      </c>
      <c r="Z632" s="7" t="n">
        <f aca="false">IF(AND(O632=1,G632&lt;&gt;R632),1,0)</f>
        <v>0</v>
      </c>
      <c r="AA632" s="7" t="n">
        <f aca="false">IF(AND(O632=1,M632=""),1,0)</f>
        <v>0</v>
      </c>
      <c r="AB632" s="7" t="n">
        <f aca="false">IF(AND(E632="Closed Lost",N632=""),1,0)</f>
        <v>0</v>
      </c>
      <c r="AC632" s="7" t="n">
        <f aca="false">SUM(U632:AB632)</f>
        <v>0</v>
      </c>
      <c r="AD632" s="7" t="n">
        <f aca="false">IF(AC632=0,1,0)</f>
        <v>1</v>
      </c>
      <c r="AE632" s="7" t="n">
        <f aca="false">IF(AND(O632=1,I632&gt;=Inputs!$B$6,I632&lt;=Inputs!$B$7),1,0)</f>
        <v>0</v>
      </c>
      <c r="AF632" s="7" t="n">
        <f aca="false">IF(AND(E632="Closed Won",I632&gt;=Inputs!$B$6,I632&lt;=Inputs!$B$4),1,0)</f>
        <v>1</v>
      </c>
      <c r="AG632" s="7" t="n">
        <f aca="false">IF(AND(O632=0,I632&gt;Inputs!$B$4-Inputs!$B$8,I632&lt;=Inputs!$B$4),1,0)</f>
        <v>1</v>
      </c>
      <c r="AH632" s="7" t="n">
        <f aca="false">I632-H632</f>
        <v>143</v>
      </c>
    </row>
    <row r="633" customFormat="false" ht="15" hidden="false" customHeight="false" outlineLevel="0" collapsed="false">
      <c r="A633" s="16" t="s">
        <v>1961</v>
      </c>
      <c r="B633" s="16" t="s">
        <v>69</v>
      </c>
      <c r="C633" s="16" t="s">
        <v>1962</v>
      </c>
      <c r="D633" s="16" t="s">
        <v>165</v>
      </c>
      <c r="E633" s="16" t="s">
        <v>529</v>
      </c>
      <c r="F633" s="26" t="n">
        <v>12967000</v>
      </c>
      <c r="G633" s="25" t="n">
        <v>75</v>
      </c>
      <c r="H633" s="22" t="n">
        <v>46193</v>
      </c>
      <c r="I633" s="22" t="n">
        <v>46470</v>
      </c>
      <c r="J633" s="22" t="n">
        <v>46297</v>
      </c>
      <c r="K633" s="16" t="s">
        <v>663</v>
      </c>
      <c r="L633" s="16" t="s">
        <v>584</v>
      </c>
      <c r="M633" s="16" t="s">
        <v>619</v>
      </c>
      <c r="N633" s="16"/>
      <c r="O633" s="7" t="n">
        <f aca="false">IF(OR(E633="Closed Won",E633="Closed Lost"),0,1)</f>
        <v>1</v>
      </c>
      <c r="P633" s="17" t="str">
        <f aca="false">INDEX(Accounts!$K$5:$K$336,MATCH(B633,Accounts!$A$5:$A$336,0))</f>
        <v>Financial Services</v>
      </c>
      <c r="Q633" s="17" t="str">
        <f aca="false">INDEX(Accounts!$D$5:$D$336,MATCH(B633,Accounts!$A$5:$A$336,0))</f>
        <v>Priority</v>
      </c>
      <c r="R633" s="7" t="n">
        <f aca="false">INDEX(Inputs!$B$11:$B$16,MATCH(E633,Inputs!$A$11:$A$16,0))</f>
        <v>75</v>
      </c>
      <c r="S633" s="27" t="n">
        <f aca="false">IF(F633="",0,F633)*R633/100</f>
        <v>9725250</v>
      </c>
      <c r="T633" s="7" t="n">
        <f aca="false">Inputs!$B$4-J633</f>
        <v>17</v>
      </c>
      <c r="U633" s="7" t="n">
        <f aca="false">IF(OR(F633="",F633=0),1,0)</f>
        <v>0</v>
      </c>
      <c r="V633" s="7" t="n">
        <f aca="false">IF(K633="",1,0)</f>
        <v>0</v>
      </c>
      <c r="W633" s="7" t="n">
        <f aca="false">IF(AND(O633=1,K633&lt;&gt;"",COUNTIFS(Owners!$A$5:$A$32,K633,Owners!$E$5:$E$32,"No")&gt;0),1,0)</f>
        <v>0</v>
      </c>
      <c r="X633" s="7" t="n">
        <f aca="false">IF(AND(O633=1,I633&lt;Inputs!$B$4),1,0)</f>
        <v>0</v>
      </c>
      <c r="Y633" s="7" t="n">
        <f aca="false">IF(AND(O633=1,T633&gt;Inputs!$B$5),1,0)</f>
        <v>0</v>
      </c>
      <c r="Z633" s="7" t="n">
        <f aca="false">IF(AND(O633=1,G633&lt;&gt;R633),1,0)</f>
        <v>0</v>
      </c>
      <c r="AA633" s="7" t="n">
        <f aca="false">IF(AND(O633=1,M633=""),1,0)</f>
        <v>0</v>
      </c>
      <c r="AB633" s="7" t="n">
        <f aca="false">IF(AND(E633="Closed Lost",N633=""),1,0)</f>
        <v>0</v>
      </c>
      <c r="AC633" s="7" t="n">
        <f aca="false">SUM(U633:AB633)</f>
        <v>0</v>
      </c>
      <c r="AD633" s="7" t="n">
        <f aca="false">IF(AC633=0,1,0)</f>
        <v>1</v>
      </c>
      <c r="AE633" s="7" t="n">
        <f aca="false">IF(AND(O633=1,I633&gt;=Inputs!$B$6,I633&lt;=Inputs!$B$7),1,0)</f>
        <v>1</v>
      </c>
      <c r="AF633" s="7" t="n">
        <f aca="false">IF(AND(E633="Closed Won",I633&gt;=Inputs!$B$6,I633&lt;=Inputs!$B$4),1,0)</f>
        <v>0</v>
      </c>
      <c r="AG633" s="7" t="n">
        <f aca="false">IF(AND(O633=0,I633&gt;Inputs!$B$4-Inputs!$B$8,I633&lt;=Inputs!$B$4),1,0)</f>
        <v>0</v>
      </c>
      <c r="AH633" s="7" t="n">
        <f aca="false">I633-H633</f>
        <v>277</v>
      </c>
    </row>
    <row r="634" customFormat="false" ht="15" hidden="false" customHeight="false" outlineLevel="0" collapsed="false">
      <c r="A634" s="16" t="s">
        <v>1963</v>
      </c>
      <c r="B634" s="16" t="s">
        <v>90</v>
      </c>
      <c r="C634" s="16" t="s">
        <v>1964</v>
      </c>
      <c r="D634" s="16" t="s">
        <v>167</v>
      </c>
      <c r="E634" s="16" t="s">
        <v>529</v>
      </c>
      <c r="F634" s="26" t="n">
        <v>7205000</v>
      </c>
      <c r="G634" s="25" t="n">
        <v>75</v>
      </c>
      <c r="H634" s="22" t="n">
        <v>46308</v>
      </c>
      <c r="I634" s="22" t="n">
        <v>46550</v>
      </c>
      <c r="J634" s="22" t="n">
        <v>46301</v>
      </c>
      <c r="K634" s="16" t="s">
        <v>604</v>
      </c>
      <c r="L634" s="16" t="s">
        <v>500</v>
      </c>
      <c r="M634" s="16" t="s">
        <v>619</v>
      </c>
      <c r="N634" s="16"/>
      <c r="O634" s="7" t="n">
        <f aca="false">IF(OR(E634="Closed Won",E634="Closed Lost"),0,1)</f>
        <v>1</v>
      </c>
      <c r="P634" s="17" t="str">
        <f aca="false">INDEX(Accounts!$K$5:$K$336,MATCH(B634,Accounts!$A$5:$A$336,0))</f>
        <v>Financial Services</v>
      </c>
      <c r="Q634" s="17" t="str">
        <f aca="false">INDEX(Accounts!$D$5:$D$336,MATCH(B634,Accounts!$A$5:$A$336,0))</f>
        <v>Priority</v>
      </c>
      <c r="R634" s="7" t="n">
        <f aca="false">INDEX(Inputs!$B$11:$B$16,MATCH(E634,Inputs!$A$11:$A$16,0))</f>
        <v>75</v>
      </c>
      <c r="S634" s="27" t="n">
        <f aca="false">IF(F634="",0,F634)*R634/100</f>
        <v>5403750</v>
      </c>
      <c r="T634" s="7" t="n">
        <f aca="false">Inputs!$B$4-J634</f>
        <v>13</v>
      </c>
      <c r="U634" s="7" t="n">
        <f aca="false">IF(OR(F634="",F634=0),1,0)</f>
        <v>0</v>
      </c>
      <c r="V634" s="7" t="n">
        <f aca="false">IF(K634="",1,0)</f>
        <v>0</v>
      </c>
      <c r="W634" s="7" t="n">
        <f aca="false">IF(AND(O634=1,K634&lt;&gt;"",COUNTIFS(Owners!$A$5:$A$32,K634,Owners!$E$5:$E$32,"No")&gt;0),1,0)</f>
        <v>0</v>
      </c>
      <c r="X634" s="7" t="n">
        <f aca="false">IF(AND(O634=1,I634&lt;Inputs!$B$4),1,0)</f>
        <v>0</v>
      </c>
      <c r="Y634" s="7" t="n">
        <f aca="false">IF(AND(O634=1,T634&gt;Inputs!$B$5),1,0)</f>
        <v>0</v>
      </c>
      <c r="Z634" s="7" t="n">
        <f aca="false">IF(AND(O634=1,G634&lt;&gt;R634),1,0)</f>
        <v>0</v>
      </c>
      <c r="AA634" s="7" t="n">
        <f aca="false">IF(AND(O634=1,M634=""),1,0)</f>
        <v>0</v>
      </c>
      <c r="AB634" s="7" t="n">
        <f aca="false">IF(AND(E634="Closed Lost",N634=""),1,0)</f>
        <v>0</v>
      </c>
      <c r="AC634" s="7" t="n">
        <f aca="false">SUM(U634:AB634)</f>
        <v>0</v>
      </c>
      <c r="AD634" s="7" t="n">
        <f aca="false">IF(AC634=0,1,0)</f>
        <v>1</v>
      </c>
      <c r="AE634" s="7" t="n">
        <f aca="false">IF(AND(O634=1,I634&gt;=Inputs!$B$6,I634&lt;=Inputs!$B$7),1,0)</f>
        <v>1</v>
      </c>
      <c r="AF634" s="7" t="n">
        <f aca="false">IF(AND(E634="Closed Won",I634&gt;=Inputs!$B$6,I634&lt;=Inputs!$B$4),1,0)</f>
        <v>0</v>
      </c>
      <c r="AG634" s="7" t="n">
        <f aca="false">IF(AND(O634=0,I634&gt;Inputs!$B$4-Inputs!$B$8,I634&lt;=Inputs!$B$4),1,0)</f>
        <v>0</v>
      </c>
      <c r="AH634" s="7" t="n">
        <f aca="false">I634-H634</f>
        <v>242</v>
      </c>
    </row>
    <row r="635" customFormat="false" ht="15" hidden="false" customHeight="false" outlineLevel="0" collapsed="false">
      <c r="A635" s="16" t="s">
        <v>1965</v>
      </c>
      <c r="B635" s="16" t="s">
        <v>262</v>
      </c>
      <c r="C635" s="16" t="s">
        <v>1966</v>
      </c>
      <c r="D635" s="16" t="s">
        <v>165</v>
      </c>
      <c r="E635" s="16" t="s">
        <v>527</v>
      </c>
      <c r="F635" s="26" t="n">
        <v>15355000</v>
      </c>
      <c r="G635" s="25" t="n">
        <v>25</v>
      </c>
      <c r="H635" s="22" t="n">
        <v>46305</v>
      </c>
      <c r="I635" s="22" t="n">
        <v>46463</v>
      </c>
      <c r="J635" s="22" t="n">
        <v>46186</v>
      </c>
      <c r="K635" s="16" t="s">
        <v>663</v>
      </c>
      <c r="L635" s="16" t="s">
        <v>584</v>
      </c>
      <c r="M635" s="16" t="s">
        <v>593</v>
      </c>
      <c r="N635" s="16"/>
      <c r="O635" s="7" t="n">
        <f aca="false">IF(OR(E635="Closed Won",E635="Closed Lost"),0,1)</f>
        <v>1</v>
      </c>
      <c r="P635" s="17" t="str">
        <f aca="false">INDEX(Accounts!$K$5:$K$336,MATCH(B635,Accounts!$A$5:$A$336,0))</f>
        <v>Consumer &amp; Retail</v>
      </c>
      <c r="Q635" s="17" t="str">
        <f aca="false">INDEX(Accounts!$D$5:$D$336,MATCH(B635,Accounts!$A$5:$A$336,0))</f>
        <v>Standard</v>
      </c>
      <c r="R635" s="7" t="n">
        <f aca="false">INDEX(Inputs!$B$11:$B$16,MATCH(E635,Inputs!$A$11:$A$16,0))</f>
        <v>25</v>
      </c>
      <c r="S635" s="27" t="n">
        <f aca="false">IF(F635="",0,F635)*R635/100</f>
        <v>3838750</v>
      </c>
      <c r="T635" s="7" t="n">
        <f aca="false">Inputs!$B$4-J635</f>
        <v>128</v>
      </c>
      <c r="U635" s="7" t="n">
        <f aca="false">IF(OR(F635="",F635=0),1,0)</f>
        <v>0</v>
      </c>
      <c r="V635" s="7" t="n">
        <f aca="false">IF(K635="",1,0)</f>
        <v>0</v>
      </c>
      <c r="W635" s="7" t="n">
        <f aca="false">IF(AND(O635=1,K635&lt;&gt;"",COUNTIFS(Owners!$A$5:$A$32,K635,Owners!$E$5:$E$32,"No")&gt;0),1,0)</f>
        <v>0</v>
      </c>
      <c r="X635" s="7" t="n">
        <f aca="false">IF(AND(O635=1,I635&lt;Inputs!$B$4),1,0)</f>
        <v>0</v>
      </c>
      <c r="Y635" s="7" t="n">
        <f aca="false">IF(AND(O635=1,T635&gt;Inputs!$B$5),1,0)</f>
        <v>1</v>
      </c>
      <c r="Z635" s="7" t="n">
        <f aca="false">IF(AND(O635=1,G635&lt;&gt;R635),1,0)</f>
        <v>0</v>
      </c>
      <c r="AA635" s="7" t="n">
        <f aca="false">IF(AND(O635=1,M635=""),1,0)</f>
        <v>0</v>
      </c>
      <c r="AB635" s="7" t="n">
        <f aca="false">IF(AND(E635="Closed Lost",N635=""),1,0)</f>
        <v>0</v>
      </c>
      <c r="AC635" s="7" t="n">
        <f aca="false">SUM(U635:AB635)</f>
        <v>1</v>
      </c>
      <c r="AD635" s="7" t="n">
        <f aca="false">IF(AC635=0,1,0)</f>
        <v>0</v>
      </c>
      <c r="AE635" s="7" t="n">
        <f aca="false">IF(AND(O635=1,I635&gt;=Inputs!$B$6,I635&lt;=Inputs!$B$7),1,0)</f>
        <v>1</v>
      </c>
      <c r="AF635" s="7" t="n">
        <f aca="false">IF(AND(E635="Closed Won",I635&gt;=Inputs!$B$6,I635&lt;=Inputs!$B$4),1,0)</f>
        <v>0</v>
      </c>
      <c r="AG635" s="7" t="n">
        <f aca="false">IF(AND(O635=0,I635&gt;Inputs!$B$4-Inputs!$B$8,I635&lt;=Inputs!$B$4),1,0)</f>
        <v>0</v>
      </c>
      <c r="AH635" s="7" t="n">
        <f aca="false">I635-H635</f>
        <v>158</v>
      </c>
    </row>
    <row r="636" customFormat="false" ht="15" hidden="false" customHeight="false" outlineLevel="0" collapsed="false">
      <c r="A636" s="16" t="s">
        <v>1967</v>
      </c>
      <c r="B636" s="16" t="s">
        <v>66</v>
      </c>
      <c r="C636" s="16" t="s">
        <v>1968</v>
      </c>
      <c r="D636" s="16" t="s">
        <v>177</v>
      </c>
      <c r="E636" s="16" t="s">
        <v>530</v>
      </c>
      <c r="F636" s="26" t="n">
        <v>3833000</v>
      </c>
      <c r="G636" s="25" t="n">
        <v>100</v>
      </c>
      <c r="H636" s="22" t="n">
        <v>45911</v>
      </c>
      <c r="I636" s="22" t="n">
        <v>45985</v>
      </c>
      <c r="J636" s="22" t="n">
        <v>45985</v>
      </c>
      <c r="K636" s="16" t="s">
        <v>640</v>
      </c>
      <c r="L636" s="16" t="s">
        <v>592</v>
      </c>
      <c r="M636" s="16"/>
      <c r="N636" s="16"/>
      <c r="O636" s="7" t="n">
        <f aca="false">IF(OR(E636="Closed Won",E636="Closed Lost"),0,1)</f>
        <v>0</v>
      </c>
      <c r="P636" s="17" t="str">
        <f aca="false">INDEX(Accounts!$K$5:$K$336,MATCH(B636,Accounts!$A$5:$A$336,0))</f>
        <v>Financial Services</v>
      </c>
      <c r="Q636" s="17" t="str">
        <f aca="false">INDEX(Accounts!$D$5:$D$336,MATCH(B636,Accounts!$A$5:$A$336,0))</f>
        <v>Priority</v>
      </c>
      <c r="R636" s="7" t="n">
        <f aca="false">INDEX(Inputs!$B$11:$B$16,MATCH(E636,Inputs!$A$11:$A$16,0))</f>
        <v>100</v>
      </c>
      <c r="S636" s="27" t="n">
        <f aca="false">IF(F636="",0,F636)*R636/100</f>
        <v>3833000</v>
      </c>
      <c r="T636" s="7" t="n">
        <f aca="false">Inputs!$B$4-J636</f>
        <v>329</v>
      </c>
      <c r="U636" s="7" t="n">
        <f aca="false">IF(OR(F636="",F636=0),1,0)</f>
        <v>0</v>
      </c>
      <c r="V636" s="7" t="n">
        <f aca="false">IF(K636="",1,0)</f>
        <v>0</v>
      </c>
      <c r="W636" s="7" t="n">
        <f aca="false">IF(AND(O636=1,K636&lt;&gt;"",COUNTIFS(Owners!$A$5:$A$32,K636,Owners!$E$5:$E$32,"No")&gt;0),1,0)</f>
        <v>0</v>
      </c>
      <c r="X636" s="7" t="n">
        <f aca="false">IF(AND(O636=1,I636&lt;Inputs!$B$4),1,0)</f>
        <v>0</v>
      </c>
      <c r="Y636" s="7" t="n">
        <f aca="false">IF(AND(O636=1,T636&gt;Inputs!$B$5),1,0)</f>
        <v>0</v>
      </c>
      <c r="Z636" s="7" t="n">
        <f aca="false">IF(AND(O636=1,G636&lt;&gt;R636),1,0)</f>
        <v>0</v>
      </c>
      <c r="AA636" s="7" t="n">
        <f aca="false">IF(AND(O636=1,M636=""),1,0)</f>
        <v>0</v>
      </c>
      <c r="AB636" s="7" t="n">
        <f aca="false">IF(AND(E636="Closed Lost",N636=""),1,0)</f>
        <v>0</v>
      </c>
      <c r="AC636" s="7" t="n">
        <f aca="false">SUM(U636:AB636)</f>
        <v>0</v>
      </c>
      <c r="AD636" s="7" t="n">
        <f aca="false">IF(AC636=0,1,0)</f>
        <v>1</v>
      </c>
      <c r="AE636" s="7" t="n">
        <f aca="false">IF(AND(O636=1,I636&gt;=Inputs!$B$6,I636&lt;=Inputs!$B$7),1,0)</f>
        <v>0</v>
      </c>
      <c r="AF636" s="7" t="n">
        <f aca="false">IF(AND(E636="Closed Won",I636&gt;=Inputs!$B$6,I636&lt;=Inputs!$B$4),1,0)</f>
        <v>0</v>
      </c>
      <c r="AG636" s="7" t="n">
        <f aca="false">IF(AND(O636=0,I636&gt;Inputs!$B$4-Inputs!$B$8,I636&lt;=Inputs!$B$4),1,0)</f>
        <v>1</v>
      </c>
      <c r="AH636" s="7" t="n">
        <f aca="false">I636-H636</f>
        <v>74</v>
      </c>
    </row>
    <row r="637" customFormat="false" ht="15" hidden="false" customHeight="false" outlineLevel="0" collapsed="false">
      <c r="A637" s="16" t="s">
        <v>1969</v>
      </c>
      <c r="B637" s="16" t="s">
        <v>95</v>
      </c>
      <c r="C637" s="16" t="s">
        <v>1970</v>
      </c>
      <c r="D637" s="16" t="s">
        <v>165</v>
      </c>
      <c r="E637" s="16" t="s">
        <v>527</v>
      </c>
      <c r="F637" s="26" t="n">
        <v>4227000</v>
      </c>
      <c r="G637" s="25" t="n">
        <v>25</v>
      </c>
      <c r="H637" s="22" t="n">
        <v>46241</v>
      </c>
      <c r="I637" s="22" t="n">
        <v>46487</v>
      </c>
      <c r="J637" s="22" t="n">
        <v>46268</v>
      </c>
      <c r="K637" s="16" t="s">
        <v>596</v>
      </c>
      <c r="L637" s="16" t="s">
        <v>584</v>
      </c>
      <c r="M637" s="16" t="s">
        <v>569</v>
      </c>
      <c r="N637" s="16"/>
      <c r="O637" s="7" t="n">
        <f aca="false">IF(OR(E637="Closed Won",E637="Closed Lost"),0,1)</f>
        <v>1</v>
      </c>
      <c r="P637" s="17" t="str">
        <f aca="false">INDEX(Accounts!$K$5:$K$336,MATCH(B637,Accounts!$A$5:$A$336,0))</f>
        <v>Energy &amp; Resources</v>
      </c>
      <c r="Q637" s="17" t="str">
        <f aca="false">INDEX(Accounts!$D$5:$D$336,MATCH(B637,Accounts!$A$5:$A$336,0))</f>
        <v>Priority</v>
      </c>
      <c r="R637" s="7" t="n">
        <f aca="false">INDEX(Inputs!$B$11:$B$16,MATCH(E637,Inputs!$A$11:$A$16,0))</f>
        <v>25</v>
      </c>
      <c r="S637" s="27" t="n">
        <f aca="false">IF(F637="",0,F637)*R637/100</f>
        <v>1056750</v>
      </c>
      <c r="T637" s="7" t="n">
        <f aca="false">Inputs!$B$4-J637</f>
        <v>46</v>
      </c>
      <c r="U637" s="7" t="n">
        <f aca="false">IF(OR(F637="",F637=0),1,0)</f>
        <v>0</v>
      </c>
      <c r="V637" s="7" t="n">
        <f aca="false">IF(K637="",1,0)</f>
        <v>0</v>
      </c>
      <c r="W637" s="7" t="n">
        <f aca="false">IF(AND(O637=1,K637&lt;&gt;"",COUNTIFS(Owners!$A$5:$A$32,K637,Owners!$E$5:$E$32,"No")&gt;0),1,0)</f>
        <v>0</v>
      </c>
      <c r="X637" s="7" t="n">
        <f aca="false">IF(AND(O637=1,I637&lt;Inputs!$B$4),1,0)</f>
        <v>0</v>
      </c>
      <c r="Y637" s="7" t="n">
        <f aca="false">IF(AND(O637=1,T637&gt;Inputs!$B$5),1,0)</f>
        <v>0</v>
      </c>
      <c r="Z637" s="7" t="n">
        <f aca="false">IF(AND(O637=1,G637&lt;&gt;R637),1,0)</f>
        <v>0</v>
      </c>
      <c r="AA637" s="7" t="n">
        <f aca="false">IF(AND(O637=1,M637=""),1,0)</f>
        <v>0</v>
      </c>
      <c r="AB637" s="7" t="n">
        <f aca="false">IF(AND(E637="Closed Lost",N637=""),1,0)</f>
        <v>0</v>
      </c>
      <c r="AC637" s="7" t="n">
        <f aca="false">SUM(U637:AB637)</f>
        <v>0</v>
      </c>
      <c r="AD637" s="7" t="n">
        <f aca="false">IF(AC637=0,1,0)</f>
        <v>1</v>
      </c>
      <c r="AE637" s="7" t="n">
        <f aca="false">IF(AND(O637=1,I637&gt;=Inputs!$B$6,I637&lt;=Inputs!$B$7),1,0)</f>
        <v>1</v>
      </c>
      <c r="AF637" s="7" t="n">
        <f aca="false">IF(AND(E637="Closed Won",I637&gt;=Inputs!$B$6,I637&lt;=Inputs!$B$4),1,0)</f>
        <v>0</v>
      </c>
      <c r="AG637" s="7" t="n">
        <f aca="false">IF(AND(O637=0,I637&gt;Inputs!$B$4-Inputs!$B$8,I637&lt;=Inputs!$B$4),1,0)</f>
        <v>0</v>
      </c>
      <c r="AH637" s="7" t="n">
        <f aca="false">I637-H637</f>
        <v>246</v>
      </c>
    </row>
    <row r="638" customFormat="false" ht="15" hidden="false" customHeight="false" outlineLevel="0" collapsed="false">
      <c r="A638" s="16" t="s">
        <v>1971</v>
      </c>
      <c r="B638" s="16" t="s">
        <v>1028</v>
      </c>
      <c r="C638" s="16" t="s">
        <v>1972</v>
      </c>
      <c r="D638" s="16" t="s">
        <v>162</v>
      </c>
      <c r="E638" s="16" t="s">
        <v>531</v>
      </c>
      <c r="F638" s="26" t="n">
        <v>10264000</v>
      </c>
      <c r="G638" s="25" t="n">
        <v>0</v>
      </c>
      <c r="H638" s="22" t="n">
        <v>46089</v>
      </c>
      <c r="I638" s="22" t="n">
        <v>46172</v>
      </c>
      <c r="J638" s="22" t="n">
        <v>46172</v>
      </c>
      <c r="K638" s="16" t="s">
        <v>600</v>
      </c>
      <c r="L638" s="16" t="s">
        <v>574</v>
      </c>
      <c r="M638" s="16"/>
      <c r="N638" s="16" t="s">
        <v>597</v>
      </c>
      <c r="O638" s="7" t="n">
        <f aca="false">IF(OR(E638="Closed Won",E638="Closed Lost"),0,1)</f>
        <v>0</v>
      </c>
      <c r="P638" s="17" t="str">
        <f aca="false">INDEX(Accounts!$K$5:$K$336,MATCH(B638,Accounts!$A$5:$A$336,0))</f>
        <v>Financial Services</v>
      </c>
      <c r="Q638" s="17" t="str">
        <f aca="false">INDEX(Accounts!$D$5:$D$336,MATCH(B638,Accounts!$A$5:$A$336,0))</f>
        <v>Key</v>
      </c>
      <c r="R638" s="7" t="n">
        <f aca="false">INDEX(Inputs!$B$11:$B$16,MATCH(E638,Inputs!$A$11:$A$16,0))</f>
        <v>0</v>
      </c>
      <c r="S638" s="27" t="n">
        <f aca="false">IF(F638="",0,F638)*R638/100</f>
        <v>0</v>
      </c>
      <c r="T638" s="7" t="n">
        <f aca="false">Inputs!$B$4-J638</f>
        <v>142</v>
      </c>
      <c r="U638" s="7" t="n">
        <f aca="false">IF(OR(F638="",F638=0),1,0)</f>
        <v>0</v>
      </c>
      <c r="V638" s="7" t="n">
        <f aca="false">IF(K638="",1,0)</f>
        <v>0</v>
      </c>
      <c r="W638" s="7" t="n">
        <f aca="false">IF(AND(O638=1,K638&lt;&gt;"",COUNTIFS(Owners!$A$5:$A$32,K638,Owners!$E$5:$E$32,"No")&gt;0),1,0)</f>
        <v>0</v>
      </c>
      <c r="X638" s="7" t="n">
        <f aca="false">IF(AND(O638=1,I638&lt;Inputs!$B$4),1,0)</f>
        <v>0</v>
      </c>
      <c r="Y638" s="7" t="n">
        <f aca="false">IF(AND(O638=1,T638&gt;Inputs!$B$5),1,0)</f>
        <v>0</v>
      </c>
      <c r="Z638" s="7" t="n">
        <f aca="false">IF(AND(O638=1,G638&lt;&gt;R638),1,0)</f>
        <v>0</v>
      </c>
      <c r="AA638" s="7" t="n">
        <f aca="false">IF(AND(O638=1,M638=""),1,0)</f>
        <v>0</v>
      </c>
      <c r="AB638" s="7" t="n">
        <f aca="false">IF(AND(E638="Closed Lost",N638=""),1,0)</f>
        <v>0</v>
      </c>
      <c r="AC638" s="7" t="n">
        <f aca="false">SUM(U638:AB638)</f>
        <v>0</v>
      </c>
      <c r="AD638" s="7" t="n">
        <f aca="false">IF(AC638=0,1,0)</f>
        <v>1</v>
      </c>
      <c r="AE638" s="7" t="n">
        <f aca="false">IF(AND(O638=1,I638&gt;=Inputs!$B$6,I638&lt;=Inputs!$B$7),1,0)</f>
        <v>0</v>
      </c>
      <c r="AF638" s="7" t="n">
        <f aca="false">IF(AND(E638="Closed Won",I638&gt;=Inputs!$B$6,I638&lt;=Inputs!$B$4),1,0)</f>
        <v>0</v>
      </c>
      <c r="AG638" s="7" t="n">
        <f aca="false">IF(AND(O638=0,I638&gt;Inputs!$B$4-Inputs!$B$8,I638&lt;=Inputs!$B$4),1,0)</f>
        <v>1</v>
      </c>
      <c r="AH638" s="7" t="n">
        <f aca="false">I638-H638</f>
        <v>83</v>
      </c>
    </row>
    <row r="639" customFormat="false" ht="15" hidden="false" customHeight="false" outlineLevel="0" collapsed="false">
      <c r="A639" s="16" t="s">
        <v>1973</v>
      </c>
      <c r="B639" s="16" t="s">
        <v>88</v>
      </c>
      <c r="C639" s="16" t="s">
        <v>1974</v>
      </c>
      <c r="D639" s="16" t="s">
        <v>162</v>
      </c>
      <c r="E639" s="16" t="s">
        <v>527</v>
      </c>
      <c r="F639" s="26" t="n">
        <v>43748000</v>
      </c>
      <c r="G639" s="25" t="n">
        <v>25</v>
      </c>
      <c r="H639" s="22" t="n">
        <v>46132</v>
      </c>
      <c r="I639" s="22" t="n">
        <v>46490</v>
      </c>
      <c r="J639" s="22" t="n">
        <v>46302</v>
      </c>
      <c r="K639" s="16" t="s">
        <v>596</v>
      </c>
      <c r="L639" s="16" t="s">
        <v>568</v>
      </c>
      <c r="M639" s="16" t="s">
        <v>619</v>
      </c>
      <c r="N639" s="16"/>
      <c r="O639" s="7" t="n">
        <f aca="false">IF(OR(E639="Closed Won",E639="Closed Lost"),0,1)</f>
        <v>1</v>
      </c>
      <c r="P639" s="17" t="str">
        <f aca="false">INDEX(Accounts!$K$5:$K$336,MATCH(B639,Accounts!$A$5:$A$336,0))</f>
        <v>Agribusiness</v>
      </c>
      <c r="Q639" s="17" t="str">
        <f aca="false">INDEX(Accounts!$D$5:$D$336,MATCH(B639,Accounts!$A$5:$A$336,0))</f>
        <v>Priority</v>
      </c>
      <c r="R639" s="7" t="n">
        <f aca="false">INDEX(Inputs!$B$11:$B$16,MATCH(E639,Inputs!$A$11:$A$16,0))</f>
        <v>25</v>
      </c>
      <c r="S639" s="27" t="n">
        <f aca="false">IF(F639="",0,F639)*R639/100</f>
        <v>10937000</v>
      </c>
      <c r="T639" s="7" t="n">
        <f aca="false">Inputs!$B$4-J639</f>
        <v>12</v>
      </c>
      <c r="U639" s="7" t="n">
        <f aca="false">IF(OR(F639="",F639=0),1,0)</f>
        <v>0</v>
      </c>
      <c r="V639" s="7" t="n">
        <f aca="false">IF(K639="",1,0)</f>
        <v>0</v>
      </c>
      <c r="W639" s="7" t="n">
        <f aca="false">IF(AND(O639=1,K639&lt;&gt;"",COUNTIFS(Owners!$A$5:$A$32,K639,Owners!$E$5:$E$32,"No")&gt;0),1,0)</f>
        <v>0</v>
      </c>
      <c r="X639" s="7" t="n">
        <f aca="false">IF(AND(O639=1,I639&lt;Inputs!$B$4),1,0)</f>
        <v>0</v>
      </c>
      <c r="Y639" s="7" t="n">
        <f aca="false">IF(AND(O639=1,T639&gt;Inputs!$B$5),1,0)</f>
        <v>0</v>
      </c>
      <c r="Z639" s="7" t="n">
        <f aca="false">IF(AND(O639=1,G639&lt;&gt;R639),1,0)</f>
        <v>0</v>
      </c>
      <c r="AA639" s="7" t="n">
        <f aca="false">IF(AND(O639=1,M639=""),1,0)</f>
        <v>0</v>
      </c>
      <c r="AB639" s="7" t="n">
        <f aca="false">IF(AND(E639="Closed Lost",N639=""),1,0)</f>
        <v>0</v>
      </c>
      <c r="AC639" s="7" t="n">
        <f aca="false">SUM(U639:AB639)</f>
        <v>0</v>
      </c>
      <c r="AD639" s="7" t="n">
        <f aca="false">IF(AC639=0,1,0)</f>
        <v>1</v>
      </c>
      <c r="AE639" s="7" t="n">
        <f aca="false">IF(AND(O639=1,I639&gt;=Inputs!$B$6,I639&lt;=Inputs!$B$7),1,0)</f>
        <v>1</v>
      </c>
      <c r="AF639" s="7" t="n">
        <f aca="false">IF(AND(E639="Closed Won",I639&gt;=Inputs!$B$6,I639&lt;=Inputs!$B$4),1,0)</f>
        <v>0</v>
      </c>
      <c r="AG639" s="7" t="n">
        <f aca="false">IF(AND(O639=0,I639&gt;Inputs!$B$4-Inputs!$B$8,I639&lt;=Inputs!$B$4),1,0)</f>
        <v>0</v>
      </c>
      <c r="AH639" s="7" t="n">
        <f aca="false">I639-H639</f>
        <v>358</v>
      </c>
    </row>
    <row r="640" customFormat="false" ht="15" hidden="false" customHeight="false" outlineLevel="0" collapsed="false">
      <c r="A640" s="16" t="s">
        <v>1975</v>
      </c>
      <c r="B640" s="16" t="s">
        <v>77</v>
      </c>
      <c r="C640" s="16" t="s">
        <v>1976</v>
      </c>
      <c r="D640" s="16" t="s">
        <v>162</v>
      </c>
      <c r="E640" s="16" t="s">
        <v>531</v>
      </c>
      <c r="F640" s="26" t="n">
        <v>3158000</v>
      </c>
      <c r="G640" s="25" t="n">
        <v>0</v>
      </c>
      <c r="H640" s="22" t="n">
        <v>45987</v>
      </c>
      <c r="I640" s="22" t="n">
        <v>46100</v>
      </c>
      <c r="J640" s="22" t="n">
        <v>46100</v>
      </c>
      <c r="K640" s="16" t="s">
        <v>633</v>
      </c>
      <c r="L640" s="16" t="s">
        <v>584</v>
      </c>
      <c r="M640" s="16"/>
      <c r="N640" s="16" t="s">
        <v>579</v>
      </c>
      <c r="O640" s="7" t="n">
        <f aca="false">IF(OR(E640="Closed Won",E640="Closed Lost"),0,1)</f>
        <v>0</v>
      </c>
      <c r="P640" s="17" t="str">
        <f aca="false">INDEX(Accounts!$K$5:$K$336,MATCH(B640,Accounts!$A$5:$A$336,0))</f>
        <v>Financial Services</v>
      </c>
      <c r="Q640" s="17" t="str">
        <f aca="false">INDEX(Accounts!$D$5:$D$336,MATCH(B640,Accounts!$A$5:$A$336,0))</f>
        <v>Priority</v>
      </c>
      <c r="R640" s="7" t="n">
        <f aca="false">INDEX(Inputs!$B$11:$B$16,MATCH(E640,Inputs!$A$11:$A$16,0))</f>
        <v>0</v>
      </c>
      <c r="S640" s="27" t="n">
        <f aca="false">IF(F640="",0,F640)*R640/100</f>
        <v>0</v>
      </c>
      <c r="T640" s="7" t="n">
        <f aca="false">Inputs!$B$4-J640</f>
        <v>214</v>
      </c>
      <c r="U640" s="7" t="n">
        <f aca="false">IF(OR(F640="",F640=0),1,0)</f>
        <v>0</v>
      </c>
      <c r="V640" s="7" t="n">
        <f aca="false">IF(K640="",1,0)</f>
        <v>0</v>
      </c>
      <c r="W640" s="7" t="n">
        <f aca="false">IF(AND(O640=1,K640&lt;&gt;"",COUNTIFS(Owners!$A$5:$A$32,K640,Owners!$E$5:$E$32,"No")&gt;0),1,0)</f>
        <v>0</v>
      </c>
      <c r="X640" s="7" t="n">
        <f aca="false">IF(AND(O640=1,I640&lt;Inputs!$B$4),1,0)</f>
        <v>0</v>
      </c>
      <c r="Y640" s="7" t="n">
        <f aca="false">IF(AND(O640=1,T640&gt;Inputs!$B$5),1,0)</f>
        <v>0</v>
      </c>
      <c r="Z640" s="7" t="n">
        <f aca="false">IF(AND(O640=1,G640&lt;&gt;R640),1,0)</f>
        <v>0</v>
      </c>
      <c r="AA640" s="7" t="n">
        <f aca="false">IF(AND(O640=1,M640=""),1,0)</f>
        <v>0</v>
      </c>
      <c r="AB640" s="7" t="n">
        <f aca="false">IF(AND(E640="Closed Lost",N640=""),1,0)</f>
        <v>0</v>
      </c>
      <c r="AC640" s="7" t="n">
        <f aca="false">SUM(U640:AB640)</f>
        <v>0</v>
      </c>
      <c r="AD640" s="7" t="n">
        <f aca="false">IF(AC640=0,1,0)</f>
        <v>1</v>
      </c>
      <c r="AE640" s="7" t="n">
        <f aca="false">IF(AND(O640=1,I640&gt;=Inputs!$B$6,I640&lt;=Inputs!$B$7),1,0)</f>
        <v>0</v>
      </c>
      <c r="AF640" s="7" t="n">
        <f aca="false">IF(AND(E640="Closed Won",I640&gt;=Inputs!$B$6,I640&lt;=Inputs!$B$4),1,0)</f>
        <v>0</v>
      </c>
      <c r="AG640" s="7" t="n">
        <f aca="false">IF(AND(O640=0,I640&gt;Inputs!$B$4-Inputs!$B$8,I640&lt;=Inputs!$B$4),1,0)</f>
        <v>1</v>
      </c>
      <c r="AH640" s="7" t="n">
        <f aca="false">I640-H640</f>
        <v>113</v>
      </c>
    </row>
    <row r="641" customFormat="false" ht="15" hidden="false" customHeight="false" outlineLevel="0" collapsed="false">
      <c r="A641" s="16" t="s">
        <v>1977</v>
      </c>
      <c r="B641" s="16" t="s">
        <v>94</v>
      </c>
      <c r="C641" s="16" t="s">
        <v>1182</v>
      </c>
      <c r="D641" s="16" t="s">
        <v>167</v>
      </c>
      <c r="E641" s="16" t="s">
        <v>530</v>
      </c>
      <c r="F641" s="26" t="n">
        <v>15228000</v>
      </c>
      <c r="G641" s="25" t="n">
        <v>100</v>
      </c>
      <c r="H641" s="22" t="n">
        <v>46064</v>
      </c>
      <c r="I641" s="22" t="n">
        <v>46235</v>
      </c>
      <c r="J641" s="22" t="n">
        <v>46235</v>
      </c>
      <c r="K641" s="16" t="s">
        <v>640</v>
      </c>
      <c r="L641" s="16" t="s">
        <v>592</v>
      </c>
      <c r="M641" s="16"/>
      <c r="N641" s="16"/>
      <c r="O641" s="7" t="n">
        <f aca="false">IF(OR(E641="Closed Won",E641="Closed Lost"),0,1)</f>
        <v>0</v>
      </c>
      <c r="P641" s="17" t="str">
        <f aca="false">INDEX(Accounts!$K$5:$K$336,MATCH(B641,Accounts!$A$5:$A$336,0))</f>
        <v>Technology, Media &amp; Telecom</v>
      </c>
      <c r="Q641" s="17" t="str">
        <f aca="false">INDEX(Accounts!$D$5:$D$336,MATCH(B641,Accounts!$A$5:$A$336,0))</f>
        <v>Priority</v>
      </c>
      <c r="R641" s="7" t="n">
        <f aca="false">INDEX(Inputs!$B$11:$B$16,MATCH(E641,Inputs!$A$11:$A$16,0))</f>
        <v>100</v>
      </c>
      <c r="S641" s="27" t="n">
        <f aca="false">IF(F641="",0,F641)*R641/100</f>
        <v>15228000</v>
      </c>
      <c r="T641" s="7" t="n">
        <f aca="false">Inputs!$B$4-J641</f>
        <v>79</v>
      </c>
      <c r="U641" s="7" t="n">
        <f aca="false">IF(OR(F641="",F641=0),1,0)</f>
        <v>0</v>
      </c>
      <c r="V641" s="7" t="n">
        <f aca="false">IF(K641="",1,0)</f>
        <v>0</v>
      </c>
      <c r="W641" s="7" t="n">
        <f aca="false">IF(AND(O641=1,K641&lt;&gt;"",COUNTIFS(Owners!$A$5:$A$32,K641,Owners!$E$5:$E$32,"No")&gt;0),1,0)</f>
        <v>0</v>
      </c>
      <c r="X641" s="7" t="n">
        <f aca="false">IF(AND(O641=1,I641&lt;Inputs!$B$4),1,0)</f>
        <v>0</v>
      </c>
      <c r="Y641" s="7" t="n">
        <f aca="false">IF(AND(O641=1,T641&gt;Inputs!$B$5),1,0)</f>
        <v>0</v>
      </c>
      <c r="Z641" s="7" t="n">
        <f aca="false">IF(AND(O641=1,G641&lt;&gt;R641),1,0)</f>
        <v>0</v>
      </c>
      <c r="AA641" s="7" t="n">
        <f aca="false">IF(AND(O641=1,M641=""),1,0)</f>
        <v>0</v>
      </c>
      <c r="AB641" s="7" t="n">
        <f aca="false">IF(AND(E641="Closed Lost",N641=""),1,0)</f>
        <v>0</v>
      </c>
      <c r="AC641" s="7" t="n">
        <f aca="false">SUM(U641:AB641)</f>
        <v>0</v>
      </c>
      <c r="AD641" s="7" t="n">
        <f aca="false">IF(AC641=0,1,0)</f>
        <v>1</v>
      </c>
      <c r="AE641" s="7" t="n">
        <f aca="false">IF(AND(O641=1,I641&gt;=Inputs!$B$6,I641&lt;=Inputs!$B$7),1,0)</f>
        <v>0</v>
      </c>
      <c r="AF641" s="7" t="n">
        <f aca="false">IF(AND(E641="Closed Won",I641&gt;=Inputs!$B$6,I641&lt;=Inputs!$B$4),1,0)</f>
        <v>1</v>
      </c>
      <c r="AG641" s="7" t="n">
        <f aca="false">IF(AND(O641=0,I641&gt;Inputs!$B$4-Inputs!$B$8,I641&lt;=Inputs!$B$4),1,0)</f>
        <v>1</v>
      </c>
      <c r="AH641" s="7" t="n">
        <f aca="false">I641-H641</f>
        <v>171</v>
      </c>
    </row>
    <row r="642" customFormat="false" ht="15" hidden="false" customHeight="false" outlineLevel="0" collapsed="false">
      <c r="A642" s="16" t="s">
        <v>1978</v>
      </c>
      <c r="B642" s="16" t="s">
        <v>94</v>
      </c>
      <c r="C642" s="16" t="s">
        <v>1979</v>
      </c>
      <c r="D642" s="16" t="s">
        <v>165</v>
      </c>
      <c r="E642" s="16" t="s">
        <v>531</v>
      </c>
      <c r="F642" s="26" t="n">
        <v>86125000</v>
      </c>
      <c r="G642" s="25" t="n">
        <v>0</v>
      </c>
      <c r="H642" s="22" t="n">
        <v>46135</v>
      </c>
      <c r="I642" s="22" t="n">
        <v>46249</v>
      </c>
      <c r="J642" s="22" t="n">
        <v>46249</v>
      </c>
      <c r="K642" s="16" t="s">
        <v>637</v>
      </c>
      <c r="L642" s="16" t="s">
        <v>592</v>
      </c>
      <c r="M642" s="16"/>
      <c r="N642" s="16" t="s">
        <v>697</v>
      </c>
      <c r="O642" s="7" t="n">
        <f aca="false">IF(OR(E642="Closed Won",E642="Closed Lost"),0,1)</f>
        <v>0</v>
      </c>
      <c r="P642" s="17" t="str">
        <f aca="false">INDEX(Accounts!$K$5:$K$336,MATCH(B642,Accounts!$A$5:$A$336,0))</f>
        <v>Technology, Media &amp; Telecom</v>
      </c>
      <c r="Q642" s="17" t="str">
        <f aca="false">INDEX(Accounts!$D$5:$D$336,MATCH(B642,Accounts!$A$5:$A$336,0))</f>
        <v>Priority</v>
      </c>
      <c r="R642" s="7" t="n">
        <f aca="false">INDEX(Inputs!$B$11:$B$16,MATCH(E642,Inputs!$A$11:$A$16,0))</f>
        <v>0</v>
      </c>
      <c r="S642" s="27" t="n">
        <f aca="false">IF(F642="",0,F642)*R642/100</f>
        <v>0</v>
      </c>
      <c r="T642" s="7" t="n">
        <f aca="false">Inputs!$B$4-J642</f>
        <v>65</v>
      </c>
      <c r="U642" s="7" t="n">
        <f aca="false">IF(OR(F642="",F642=0),1,0)</f>
        <v>0</v>
      </c>
      <c r="V642" s="7" t="n">
        <f aca="false">IF(K642="",1,0)</f>
        <v>0</v>
      </c>
      <c r="W642" s="7" t="n">
        <f aca="false">IF(AND(O642=1,K642&lt;&gt;"",COUNTIFS(Owners!$A$5:$A$32,K642,Owners!$E$5:$E$32,"No")&gt;0),1,0)</f>
        <v>0</v>
      </c>
      <c r="X642" s="7" t="n">
        <f aca="false">IF(AND(O642=1,I642&lt;Inputs!$B$4),1,0)</f>
        <v>0</v>
      </c>
      <c r="Y642" s="7" t="n">
        <f aca="false">IF(AND(O642=1,T642&gt;Inputs!$B$5),1,0)</f>
        <v>0</v>
      </c>
      <c r="Z642" s="7" t="n">
        <f aca="false">IF(AND(O642=1,G642&lt;&gt;R642),1,0)</f>
        <v>0</v>
      </c>
      <c r="AA642" s="7" t="n">
        <f aca="false">IF(AND(O642=1,M642=""),1,0)</f>
        <v>0</v>
      </c>
      <c r="AB642" s="7" t="n">
        <f aca="false">IF(AND(E642="Closed Lost",N642=""),1,0)</f>
        <v>0</v>
      </c>
      <c r="AC642" s="7" t="n">
        <f aca="false">SUM(U642:AB642)</f>
        <v>0</v>
      </c>
      <c r="AD642" s="7" t="n">
        <f aca="false">IF(AC642=0,1,0)</f>
        <v>1</v>
      </c>
      <c r="AE642" s="7" t="n">
        <f aca="false">IF(AND(O642=1,I642&gt;=Inputs!$B$6,I642&lt;=Inputs!$B$7),1,0)</f>
        <v>0</v>
      </c>
      <c r="AF642" s="7" t="n">
        <f aca="false">IF(AND(E642="Closed Won",I642&gt;=Inputs!$B$6,I642&lt;=Inputs!$B$4),1,0)</f>
        <v>0</v>
      </c>
      <c r="AG642" s="7" t="n">
        <f aca="false">IF(AND(O642=0,I642&gt;Inputs!$B$4-Inputs!$B$8,I642&lt;=Inputs!$B$4),1,0)</f>
        <v>1</v>
      </c>
      <c r="AH642" s="7" t="n">
        <f aca="false">I642-H642</f>
        <v>114</v>
      </c>
    </row>
    <row r="643" customFormat="false" ht="15" hidden="false" customHeight="false" outlineLevel="0" collapsed="false">
      <c r="A643" s="16" t="s">
        <v>1980</v>
      </c>
      <c r="B643" s="16" t="s">
        <v>95</v>
      </c>
      <c r="C643" s="16" t="s">
        <v>1648</v>
      </c>
      <c r="D643" s="16" t="s">
        <v>167</v>
      </c>
      <c r="E643" s="16" t="s">
        <v>527</v>
      </c>
      <c r="F643" s="26" t="n">
        <v>0</v>
      </c>
      <c r="G643" s="25" t="n">
        <v>25</v>
      </c>
      <c r="H643" s="22" t="n">
        <v>46297</v>
      </c>
      <c r="I643" s="22" t="n">
        <v>46519</v>
      </c>
      <c r="J643" s="22" t="n">
        <v>46281</v>
      </c>
      <c r="K643" s="16" t="s">
        <v>596</v>
      </c>
      <c r="L643" s="16" t="s">
        <v>574</v>
      </c>
      <c r="M643" s="16" t="s">
        <v>575</v>
      </c>
      <c r="N643" s="16"/>
      <c r="O643" s="7" t="n">
        <f aca="false">IF(OR(E643="Closed Won",E643="Closed Lost"),0,1)</f>
        <v>1</v>
      </c>
      <c r="P643" s="17" t="str">
        <f aca="false">INDEX(Accounts!$K$5:$K$336,MATCH(B643,Accounts!$A$5:$A$336,0))</f>
        <v>Energy &amp; Resources</v>
      </c>
      <c r="Q643" s="17" t="str">
        <f aca="false">INDEX(Accounts!$D$5:$D$336,MATCH(B643,Accounts!$A$5:$A$336,0))</f>
        <v>Priority</v>
      </c>
      <c r="R643" s="7" t="n">
        <f aca="false">INDEX(Inputs!$B$11:$B$16,MATCH(E643,Inputs!$A$11:$A$16,0))</f>
        <v>25</v>
      </c>
      <c r="S643" s="27" t="n">
        <f aca="false">IF(F643="",0,F643)*R643/100</f>
        <v>0</v>
      </c>
      <c r="T643" s="7" t="n">
        <f aca="false">Inputs!$B$4-J643</f>
        <v>33</v>
      </c>
      <c r="U643" s="7" t="n">
        <f aca="false">IF(OR(F643="",F643=0),1,0)</f>
        <v>1</v>
      </c>
      <c r="V643" s="7" t="n">
        <f aca="false">IF(K643="",1,0)</f>
        <v>0</v>
      </c>
      <c r="W643" s="7" t="n">
        <f aca="false">IF(AND(O643=1,K643&lt;&gt;"",COUNTIFS(Owners!$A$5:$A$32,K643,Owners!$E$5:$E$32,"No")&gt;0),1,0)</f>
        <v>0</v>
      </c>
      <c r="X643" s="7" t="n">
        <f aca="false">IF(AND(O643=1,I643&lt;Inputs!$B$4),1,0)</f>
        <v>0</v>
      </c>
      <c r="Y643" s="7" t="n">
        <f aca="false">IF(AND(O643=1,T643&gt;Inputs!$B$5),1,0)</f>
        <v>0</v>
      </c>
      <c r="Z643" s="7" t="n">
        <f aca="false">IF(AND(O643=1,G643&lt;&gt;R643),1,0)</f>
        <v>0</v>
      </c>
      <c r="AA643" s="7" t="n">
        <f aca="false">IF(AND(O643=1,M643=""),1,0)</f>
        <v>0</v>
      </c>
      <c r="AB643" s="7" t="n">
        <f aca="false">IF(AND(E643="Closed Lost",N643=""),1,0)</f>
        <v>0</v>
      </c>
      <c r="AC643" s="7" t="n">
        <f aca="false">SUM(U643:AB643)</f>
        <v>1</v>
      </c>
      <c r="AD643" s="7" t="n">
        <f aca="false">IF(AC643=0,1,0)</f>
        <v>0</v>
      </c>
      <c r="AE643" s="7" t="n">
        <f aca="false">IF(AND(O643=1,I643&gt;=Inputs!$B$6,I643&lt;=Inputs!$B$7),1,0)</f>
        <v>1</v>
      </c>
      <c r="AF643" s="7" t="n">
        <f aca="false">IF(AND(E643="Closed Won",I643&gt;=Inputs!$B$6,I643&lt;=Inputs!$B$4),1,0)</f>
        <v>0</v>
      </c>
      <c r="AG643" s="7" t="n">
        <f aca="false">IF(AND(O643=0,I643&gt;Inputs!$B$4-Inputs!$B$8,I643&lt;=Inputs!$B$4),1,0)</f>
        <v>0</v>
      </c>
      <c r="AH643" s="7" t="n">
        <f aca="false">I643-H643</f>
        <v>222</v>
      </c>
    </row>
    <row r="644" customFormat="false" ht="15" hidden="false" customHeight="false" outlineLevel="0" collapsed="false">
      <c r="A644" s="16" t="s">
        <v>1981</v>
      </c>
      <c r="B644" s="16" t="s">
        <v>82</v>
      </c>
      <c r="C644" s="16" t="s">
        <v>895</v>
      </c>
      <c r="D644" s="16" t="s">
        <v>167</v>
      </c>
      <c r="E644" s="16" t="s">
        <v>529</v>
      </c>
      <c r="F644" s="26" t="n">
        <v>2665000</v>
      </c>
      <c r="G644" s="25" t="n">
        <v>75</v>
      </c>
      <c r="H644" s="22" t="n">
        <v>46300</v>
      </c>
      <c r="I644" s="22" t="n">
        <v>46290</v>
      </c>
      <c r="J644" s="22" t="n">
        <v>46282</v>
      </c>
      <c r="K644" s="16" t="s">
        <v>704</v>
      </c>
      <c r="L644" s="16" t="s">
        <v>568</v>
      </c>
      <c r="M644" s="16" t="s">
        <v>619</v>
      </c>
      <c r="N644" s="16"/>
      <c r="O644" s="7" t="n">
        <f aca="false">IF(OR(E644="Closed Won",E644="Closed Lost"),0,1)</f>
        <v>1</v>
      </c>
      <c r="P644" s="17" t="str">
        <f aca="false">INDEX(Accounts!$K$5:$K$336,MATCH(B644,Accounts!$A$5:$A$336,0))</f>
        <v>Public Sector &amp; Development</v>
      </c>
      <c r="Q644" s="17" t="str">
        <f aca="false">INDEX(Accounts!$D$5:$D$336,MATCH(B644,Accounts!$A$5:$A$336,0))</f>
        <v>Priority</v>
      </c>
      <c r="R644" s="7" t="n">
        <f aca="false">INDEX(Inputs!$B$11:$B$16,MATCH(E644,Inputs!$A$11:$A$16,0))</f>
        <v>75</v>
      </c>
      <c r="S644" s="27" t="n">
        <f aca="false">IF(F644="",0,F644)*R644/100</f>
        <v>1998750</v>
      </c>
      <c r="T644" s="7" t="n">
        <f aca="false">Inputs!$B$4-J644</f>
        <v>32</v>
      </c>
      <c r="U644" s="7" t="n">
        <f aca="false">IF(OR(F644="",F644=0),1,0)</f>
        <v>0</v>
      </c>
      <c r="V644" s="7" t="n">
        <f aca="false">IF(K644="",1,0)</f>
        <v>0</v>
      </c>
      <c r="W644" s="7" t="n">
        <f aca="false">IF(AND(O644=1,K644&lt;&gt;"",COUNTIFS(Owners!$A$5:$A$32,K644,Owners!$E$5:$E$32,"No")&gt;0),1,0)</f>
        <v>0</v>
      </c>
      <c r="X644" s="7" t="n">
        <f aca="false">IF(AND(O644=1,I644&lt;Inputs!$B$4),1,0)</f>
        <v>1</v>
      </c>
      <c r="Y644" s="7" t="n">
        <f aca="false">IF(AND(O644=1,T644&gt;Inputs!$B$5),1,0)</f>
        <v>0</v>
      </c>
      <c r="Z644" s="7" t="n">
        <f aca="false">IF(AND(O644=1,G644&lt;&gt;R644),1,0)</f>
        <v>0</v>
      </c>
      <c r="AA644" s="7" t="n">
        <f aca="false">IF(AND(O644=1,M644=""),1,0)</f>
        <v>0</v>
      </c>
      <c r="AB644" s="7" t="n">
        <f aca="false">IF(AND(E644="Closed Lost",N644=""),1,0)</f>
        <v>0</v>
      </c>
      <c r="AC644" s="7" t="n">
        <f aca="false">SUM(U644:AB644)</f>
        <v>1</v>
      </c>
      <c r="AD644" s="7" t="n">
        <f aca="false">IF(AC644=0,1,0)</f>
        <v>0</v>
      </c>
      <c r="AE644" s="7" t="n">
        <f aca="false">IF(AND(O644=1,I644&gt;=Inputs!$B$6,I644&lt;=Inputs!$B$7),1,0)</f>
        <v>1</v>
      </c>
      <c r="AF644" s="7" t="n">
        <f aca="false">IF(AND(E644="Closed Won",I644&gt;=Inputs!$B$6,I644&lt;=Inputs!$B$4),1,0)</f>
        <v>0</v>
      </c>
      <c r="AG644" s="7" t="n">
        <f aca="false">IF(AND(O644=0,I644&gt;Inputs!$B$4-Inputs!$B$8,I644&lt;=Inputs!$B$4),1,0)</f>
        <v>0</v>
      </c>
      <c r="AH644" s="7" t="n">
        <f aca="false">I644-H644</f>
        <v>-10</v>
      </c>
    </row>
    <row r="645" customFormat="false" ht="15" hidden="false" customHeight="false" outlineLevel="0" collapsed="false">
      <c r="A645" s="16" t="s">
        <v>1982</v>
      </c>
      <c r="B645" s="16" t="s">
        <v>833</v>
      </c>
      <c r="C645" s="16" t="s">
        <v>1983</v>
      </c>
      <c r="D645" s="16" t="s">
        <v>177</v>
      </c>
      <c r="E645" s="16" t="s">
        <v>531</v>
      </c>
      <c r="F645" s="26" t="n">
        <v>21366000</v>
      </c>
      <c r="G645" s="25" t="n">
        <v>0</v>
      </c>
      <c r="H645" s="22" t="n">
        <v>46030</v>
      </c>
      <c r="I645" s="22" t="n">
        <v>46214</v>
      </c>
      <c r="J645" s="22" t="n">
        <v>46214</v>
      </c>
      <c r="K645" s="16" t="s">
        <v>717</v>
      </c>
      <c r="L645" s="16" t="s">
        <v>568</v>
      </c>
      <c r="M645" s="16"/>
      <c r="N645" s="16" t="s">
        <v>597</v>
      </c>
      <c r="O645" s="7" t="n">
        <f aca="false">IF(OR(E645="Closed Won",E645="Closed Lost"),0,1)</f>
        <v>0</v>
      </c>
      <c r="P645" s="17" t="str">
        <f aca="false">INDEX(Accounts!$K$5:$K$336,MATCH(B645,Accounts!$A$5:$A$336,0))</f>
        <v>Agribusiness</v>
      </c>
      <c r="Q645" s="17" t="str">
        <f aca="false">INDEX(Accounts!$D$5:$D$336,MATCH(B645,Accounts!$A$5:$A$336,0))</f>
        <v>Standard</v>
      </c>
      <c r="R645" s="7" t="n">
        <f aca="false">INDEX(Inputs!$B$11:$B$16,MATCH(E645,Inputs!$A$11:$A$16,0))</f>
        <v>0</v>
      </c>
      <c r="S645" s="27" t="n">
        <f aca="false">IF(F645="",0,F645)*R645/100</f>
        <v>0</v>
      </c>
      <c r="T645" s="7" t="n">
        <f aca="false">Inputs!$B$4-J645</f>
        <v>100</v>
      </c>
      <c r="U645" s="7" t="n">
        <f aca="false">IF(OR(F645="",F645=0),1,0)</f>
        <v>0</v>
      </c>
      <c r="V645" s="7" t="n">
        <f aca="false">IF(K645="",1,0)</f>
        <v>0</v>
      </c>
      <c r="W645" s="7" t="n">
        <f aca="false">IF(AND(O645=1,K645&lt;&gt;"",COUNTIFS(Owners!$A$5:$A$32,K645,Owners!$E$5:$E$32,"No")&gt;0),1,0)</f>
        <v>0</v>
      </c>
      <c r="X645" s="7" t="n">
        <f aca="false">IF(AND(O645=1,I645&lt;Inputs!$B$4),1,0)</f>
        <v>0</v>
      </c>
      <c r="Y645" s="7" t="n">
        <f aca="false">IF(AND(O645=1,T645&gt;Inputs!$B$5),1,0)</f>
        <v>0</v>
      </c>
      <c r="Z645" s="7" t="n">
        <f aca="false">IF(AND(O645=1,G645&lt;&gt;R645),1,0)</f>
        <v>0</v>
      </c>
      <c r="AA645" s="7" t="n">
        <f aca="false">IF(AND(O645=1,M645=""),1,0)</f>
        <v>0</v>
      </c>
      <c r="AB645" s="7" t="n">
        <f aca="false">IF(AND(E645="Closed Lost",N645=""),1,0)</f>
        <v>0</v>
      </c>
      <c r="AC645" s="7" t="n">
        <f aca="false">SUM(U645:AB645)</f>
        <v>0</v>
      </c>
      <c r="AD645" s="7" t="n">
        <f aca="false">IF(AC645=0,1,0)</f>
        <v>1</v>
      </c>
      <c r="AE645" s="7" t="n">
        <f aca="false">IF(AND(O645=1,I645&gt;=Inputs!$B$6,I645&lt;=Inputs!$B$7),1,0)</f>
        <v>0</v>
      </c>
      <c r="AF645" s="7" t="n">
        <f aca="false">IF(AND(E645="Closed Won",I645&gt;=Inputs!$B$6,I645&lt;=Inputs!$B$4),1,0)</f>
        <v>0</v>
      </c>
      <c r="AG645" s="7" t="n">
        <f aca="false">IF(AND(O645=0,I645&gt;Inputs!$B$4-Inputs!$B$8,I645&lt;=Inputs!$B$4),1,0)</f>
        <v>1</v>
      </c>
      <c r="AH645" s="7" t="n">
        <f aca="false">I645-H645</f>
        <v>184</v>
      </c>
    </row>
    <row r="646" customFormat="false" ht="15" hidden="false" customHeight="false" outlineLevel="0" collapsed="false">
      <c r="A646" s="16" t="s">
        <v>1984</v>
      </c>
      <c r="B646" s="16" t="s">
        <v>365</v>
      </c>
      <c r="C646" s="16" t="s">
        <v>1985</v>
      </c>
      <c r="D646" s="16" t="s">
        <v>158</v>
      </c>
      <c r="E646" s="16" t="s">
        <v>530</v>
      </c>
      <c r="F646" s="26" t="n">
        <v>71594000</v>
      </c>
      <c r="G646" s="25" t="n">
        <v>100</v>
      </c>
      <c r="H646" s="22" t="n">
        <v>46050</v>
      </c>
      <c r="I646" s="22" t="n">
        <v>46206</v>
      </c>
      <c r="J646" s="22" t="n">
        <v>46206</v>
      </c>
      <c r="K646" s="16" t="s">
        <v>600</v>
      </c>
      <c r="L646" s="16" t="s">
        <v>568</v>
      </c>
      <c r="M646" s="16"/>
      <c r="N646" s="16"/>
      <c r="O646" s="7" t="n">
        <f aca="false">IF(OR(E646="Closed Won",E646="Closed Lost"),0,1)</f>
        <v>0</v>
      </c>
      <c r="P646" s="17" t="str">
        <f aca="false">INDEX(Accounts!$K$5:$K$336,MATCH(B646,Accounts!$A$5:$A$336,0))</f>
        <v>Energy &amp; Resources</v>
      </c>
      <c r="Q646" s="17" t="str">
        <f aca="false">INDEX(Accounts!$D$5:$D$336,MATCH(B646,Accounts!$A$5:$A$336,0))</f>
        <v>Key</v>
      </c>
      <c r="R646" s="7" t="n">
        <f aca="false">INDEX(Inputs!$B$11:$B$16,MATCH(E646,Inputs!$A$11:$A$16,0))</f>
        <v>100</v>
      </c>
      <c r="S646" s="27" t="n">
        <f aca="false">IF(F646="",0,F646)*R646/100</f>
        <v>71594000</v>
      </c>
      <c r="T646" s="7" t="n">
        <f aca="false">Inputs!$B$4-J646</f>
        <v>108</v>
      </c>
      <c r="U646" s="7" t="n">
        <f aca="false">IF(OR(F646="",F646=0),1,0)</f>
        <v>0</v>
      </c>
      <c r="V646" s="7" t="n">
        <f aca="false">IF(K646="",1,0)</f>
        <v>0</v>
      </c>
      <c r="W646" s="7" t="n">
        <f aca="false">IF(AND(O646=1,K646&lt;&gt;"",COUNTIFS(Owners!$A$5:$A$32,K646,Owners!$E$5:$E$32,"No")&gt;0),1,0)</f>
        <v>0</v>
      </c>
      <c r="X646" s="7" t="n">
        <f aca="false">IF(AND(O646=1,I646&lt;Inputs!$B$4),1,0)</f>
        <v>0</v>
      </c>
      <c r="Y646" s="7" t="n">
        <f aca="false">IF(AND(O646=1,T646&gt;Inputs!$B$5),1,0)</f>
        <v>0</v>
      </c>
      <c r="Z646" s="7" t="n">
        <f aca="false">IF(AND(O646=1,G646&lt;&gt;R646),1,0)</f>
        <v>0</v>
      </c>
      <c r="AA646" s="7" t="n">
        <f aca="false">IF(AND(O646=1,M646=""),1,0)</f>
        <v>0</v>
      </c>
      <c r="AB646" s="7" t="n">
        <f aca="false">IF(AND(E646="Closed Lost",N646=""),1,0)</f>
        <v>0</v>
      </c>
      <c r="AC646" s="7" t="n">
        <f aca="false">SUM(U646:AB646)</f>
        <v>0</v>
      </c>
      <c r="AD646" s="7" t="n">
        <f aca="false">IF(AC646=0,1,0)</f>
        <v>1</v>
      </c>
      <c r="AE646" s="7" t="n">
        <f aca="false">IF(AND(O646=1,I646&gt;=Inputs!$B$6,I646&lt;=Inputs!$B$7),1,0)</f>
        <v>0</v>
      </c>
      <c r="AF646" s="7" t="n">
        <f aca="false">IF(AND(E646="Closed Won",I646&gt;=Inputs!$B$6,I646&lt;=Inputs!$B$4),1,0)</f>
        <v>1</v>
      </c>
      <c r="AG646" s="7" t="n">
        <f aca="false">IF(AND(O646=0,I646&gt;Inputs!$B$4-Inputs!$B$8,I646&lt;=Inputs!$B$4),1,0)</f>
        <v>1</v>
      </c>
      <c r="AH646" s="7" t="n">
        <f aca="false">I646-H646</f>
        <v>156</v>
      </c>
    </row>
    <row r="647" customFormat="false" ht="15" hidden="false" customHeight="false" outlineLevel="0" collapsed="false">
      <c r="A647" s="16" t="s">
        <v>1986</v>
      </c>
      <c r="B647" s="16" t="s">
        <v>84</v>
      </c>
      <c r="C647" s="16" t="s">
        <v>1987</v>
      </c>
      <c r="D647" s="16" t="s">
        <v>167</v>
      </c>
      <c r="E647" s="16" t="s">
        <v>531</v>
      </c>
      <c r="F647" s="26" t="n">
        <v>990000</v>
      </c>
      <c r="G647" s="25" t="n">
        <v>0</v>
      </c>
      <c r="H647" s="22" t="n">
        <v>46143</v>
      </c>
      <c r="I647" s="22" t="n">
        <v>46298</v>
      </c>
      <c r="J647" s="22" t="n">
        <v>46298</v>
      </c>
      <c r="K647" s="16" t="s">
        <v>633</v>
      </c>
      <c r="L647" s="16" t="s">
        <v>568</v>
      </c>
      <c r="M647" s="16"/>
      <c r="N647" s="16" t="s">
        <v>713</v>
      </c>
      <c r="O647" s="7" t="n">
        <f aca="false">IF(OR(E647="Closed Won",E647="Closed Lost"),0,1)</f>
        <v>0</v>
      </c>
      <c r="P647" s="17" t="str">
        <f aca="false">INDEX(Accounts!$K$5:$K$336,MATCH(B647,Accounts!$A$5:$A$336,0))</f>
        <v>Consumer &amp; Retail</v>
      </c>
      <c r="Q647" s="17" t="str">
        <f aca="false">INDEX(Accounts!$D$5:$D$336,MATCH(B647,Accounts!$A$5:$A$336,0))</f>
        <v>Priority</v>
      </c>
      <c r="R647" s="7" t="n">
        <f aca="false">INDEX(Inputs!$B$11:$B$16,MATCH(E647,Inputs!$A$11:$A$16,0))</f>
        <v>0</v>
      </c>
      <c r="S647" s="27" t="n">
        <f aca="false">IF(F647="",0,F647)*R647/100</f>
        <v>0</v>
      </c>
      <c r="T647" s="7" t="n">
        <f aca="false">Inputs!$B$4-J647</f>
        <v>16</v>
      </c>
      <c r="U647" s="7" t="n">
        <f aca="false">IF(OR(F647="",F647=0),1,0)</f>
        <v>0</v>
      </c>
      <c r="V647" s="7" t="n">
        <f aca="false">IF(K647="",1,0)</f>
        <v>0</v>
      </c>
      <c r="W647" s="7" t="n">
        <f aca="false">IF(AND(O647=1,K647&lt;&gt;"",COUNTIFS(Owners!$A$5:$A$32,K647,Owners!$E$5:$E$32,"No")&gt;0),1,0)</f>
        <v>0</v>
      </c>
      <c r="X647" s="7" t="n">
        <f aca="false">IF(AND(O647=1,I647&lt;Inputs!$B$4),1,0)</f>
        <v>0</v>
      </c>
      <c r="Y647" s="7" t="n">
        <f aca="false">IF(AND(O647=1,T647&gt;Inputs!$B$5),1,0)</f>
        <v>0</v>
      </c>
      <c r="Z647" s="7" t="n">
        <f aca="false">IF(AND(O647=1,G647&lt;&gt;R647),1,0)</f>
        <v>0</v>
      </c>
      <c r="AA647" s="7" t="n">
        <f aca="false">IF(AND(O647=1,M647=""),1,0)</f>
        <v>0</v>
      </c>
      <c r="AB647" s="7" t="n">
        <f aca="false">IF(AND(E647="Closed Lost",N647=""),1,0)</f>
        <v>0</v>
      </c>
      <c r="AC647" s="7" t="n">
        <f aca="false">SUM(U647:AB647)</f>
        <v>0</v>
      </c>
      <c r="AD647" s="7" t="n">
        <f aca="false">IF(AC647=0,1,0)</f>
        <v>1</v>
      </c>
      <c r="AE647" s="7" t="n">
        <f aca="false">IF(AND(O647=1,I647&gt;=Inputs!$B$6,I647&lt;=Inputs!$B$7),1,0)</f>
        <v>0</v>
      </c>
      <c r="AF647" s="7" t="n">
        <f aca="false">IF(AND(E647="Closed Won",I647&gt;=Inputs!$B$6,I647&lt;=Inputs!$B$4),1,0)</f>
        <v>0</v>
      </c>
      <c r="AG647" s="7" t="n">
        <f aca="false">IF(AND(O647=0,I647&gt;Inputs!$B$4-Inputs!$B$8,I647&lt;=Inputs!$B$4),1,0)</f>
        <v>1</v>
      </c>
      <c r="AH647" s="7" t="n">
        <f aca="false">I647-H647</f>
        <v>155</v>
      </c>
    </row>
    <row r="648" customFormat="false" ht="15" hidden="false" customHeight="false" outlineLevel="0" collapsed="false">
      <c r="A648" s="16" t="s">
        <v>1988</v>
      </c>
      <c r="B648" s="16" t="s">
        <v>1492</v>
      </c>
      <c r="C648" s="16" t="s">
        <v>1989</v>
      </c>
      <c r="D648" s="16" t="s">
        <v>165</v>
      </c>
      <c r="E648" s="16" t="s">
        <v>528</v>
      </c>
      <c r="F648" s="26" t="n">
        <v>4897000</v>
      </c>
      <c r="G648" s="25" t="n">
        <v>50</v>
      </c>
      <c r="H648" s="22" t="n">
        <v>46232</v>
      </c>
      <c r="I648" s="22" t="n">
        <v>46405</v>
      </c>
      <c r="J648" s="22" t="n">
        <v>46144</v>
      </c>
      <c r="K648" s="16" t="s">
        <v>880</v>
      </c>
      <c r="L648" s="16" t="s">
        <v>609</v>
      </c>
      <c r="M648" s="16" t="s">
        <v>619</v>
      </c>
      <c r="N648" s="16"/>
      <c r="O648" s="7" t="n">
        <f aca="false">IF(OR(E648="Closed Won",E648="Closed Lost"),0,1)</f>
        <v>1</v>
      </c>
      <c r="P648" s="17" t="str">
        <f aca="false">INDEX(Accounts!$K$5:$K$336,MATCH(B648,Accounts!$A$5:$A$336,0))</f>
        <v>Energy &amp; Resources</v>
      </c>
      <c r="Q648" s="17" t="str">
        <f aca="false">INDEX(Accounts!$D$5:$D$336,MATCH(B648,Accounts!$A$5:$A$336,0))</f>
        <v>Key</v>
      </c>
      <c r="R648" s="7" t="n">
        <f aca="false">INDEX(Inputs!$B$11:$B$16,MATCH(E648,Inputs!$A$11:$A$16,0))</f>
        <v>50</v>
      </c>
      <c r="S648" s="27" t="n">
        <f aca="false">IF(F648="",0,F648)*R648/100</f>
        <v>2448500</v>
      </c>
      <c r="T648" s="7" t="n">
        <f aca="false">Inputs!$B$4-J648</f>
        <v>170</v>
      </c>
      <c r="U648" s="7" t="n">
        <f aca="false">IF(OR(F648="",F648=0),1,0)</f>
        <v>0</v>
      </c>
      <c r="V648" s="7" t="n">
        <f aca="false">IF(K648="",1,0)</f>
        <v>0</v>
      </c>
      <c r="W648" s="7" t="n">
        <f aca="false">IF(AND(O648=1,K648&lt;&gt;"",COUNTIFS(Owners!$A$5:$A$32,K648,Owners!$E$5:$E$32,"No")&gt;0),1,0)</f>
        <v>1</v>
      </c>
      <c r="X648" s="7" t="n">
        <f aca="false">IF(AND(O648=1,I648&lt;Inputs!$B$4),1,0)</f>
        <v>0</v>
      </c>
      <c r="Y648" s="7" t="n">
        <f aca="false">IF(AND(O648=1,T648&gt;Inputs!$B$5),1,0)</f>
        <v>1</v>
      </c>
      <c r="Z648" s="7" t="n">
        <f aca="false">IF(AND(O648=1,G648&lt;&gt;R648),1,0)</f>
        <v>0</v>
      </c>
      <c r="AA648" s="7" t="n">
        <f aca="false">IF(AND(O648=1,M648=""),1,0)</f>
        <v>0</v>
      </c>
      <c r="AB648" s="7" t="n">
        <f aca="false">IF(AND(E648="Closed Lost",N648=""),1,0)</f>
        <v>0</v>
      </c>
      <c r="AC648" s="7" t="n">
        <f aca="false">SUM(U648:AB648)</f>
        <v>2</v>
      </c>
      <c r="AD648" s="7" t="n">
        <f aca="false">IF(AC648=0,1,0)</f>
        <v>0</v>
      </c>
      <c r="AE648" s="7" t="n">
        <f aca="false">IF(AND(O648=1,I648&gt;=Inputs!$B$6,I648&lt;=Inputs!$B$7),1,0)</f>
        <v>1</v>
      </c>
      <c r="AF648" s="7" t="n">
        <f aca="false">IF(AND(E648="Closed Won",I648&gt;=Inputs!$B$6,I648&lt;=Inputs!$B$4),1,0)</f>
        <v>0</v>
      </c>
      <c r="AG648" s="7" t="n">
        <f aca="false">IF(AND(O648=0,I648&gt;Inputs!$B$4-Inputs!$B$8,I648&lt;=Inputs!$B$4),1,0)</f>
        <v>0</v>
      </c>
      <c r="AH648" s="7" t="n">
        <f aca="false">I648-H648</f>
        <v>173</v>
      </c>
    </row>
    <row r="649" customFormat="false" ht="15" hidden="false" customHeight="false" outlineLevel="0" collapsed="false">
      <c r="A649" s="16" t="s">
        <v>1990</v>
      </c>
      <c r="B649" s="16" t="s">
        <v>1092</v>
      </c>
      <c r="C649" s="16" t="s">
        <v>1991</v>
      </c>
      <c r="D649" s="16" t="s">
        <v>162</v>
      </c>
      <c r="E649" s="16" t="s">
        <v>528</v>
      </c>
      <c r="F649" s="26" t="n">
        <v>19806000</v>
      </c>
      <c r="G649" s="25" t="n">
        <v>50</v>
      </c>
      <c r="H649" s="22" t="n">
        <v>46187</v>
      </c>
      <c r="I649" s="22" t="n">
        <v>46370</v>
      </c>
      <c r="J649" s="22" t="n">
        <v>46290</v>
      </c>
      <c r="K649" s="16" t="s">
        <v>651</v>
      </c>
      <c r="L649" s="16" t="s">
        <v>500</v>
      </c>
      <c r="M649" s="16" t="s">
        <v>593</v>
      </c>
      <c r="N649" s="16"/>
      <c r="O649" s="7" t="n">
        <f aca="false">IF(OR(E649="Closed Won",E649="Closed Lost"),0,1)</f>
        <v>1</v>
      </c>
      <c r="P649" s="17" t="str">
        <f aca="false">INDEX(Accounts!$K$5:$K$336,MATCH(B649,Accounts!$A$5:$A$336,0))</f>
        <v>Health</v>
      </c>
      <c r="Q649" s="17" t="str">
        <f aca="false">INDEX(Accounts!$D$5:$D$336,MATCH(B649,Accounts!$A$5:$A$336,0))</f>
        <v>Standard</v>
      </c>
      <c r="R649" s="7" t="n">
        <f aca="false">INDEX(Inputs!$B$11:$B$16,MATCH(E649,Inputs!$A$11:$A$16,0))</f>
        <v>50</v>
      </c>
      <c r="S649" s="27" t="n">
        <f aca="false">IF(F649="",0,F649)*R649/100</f>
        <v>9903000</v>
      </c>
      <c r="T649" s="7" t="n">
        <f aca="false">Inputs!$B$4-J649</f>
        <v>24</v>
      </c>
      <c r="U649" s="7" t="n">
        <f aca="false">IF(OR(F649="",F649=0),1,0)</f>
        <v>0</v>
      </c>
      <c r="V649" s="7" t="n">
        <f aca="false">IF(K649="",1,0)</f>
        <v>0</v>
      </c>
      <c r="W649" s="7" t="n">
        <f aca="false">IF(AND(O649=1,K649&lt;&gt;"",COUNTIFS(Owners!$A$5:$A$32,K649,Owners!$E$5:$E$32,"No")&gt;0),1,0)</f>
        <v>0</v>
      </c>
      <c r="X649" s="7" t="n">
        <f aca="false">IF(AND(O649=1,I649&lt;Inputs!$B$4),1,0)</f>
        <v>0</v>
      </c>
      <c r="Y649" s="7" t="n">
        <f aca="false">IF(AND(O649=1,T649&gt;Inputs!$B$5),1,0)</f>
        <v>0</v>
      </c>
      <c r="Z649" s="7" t="n">
        <f aca="false">IF(AND(O649=1,G649&lt;&gt;R649),1,0)</f>
        <v>0</v>
      </c>
      <c r="AA649" s="7" t="n">
        <f aca="false">IF(AND(O649=1,M649=""),1,0)</f>
        <v>0</v>
      </c>
      <c r="AB649" s="7" t="n">
        <f aca="false">IF(AND(E649="Closed Lost",N649=""),1,0)</f>
        <v>0</v>
      </c>
      <c r="AC649" s="7" t="n">
        <f aca="false">SUM(U649:AB649)</f>
        <v>0</v>
      </c>
      <c r="AD649" s="7" t="n">
        <f aca="false">IF(AC649=0,1,0)</f>
        <v>1</v>
      </c>
      <c r="AE649" s="7" t="n">
        <f aca="false">IF(AND(O649=1,I649&gt;=Inputs!$B$6,I649&lt;=Inputs!$B$7),1,0)</f>
        <v>1</v>
      </c>
      <c r="AF649" s="7" t="n">
        <f aca="false">IF(AND(E649="Closed Won",I649&gt;=Inputs!$B$6,I649&lt;=Inputs!$B$4),1,0)</f>
        <v>0</v>
      </c>
      <c r="AG649" s="7" t="n">
        <f aca="false">IF(AND(O649=0,I649&gt;Inputs!$B$4-Inputs!$B$8,I649&lt;=Inputs!$B$4),1,0)</f>
        <v>0</v>
      </c>
      <c r="AH649" s="7" t="n">
        <f aca="false">I649-H649</f>
        <v>183</v>
      </c>
    </row>
    <row r="650" customFormat="false" ht="15" hidden="false" customHeight="false" outlineLevel="0" collapsed="false">
      <c r="A650" s="16" t="s">
        <v>1992</v>
      </c>
      <c r="B650" s="16" t="s">
        <v>399</v>
      </c>
      <c r="C650" s="16" t="s">
        <v>1993</v>
      </c>
      <c r="D650" s="16" t="s">
        <v>165</v>
      </c>
      <c r="E650" s="16" t="s">
        <v>530</v>
      </c>
      <c r="F650" s="26" t="n">
        <v>48040000</v>
      </c>
      <c r="G650" s="25" t="n">
        <v>100</v>
      </c>
      <c r="H650" s="22" t="n">
        <v>45933</v>
      </c>
      <c r="I650" s="22" t="n">
        <v>46027</v>
      </c>
      <c r="J650" s="22" t="n">
        <v>46027</v>
      </c>
      <c r="K650" s="16" t="s">
        <v>651</v>
      </c>
      <c r="L650" s="16" t="s">
        <v>584</v>
      </c>
      <c r="M650" s="16"/>
      <c r="N650" s="16"/>
      <c r="O650" s="7" t="n">
        <f aca="false">IF(OR(E650="Closed Won",E650="Closed Lost"),0,1)</f>
        <v>0</v>
      </c>
      <c r="P650" s="17" t="str">
        <f aca="false">INDEX(Accounts!$K$5:$K$336,MATCH(B650,Accounts!$A$5:$A$336,0))</f>
        <v>Technology, Media &amp; Telecom</v>
      </c>
      <c r="Q650" s="17" t="str">
        <f aca="false">INDEX(Accounts!$D$5:$D$336,MATCH(B650,Accounts!$A$5:$A$336,0))</f>
        <v>Standard</v>
      </c>
      <c r="R650" s="7" t="n">
        <f aca="false">INDEX(Inputs!$B$11:$B$16,MATCH(E650,Inputs!$A$11:$A$16,0))</f>
        <v>100</v>
      </c>
      <c r="S650" s="27" t="n">
        <f aca="false">IF(F650="",0,F650)*R650/100</f>
        <v>48040000</v>
      </c>
      <c r="T650" s="7" t="n">
        <f aca="false">Inputs!$B$4-J650</f>
        <v>287</v>
      </c>
      <c r="U650" s="7" t="n">
        <f aca="false">IF(OR(F650="",F650=0),1,0)</f>
        <v>0</v>
      </c>
      <c r="V650" s="7" t="n">
        <f aca="false">IF(K650="",1,0)</f>
        <v>0</v>
      </c>
      <c r="W650" s="7" t="n">
        <f aca="false">IF(AND(O650=1,K650&lt;&gt;"",COUNTIFS(Owners!$A$5:$A$32,K650,Owners!$E$5:$E$32,"No")&gt;0),1,0)</f>
        <v>0</v>
      </c>
      <c r="X650" s="7" t="n">
        <f aca="false">IF(AND(O650=1,I650&lt;Inputs!$B$4),1,0)</f>
        <v>0</v>
      </c>
      <c r="Y650" s="7" t="n">
        <f aca="false">IF(AND(O650=1,T650&gt;Inputs!$B$5),1,0)</f>
        <v>0</v>
      </c>
      <c r="Z650" s="7" t="n">
        <f aca="false">IF(AND(O650=1,G650&lt;&gt;R650),1,0)</f>
        <v>0</v>
      </c>
      <c r="AA650" s="7" t="n">
        <f aca="false">IF(AND(O650=1,M650=""),1,0)</f>
        <v>0</v>
      </c>
      <c r="AB650" s="7" t="n">
        <f aca="false">IF(AND(E650="Closed Lost",N650=""),1,0)</f>
        <v>0</v>
      </c>
      <c r="AC650" s="7" t="n">
        <f aca="false">SUM(U650:AB650)</f>
        <v>0</v>
      </c>
      <c r="AD650" s="7" t="n">
        <f aca="false">IF(AC650=0,1,0)</f>
        <v>1</v>
      </c>
      <c r="AE650" s="7" t="n">
        <f aca="false">IF(AND(O650=1,I650&gt;=Inputs!$B$6,I650&lt;=Inputs!$B$7),1,0)</f>
        <v>0</v>
      </c>
      <c r="AF650" s="7" t="n">
        <f aca="false">IF(AND(E650="Closed Won",I650&gt;=Inputs!$B$6,I650&lt;=Inputs!$B$4),1,0)</f>
        <v>0</v>
      </c>
      <c r="AG650" s="7" t="n">
        <f aca="false">IF(AND(O650=0,I650&gt;Inputs!$B$4-Inputs!$B$8,I650&lt;=Inputs!$B$4),1,0)</f>
        <v>1</v>
      </c>
      <c r="AH650" s="7" t="n">
        <f aca="false">I650-H650</f>
        <v>94</v>
      </c>
    </row>
    <row r="651" customFormat="false" ht="15" hidden="false" customHeight="false" outlineLevel="0" collapsed="false">
      <c r="A651" s="16" t="s">
        <v>1994</v>
      </c>
      <c r="B651" s="16" t="s">
        <v>222</v>
      </c>
      <c r="C651" s="16" t="s">
        <v>1995</v>
      </c>
      <c r="D651" s="16" t="s">
        <v>165</v>
      </c>
      <c r="E651" s="16" t="s">
        <v>529</v>
      </c>
      <c r="F651" s="26" t="n">
        <v>150377000</v>
      </c>
      <c r="G651" s="25" t="n">
        <v>75</v>
      </c>
      <c r="H651" s="22" t="n">
        <v>46118</v>
      </c>
      <c r="I651" s="22" t="n">
        <v>46555</v>
      </c>
      <c r="J651" s="22" t="n">
        <v>46286</v>
      </c>
      <c r="K651" s="16" t="s">
        <v>765</v>
      </c>
      <c r="L651" s="16" t="s">
        <v>609</v>
      </c>
      <c r="M651" s="16" t="s">
        <v>619</v>
      </c>
      <c r="N651" s="16"/>
      <c r="O651" s="7" t="n">
        <f aca="false">IF(OR(E651="Closed Won",E651="Closed Lost"),0,1)</f>
        <v>1</v>
      </c>
      <c r="P651" s="17" t="str">
        <f aca="false">INDEX(Accounts!$K$5:$K$336,MATCH(B651,Accounts!$A$5:$A$336,0))</f>
        <v>Real Estate &amp; Infrastructure</v>
      </c>
      <c r="Q651" s="17" t="str">
        <f aca="false">INDEX(Accounts!$D$5:$D$336,MATCH(B651,Accounts!$A$5:$A$336,0))</f>
        <v>Key</v>
      </c>
      <c r="R651" s="7" t="n">
        <f aca="false">INDEX(Inputs!$B$11:$B$16,MATCH(E651,Inputs!$A$11:$A$16,0))</f>
        <v>75</v>
      </c>
      <c r="S651" s="27" t="n">
        <f aca="false">IF(F651="",0,F651)*R651/100</f>
        <v>112782750</v>
      </c>
      <c r="T651" s="7" t="n">
        <f aca="false">Inputs!$B$4-J651</f>
        <v>28</v>
      </c>
      <c r="U651" s="7" t="n">
        <f aca="false">IF(OR(F651="",F651=0),1,0)</f>
        <v>0</v>
      </c>
      <c r="V651" s="7" t="n">
        <f aca="false">IF(K651="",1,0)</f>
        <v>0</v>
      </c>
      <c r="W651" s="7" t="n">
        <f aca="false">IF(AND(O651=1,K651&lt;&gt;"",COUNTIFS(Owners!$A$5:$A$32,K651,Owners!$E$5:$E$32,"No")&gt;0),1,0)</f>
        <v>0</v>
      </c>
      <c r="X651" s="7" t="n">
        <f aca="false">IF(AND(O651=1,I651&lt;Inputs!$B$4),1,0)</f>
        <v>0</v>
      </c>
      <c r="Y651" s="7" t="n">
        <f aca="false">IF(AND(O651=1,T651&gt;Inputs!$B$5),1,0)</f>
        <v>0</v>
      </c>
      <c r="Z651" s="7" t="n">
        <f aca="false">IF(AND(O651=1,G651&lt;&gt;R651),1,0)</f>
        <v>0</v>
      </c>
      <c r="AA651" s="7" t="n">
        <f aca="false">IF(AND(O651=1,M651=""),1,0)</f>
        <v>0</v>
      </c>
      <c r="AB651" s="7" t="n">
        <f aca="false">IF(AND(E651="Closed Lost",N651=""),1,0)</f>
        <v>0</v>
      </c>
      <c r="AC651" s="7" t="n">
        <f aca="false">SUM(U651:AB651)</f>
        <v>0</v>
      </c>
      <c r="AD651" s="7" t="n">
        <f aca="false">IF(AC651=0,1,0)</f>
        <v>1</v>
      </c>
      <c r="AE651" s="7" t="n">
        <f aca="false">IF(AND(O651=1,I651&gt;=Inputs!$B$6,I651&lt;=Inputs!$B$7),1,0)</f>
        <v>1</v>
      </c>
      <c r="AF651" s="7" t="n">
        <f aca="false">IF(AND(E651="Closed Won",I651&gt;=Inputs!$B$6,I651&lt;=Inputs!$B$4),1,0)</f>
        <v>0</v>
      </c>
      <c r="AG651" s="7" t="n">
        <f aca="false">IF(AND(O651=0,I651&gt;Inputs!$B$4-Inputs!$B$8,I651&lt;=Inputs!$B$4),1,0)</f>
        <v>0</v>
      </c>
      <c r="AH651" s="7" t="n">
        <f aca="false">I651-H651</f>
        <v>437</v>
      </c>
    </row>
    <row r="652" customFormat="false" ht="15" hidden="false" customHeight="false" outlineLevel="0" collapsed="false">
      <c r="A652" s="16" t="s">
        <v>1996</v>
      </c>
      <c r="B652" s="16" t="s">
        <v>1147</v>
      </c>
      <c r="C652" s="16" t="s">
        <v>1997</v>
      </c>
      <c r="D652" s="16" t="s">
        <v>158</v>
      </c>
      <c r="E652" s="16" t="s">
        <v>526</v>
      </c>
      <c r="F652" s="26" t="n">
        <v>23234000</v>
      </c>
      <c r="G652" s="25" t="n">
        <v>10</v>
      </c>
      <c r="H652" s="22" t="n">
        <v>46289</v>
      </c>
      <c r="I652" s="22" t="n">
        <v>46472</v>
      </c>
      <c r="J652" s="22" t="n">
        <v>46300</v>
      </c>
      <c r="K652" s="16" t="s">
        <v>765</v>
      </c>
      <c r="L652" s="16" t="s">
        <v>609</v>
      </c>
      <c r="M652" s="16" t="s">
        <v>569</v>
      </c>
      <c r="N652" s="16"/>
      <c r="O652" s="7" t="n">
        <f aca="false">IF(OR(E652="Closed Won",E652="Closed Lost"),0,1)</f>
        <v>1</v>
      </c>
      <c r="P652" s="17" t="str">
        <f aca="false">INDEX(Accounts!$K$5:$K$336,MATCH(B652,Accounts!$A$5:$A$336,0))</f>
        <v>Financial Services</v>
      </c>
      <c r="Q652" s="17" t="str">
        <f aca="false">INDEX(Accounts!$D$5:$D$336,MATCH(B652,Accounts!$A$5:$A$336,0))</f>
        <v>Standard</v>
      </c>
      <c r="R652" s="7" t="n">
        <f aca="false">INDEX(Inputs!$B$11:$B$16,MATCH(E652,Inputs!$A$11:$A$16,0))</f>
        <v>10</v>
      </c>
      <c r="S652" s="27" t="n">
        <f aca="false">IF(F652="",0,F652)*R652/100</f>
        <v>2323400</v>
      </c>
      <c r="T652" s="7" t="n">
        <f aca="false">Inputs!$B$4-J652</f>
        <v>14</v>
      </c>
      <c r="U652" s="7" t="n">
        <f aca="false">IF(OR(F652="",F652=0),1,0)</f>
        <v>0</v>
      </c>
      <c r="V652" s="7" t="n">
        <f aca="false">IF(K652="",1,0)</f>
        <v>0</v>
      </c>
      <c r="W652" s="7" t="n">
        <f aca="false">IF(AND(O652=1,K652&lt;&gt;"",COUNTIFS(Owners!$A$5:$A$32,K652,Owners!$E$5:$E$32,"No")&gt;0),1,0)</f>
        <v>0</v>
      </c>
      <c r="X652" s="7" t="n">
        <f aca="false">IF(AND(O652=1,I652&lt;Inputs!$B$4),1,0)</f>
        <v>0</v>
      </c>
      <c r="Y652" s="7" t="n">
        <f aca="false">IF(AND(O652=1,T652&gt;Inputs!$B$5),1,0)</f>
        <v>0</v>
      </c>
      <c r="Z652" s="7" t="n">
        <f aca="false">IF(AND(O652=1,G652&lt;&gt;R652),1,0)</f>
        <v>0</v>
      </c>
      <c r="AA652" s="7" t="n">
        <f aca="false">IF(AND(O652=1,M652=""),1,0)</f>
        <v>0</v>
      </c>
      <c r="AB652" s="7" t="n">
        <f aca="false">IF(AND(E652="Closed Lost",N652=""),1,0)</f>
        <v>0</v>
      </c>
      <c r="AC652" s="7" t="n">
        <f aca="false">SUM(U652:AB652)</f>
        <v>0</v>
      </c>
      <c r="AD652" s="7" t="n">
        <f aca="false">IF(AC652=0,1,0)</f>
        <v>1</v>
      </c>
      <c r="AE652" s="7" t="n">
        <f aca="false">IF(AND(O652=1,I652&gt;=Inputs!$B$6,I652&lt;=Inputs!$B$7),1,0)</f>
        <v>1</v>
      </c>
      <c r="AF652" s="7" t="n">
        <f aca="false">IF(AND(E652="Closed Won",I652&gt;=Inputs!$B$6,I652&lt;=Inputs!$B$4),1,0)</f>
        <v>0</v>
      </c>
      <c r="AG652" s="7" t="n">
        <f aca="false">IF(AND(O652=0,I652&gt;Inputs!$B$4-Inputs!$B$8,I652&lt;=Inputs!$B$4),1,0)</f>
        <v>0</v>
      </c>
      <c r="AH652" s="7" t="n">
        <f aca="false">I652-H652</f>
        <v>183</v>
      </c>
    </row>
    <row r="653" customFormat="false" ht="15" hidden="false" customHeight="false" outlineLevel="0" collapsed="false">
      <c r="A653" s="16" t="s">
        <v>1998</v>
      </c>
      <c r="B653" s="16" t="s">
        <v>77</v>
      </c>
      <c r="C653" s="16" t="s">
        <v>1999</v>
      </c>
      <c r="D653" s="16" t="s">
        <v>177</v>
      </c>
      <c r="E653" s="16" t="s">
        <v>527</v>
      </c>
      <c r="F653" s="26" t="n">
        <v>5627000</v>
      </c>
      <c r="G653" s="25" t="n">
        <v>25</v>
      </c>
      <c r="H653" s="22" t="n">
        <v>46303</v>
      </c>
      <c r="I653" s="22" t="n">
        <v>46429</v>
      </c>
      <c r="J653" s="22" t="n">
        <v>46297</v>
      </c>
      <c r="K653" s="16" t="s">
        <v>651</v>
      </c>
      <c r="L653" s="16" t="s">
        <v>609</v>
      </c>
      <c r="M653" s="16" t="s">
        <v>601</v>
      </c>
      <c r="N653" s="16"/>
      <c r="O653" s="7" t="n">
        <f aca="false">IF(OR(E653="Closed Won",E653="Closed Lost"),0,1)</f>
        <v>1</v>
      </c>
      <c r="P653" s="17" t="str">
        <f aca="false">INDEX(Accounts!$K$5:$K$336,MATCH(B653,Accounts!$A$5:$A$336,0))</f>
        <v>Financial Services</v>
      </c>
      <c r="Q653" s="17" t="str">
        <f aca="false">INDEX(Accounts!$D$5:$D$336,MATCH(B653,Accounts!$A$5:$A$336,0))</f>
        <v>Priority</v>
      </c>
      <c r="R653" s="7" t="n">
        <f aca="false">INDEX(Inputs!$B$11:$B$16,MATCH(E653,Inputs!$A$11:$A$16,0))</f>
        <v>25</v>
      </c>
      <c r="S653" s="27" t="n">
        <f aca="false">IF(F653="",0,F653)*R653/100</f>
        <v>1406750</v>
      </c>
      <c r="T653" s="7" t="n">
        <f aca="false">Inputs!$B$4-J653</f>
        <v>17</v>
      </c>
      <c r="U653" s="7" t="n">
        <f aca="false">IF(OR(F653="",F653=0),1,0)</f>
        <v>0</v>
      </c>
      <c r="V653" s="7" t="n">
        <f aca="false">IF(K653="",1,0)</f>
        <v>0</v>
      </c>
      <c r="W653" s="7" t="n">
        <f aca="false">IF(AND(O653=1,K653&lt;&gt;"",COUNTIFS(Owners!$A$5:$A$32,K653,Owners!$E$5:$E$32,"No")&gt;0),1,0)</f>
        <v>0</v>
      </c>
      <c r="X653" s="7" t="n">
        <f aca="false">IF(AND(O653=1,I653&lt;Inputs!$B$4),1,0)</f>
        <v>0</v>
      </c>
      <c r="Y653" s="7" t="n">
        <f aca="false">IF(AND(O653=1,T653&gt;Inputs!$B$5),1,0)</f>
        <v>0</v>
      </c>
      <c r="Z653" s="7" t="n">
        <f aca="false">IF(AND(O653=1,G653&lt;&gt;R653),1,0)</f>
        <v>0</v>
      </c>
      <c r="AA653" s="7" t="n">
        <f aca="false">IF(AND(O653=1,M653=""),1,0)</f>
        <v>0</v>
      </c>
      <c r="AB653" s="7" t="n">
        <f aca="false">IF(AND(E653="Closed Lost",N653=""),1,0)</f>
        <v>0</v>
      </c>
      <c r="AC653" s="7" t="n">
        <f aca="false">SUM(U653:AB653)</f>
        <v>0</v>
      </c>
      <c r="AD653" s="7" t="n">
        <f aca="false">IF(AC653=0,1,0)</f>
        <v>1</v>
      </c>
      <c r="AE653" s="7" t="n">
        <f aca="false">IF(AND(O653=1,I653&gt;=Inputs!$B$6,I653&lt;=Inputs!$B$7),1,0)</f>
        <v>1</v>
      </c>
      <c r="AF653" s="7" t="n">
        <f aca="false">IF(AND(E653="Closed Won",I653&gt;=Inputs!$B$6,I653&lt;=Inputs!$B$4),1,0)</f>
        <v>0</v>
      </c>
      <c r="AG653" s="7" t="n">
        <f aca="false">IF(AND(O653=0,I653&gt;Inputs!$B$4-Inputs!$B$8,I653&lt;=Inputs!$B$4),1,0)</f>
        <v>0</v>
      </c>
      <c r="AH653" s="7" t="n">
        <f aca="false">I653-H653</f>
        <v>126</v>
      </c>
    </row>
    <row r="654" customFormat="false" ht="15" hidden="false" customHeight="false" outlineLevel="0" collapsed="false">
      <c r="A654" s="16" t="s">
        <v>2000</v>
      </c>
      <c r="B654" s="16" t="s">
        <v>61</v>
      </c>
      <c r="C654" s="16" t="s">
        <v>2001</v>
      </c>
      <c r="D654" s="16" t="s">
        <v>162</v>
      </c>
      <c r="E654" s="16" t="s">
        <v>527</v>
      </c>
      <c r="F654" s="26" t="n">
        <v>6324000</v>
      </c>
      <c r="G654" s="25" t="n">
        <v>25</v>
      </c>
      <c r="H654" s="22" t="n">
        <v>46144</v>
      </c>
      <c r="I654" s="22" t="n">
        <v>46465</v>
      </c>
      <c r="J654" s="22" t="n">
        <v>46159</v>
      </c>
      <c r="K654" s="16" t="s">
        <v>704</v>
      </c>
      <c r="L654" s="16" t="s">
        <v>584</v>
      </c>
      <c r="M654" s="16" t="s">
        <v>619</v>
      </c>
      <c r="N654" s="16"/>
      <c r="O654" s="7" t="n">
        <f aca="false">IF(OR(E654="Closed Won",E654="Closed Lost"),0,1)</f>
        <v>1</v>
      </c>
      <c r="P654" s="17" t="str">
        <f aca="false">INDEX(Accounts!$K$5:$K$336,MATCH(B654,Accounts!$A$5:$A$336,0))</f>
        <v>Agribusiness</v>
      </c>
      <c r="Q654" s="17" t="str">
        <f aca="false">INDEX(Accounts!$D$5:$D$336,MATCH(B654,Accounts!$A$5:$A$336,0))</f>
        <v>Priority</v>
      </c>
      <c r="R654" s="7" t="n">
        <f aca="false">INDEX(Inputs!$B$11:$B$16,MATCH(E654,Inputs!$A$11:$A$16,0))</f>
        <v>25</v>
      </c>
      <c r="S654" s="27" t="n">
        <f aca="false">IF(F654="",0,F654)*R654/100</f>
        <v>1581000</v>
      </c>
      <c r="T654" s="7" t="n">
        <f aca="false">Inputs!$B$4-J654</f>
        <v>155</v>
      </c>
      <c r="U654" s="7" t="n">
        <f aca="false">IF(OR(F654="",F654=0),1,0)</f>
        <v>0</v>
      </c>
      <c r="V654" s="7" t="n">
        <f aca="false">IF(K654="",1,0)</f>
        <v>0</v>
      </c>
      <c r="W654" s="7" t="n">
        <f aca="false">IF(AND(O654=1,K654&lt;&gt;"",COUNTIFS(Owners!$A$5:$A$32,K654,Owners!$E$5:$E$32,"No")&gt;0),1,0)</f>
        <v>0</v>
      </c>
      <c r="X654" s="7" t="n">
        <f aca="false">IF(AND(O654=1,I654&lt;Inputs!$B$4),1,0)</f>
        <v>0</v>
      </c>
      <c r="Y654" s="7" t="n">
        <f aca="false">IF(AND(O654=1,T654&gt;Inputs!$B$5),1,0)</f>
        <v>1</v>
      </c>
      <c r="Z654" s="7" t="n">
        <f aca="false">IF(AND(O654=1,G654&lt;&gt;R654),1,0)</f>
        <v>0</v>
      </c>
      <c r="AA654" s="7" t="n">
        <f aca="false">IF(AND(O654=1,M654=""),1,0)</f>
        <v>0</v>
      </c>
      <c r="AB654" s="7" t="n">
        <f aca="false">IF(AND(E654="Closed Lost",N654=""),1,0)</f>
        <v>0</v>
      </c>
      <c r="AC654" s="7" t="n">
        <f aca="false">SUM(U654:AB654)</f>
        <v>1</v>
      </c>
      <c r="AD654" s="7" t="n">
        <f aca="false">IF(AC654=0,1,0)</f>
        <v>0</v>
      </c>
      <c r="AE654" s="7" t="n">
        <f aca="false">IF(AND(O654=1,I654&gt;=Inputs!$B$6,I654&lt;=Inputs!$B$7),1,0)</f>
        <v>1</v>
      </c>
      <c r="AF654" s="7" t="n">
        <f aca="false">IF(AND(E654="Closed Won",I654&gt;=Inputs!$B$6,I654&lt;=Inputs!$B$4),1,0)</f>
        <v>0</v>
      </c>
      <c r="AG654" s="7" t="n">
        <f aca="false">IF(AND(O654=0,I654&gt;Inputs!$B$4-Inputs!$B$8,I654&lt;=Inputs!$B$4),1,0)</f>
        <v>0</v>
      </c>
      <c r="AH654" s="7" t="n">
        <f aca="false">I654-H654</f>
        <v>321</v>
      </c>
    </row>
    <row r="655" customFormat="false" ht="15" hidden="false" customHeight="false" outlineLevel="0" collapsed="false">
      <c r="A655" s="16" t="s">
        <v>2002</v>
      </c>
      <c r="B655" s="16" t="s">
        <v>1144</v>
      </c>
      <c r="C655" s="16" t="s">
        <v>2003</v>
      </c>
      <c r="D655" s="16" t="s">
        <v>162</v>
      </c>
      <c r="E655" s="16" t="s">
        <v>531</v>
      </c>
      <c r="F655" s="26" t="n">
        <v>21299000</v>
      </c>
      <c r="G655" s="25" t="n">
        <v>0</v>
      </c>
      <c r="H655" s="22" t="n">
        <v>46116</v>
      </c>
      <c r="I655" s="22" t="n">
        <v>46232</v>
      </c>
      <c r="J655" s="22" t="n">
        <v>46232</v>
      </c>
      <c r="K655" s="16" t="s">
        <v>717</v>
      </c>
      <c r="L655" s="16" t="s">
        <v>500</v>
      </c>
      <c r="M655" s="16"/>
      <c r="N655" s="16" t="s">
        <v>597</v>
      </c>
      <c r="O655" s="7" t="n">
        <f aca="false">IF(OR(E655="Closed Won",E655="Closed Lost"),0,1)</f>
        <v>0</v>
      </c>
      <c r="P655" s="17" t="str">
        <f aca="false">INDEX(Accounts!$K$5:$K$336,MATCH(B655,Accounts!$A$5:$A$336,0))</f>
        <v>Financial Services</v>
      </c>
      <c r="Q655" s="17" t="str">
        <f aca="false">INDEX(Accounts!$D$5:$D$336,MATCH(B655,Accounts!$A$5:$A$336,0))</f>
        <v>Standard</v>
      </c>
      <c r="R655" s="7" t="n">
        <f aca="false">INDEX(Inputs!$B$11:$B$16,MATCH(E655,Inputs!$A$11:$A$16,0))</f>
        <v>0</v>
      </c>
      <c r="S655" s="27" t="n">
        <f aca="false">IF(F655="",0,F655)*R655/100</f>
        <v>0</v>
      </c>
      <c r="T655" s="7" t="n">
        <f aca="false">Inputs!$B$4-J655</f>
        <v>82</v>
      </c>
      <c r="U655" s="7" t="n">
        <f aca="false">IF(OR(F655="",F655=0),1,0)</f>
        <v>0</v>
      </c>
      <c r="V655" s="7" t="n">
        <f aca="false">IF(K655="",1,0)</f>
        <v>0</v>
      </c>
      <c r="W655" s="7" t="n">
        <f aca="false">IF(AND(O655=1,K655&lt;&gt;"",COUNTIFS(Owners!$A$5:$A$32,K655,Owners!$E$5:$E$32,"No")&gt;0),1,0)</f>
        <v>0</v>
      </c>
      <c r="X655" s="7" t="n">
        <f aca="false">IF(AND(O655=1,I655&lt;Inputs!$B$4),1,0)</f>
        <v>0</v>
      </c>
      <c r="Y655" s="7" t="n">
        <f aca="false">IF(AND(O655=1,T655&gt;Inputs!$B$5),1,0)</f>
        <v>0</v>
      </c>
      <c r="Z655" s="7" t="n">
        <f aca="false">IF(AND(O655=1,G655&lt;&gt;R655),1,0)</f>
        <v>0</v>
      </c>
      <c r="AA655" s="7" t="n">
        <f aca="false">IF(AND(O655=1,M655=""),1,0)</f>
        <v>0</v>
      </c>
      <c r="AB655" s="7" t="n">
        <f aca="false">IF(AND(E655="Closed Lost",N655=""),1,0)</f>
        <v>0</v>
      </c>
      <c r="AC655" s="7" t="n">
        <f aca="false">SUM(U655:AB655)</f>
        <v>0</v>
      </c>
      <c r="AD655" s="7" t="n">
        <f aca="false">IF(AC655=0,1,0)</f>
        <v>1</v>
      </c>
      <c r="AE655" s="7" t="n">
        <f aca="false">IF(AND(O655=1,I655&gt;=Inputs!$B$6,I655&lt;=Inputs!$B$7),1,0)</f>
        <v>0</v>
      </c>
      <c r="AF655" s="7" t="n">
        <f aca="false">IF(AND(E655="Closed Won",I655&gt;=Inputs!$B$6,I655&lt;=Inputs!$B$4),1,0)</f>
        <v>0</v>
      </c>
      <c r="AG655" s="7" t="n">
        <f aca="false">IF(AND(O655=0,I655&gt;Inputs!$B$4-Inputs!$B$8,I655&lt;=Inputs!$B$4),1,0)</f>
        <v>1</v>
      </c>
      <c r="AH655" s="7" t="n">
        <f aca="false">I655-H655</f>
        <v>116</v>
      </c>
    </row>
    <row r="656" customFormat="false" ht="15" hidden="false" customHeight="false" outlineLevel="0" collapsed="false">
      <c r="A656" s="16" t="s">
        <v>2004</v>
      </c>
      <c r="B656" s="16" t="s">
        <v>66</v>
      </c>
      <c r="C656" s="16" t="s">
        <v>1968</v>
      </c>
      <c r="D656" s="16" t="s">
        <v>177</v>
      </c>
      <c r="E656" s="16" t="s">
        <v>531</v>
      </c>
      <c r="F656" s="26" t="n">
        <v>11340000</v>
      </c>
      <c r="G656" s="25" t="n">
        <v>0</v>
      </c>
      <c r="H656" s="22" t="n">
        <v>46168</v>
      </c>
      <c r="I656" s="22" t="n">
        <v>46311</v>
      </c>
      <c r="J656" s="22" t="n">
        <v>46311</v>
      </c>
      <c r="K656" s="16" t="s">
        <v>573</v>
      </c>
      <c r="L656" s="16" t="s">
        <v>584</v>
      </c>
      <c r="M656" s="16"/>
      <c r="N656" s="16" t="s">
        <v>597</v>
      </c>
      <c r="O656" s="7" t="n">
        <f aca="false">IF(OR(E656="Closed Won",E656="Closed Lost"),0,1)</f>
        <v>0</v>
      </c>
      <c r="P656" s="17" t="str">
        <f aca="false">INDEX(Accounts!$K$5:$K$336,MATCH(B656,Accounts!$A$5:$A$336,0))</f>
        <v>Financial Services</v>
      </c>
      <c r="Q656" s="17" t="str">
        <f aca="false">INDEX(Accounts!$D$5:$D$336,MATCH(B656,Accounts!$A$5:$A$336,0))</f>
        <v>Priority</v>
      </c>
      <c r="R656" s="7" t="n">
        <f aca="false">INDEX(Inputs!$B$11:$B$16,MATCH(E656,Inputs!$A$11:$A$16,0))</f>
        <v>0</v>
      </c>
      <c r="S656" s="27" t="n">
        <f aca="false">IF(F656="",0,F656)*R656/100</f>
        <v>0</v>
      </c>
      <c r="T656" s="7" t="n">
        <f aca="false">Inputs!$B$4-J656</f>
        <v>3</v>
      </c>
      <c r="U656" s="7" t="n">
        <f aca="false">IF(OR(F656="",F656=0),1,0)</f>
        <v>0</v>
      </c>
      <c r="V656" s="7" t="n">
        <f aca="false">IF(K656="",1,0)</f>
        <v>0</v>
      </c>
      <c r="W656" s="7" t="n">
        <f aca="false">IF(AND(O656=1,K656&lt;&gt;"",COUNTIFS(Owners!$A$5:$A$32,K656,Owners!$E$5:$E$32,"No")&gt;0),1,0)</f>
        <v>0</v>
      </c>
      <c r="X656" s="7" t="n">
        <f aca="false">IF(AND(O656=1,I656&lt;Inputs!$B$4),1,0)</f>
        <v>0</v>
      </c>
      <c r="Y656" s="7" t="n">
        <f aca="false">IF(AND(O656=1,T656&gt;Inputs!$B$5),1,0)</f>
        <v>0</v>
      </c>
      <c r="Z656" s="7" t="n">
        <f aca="false">IF(AND(O656=1,G656&lt;&gt;R656),1,0)</f>
        <v>0</v>
      </c>
      <c r="AA656" s="7" t="n">
        <f aca="false">IF(AND(O656=1,M656=""),1,0)</f>
        <v>0</v>
      </c>
      <c r="AB656" s="7" t="n">
        <f aca="false">IF(AND(E656="Closed Lost",N656=""),1,0)</f>
        <v>0</v>
      </c>
      <c r="AC656" s="7" t="n">
        <f aca="false">SUM(U656:AB656)</f>
        <v>0</v>
      </c>
      <c r="AD656" s="7" t="n">
        <f aca="false">IF(AC656=0,1,0)</f>
        <v>1</v>
      </c>
      <c r="AE656" s="7" t="n">
        <f aca="false">IF(AND(O656=1,I656&gt;=Inputs!$B$6,I656&lt;=Inputs!$B$7),1,0)</f>
        <v>0</v>
      </c>
      <c r="AF656" s="7" t="n">
        <f aca="false">IF(AND(E656="Closed Won",I656&gt;=Inputs!$B$6,I656&lt;=Inputs!$B$4),1,0)</f>
        <v>0</v>
      </c>
      <c r="AG656" s="7" t="n">
        <f aca="false">IF(AND(O656=0,I656&gt;Inputs!$B$4-Inputs!$B$8,I656&lt;=Inputs!$B$4),1,0)</f>
        <v>1</v>
      </c>
      <c r="AH656" s="7" t="n">
        <f aca="false">I656-H656</f>
        <v>143</v>
      </c>
    </row>
    <row r="657" customFormat="false" ht="15" hidden="false" customHeight="false" outlineLevel="0" collapsed="false">
      <c r="A657" s="16" t="s">
        <v>2005</v>
      </c>
      <c r="B657" s="16" t="s">
        <v>208</v>
      </c>
      <c r="C657" s="16" t="s">
        <v>2006</v>
      </c>
      <c r="D657" s="16" t="s">
        <v>167</v>
      </c>
      <c r="E657" s="16" t="s">
        <v>530</v>
      </c>
      <c r="F657" s="26" t="n">
        <v>2997000</v>
      </c>
      <c r="G657" s="25" t="n">
        <v>100</v>
      </c>
      <c r="H657" s="22" t="n">
        <v>45917</v>
      </c>
      <c r="I657" s="22" t="n">
        <v>46209</v>
      </c>
      <c r="J657" s="22" t="n">
        <v>46209</v>
      </c>
      <c r="K657" s="16" t="s">
        <v>685</v>
      </c>
      <c r="L657" s="16" t="s">
        <v>500</v>
      </c>
      <c r="M657" s="16"/>
      <c r="N657" s="16"/>
      <c r="O657" s="7" t="n">
        <f aca="false">IF(OR(E657="Closed Won",E657="Closed Lost"),0,1)</f>
        <v>0</v>
      </c>
      <c r="P657" s="17" t="str">
        <f aca="false">INDEX(Accounts!$K$5:$K$336,MATCH(B657,Accounts!$A$5:$A$336,0))</f>
        <v>Financial Services</v>
      </c>
      <c r="Q657" s="17" t="str">
        <f aca="false">INDEX(Accounts!$D$5:$D$336,MATCH(B657,Accounts!$A$5:$A$336,0))</f>
        <v>Standard</v>
      </c>
      <c r="R657" s="7" t="n">
        <f aca="false">INDEX(Inputs!$B$11:$B$16,MATCH(E657,Inputs!$A$11:$A$16,0))</f>
        <v>100</v>
      </c>
      <c r="S657" s="27" t="n">
        <f aca="false">IF(F657="",0,F657)*R657/100</f>
        <v>2997000</v>
      </c>
      <c r="T657" s="7" t="n">
        <f aca="false">Inputs!$B$4-J657</f>
        <v>105</v>
      </c>
      <c r="U657" s="7" t="n">
        <f aca="false">IF(OR(F657="",F657=0),1,0)</f>
        <v>0</v>
      </c>
      <c r="V657" s="7" t="n">
        <f aca="false">IF(K657="",1,0)</f>
        <v>0</v>
      </c>
      <c r="W657" s="7" t="n">
        <f aca="false">IF(AND(O657=1,K657&lt;&gt;"",COUNTIFS(Owners!$A$5:$A$32,K657,Owners!$E$5:$E$32,"No")&gt;0),1,0)</f>
        <v>0</v>
      </c>
      <c r="X657" s="7" t="n">
        <f aca="false">IF(AND(O657=1,I657&lt;Inputs!$B$4),1,0)</f>
        <v>0</v>
      </c>
      <c r="Y657" s="7" t="n">
        <f aca="false">IF(AND(O657=1,T657&gt;Inputs!$B$5),1,0)</f>
        <v>0</v>
      </c>
      <c r="Z657" s="7" t="n">
        <f aca="false">IF(AND(O657=1,G657&lt;&gt;R657),1,0)</f>
        <v>0</v>
      </c>
      <c r="AA657" s="7" t="n">
        <f aca="false">IF(AND(O657=1,M657=""),1,0)</f>
        <v>0</v>
      </c>
      <c r="AB657" s="7" t="n">
        <f aca="false">IF(AND(E657="Closed Lost",N657=""),1,0)</f>
        <v>0</v>
      </c>
      <c r="AC657" s="7" t="n">
        <f aca="false">SUM(U657:AB657)</f>
        <v>0</v>
      </c>
      <c r="AD657" s="7" t="n">
        <f aca="false">IF(AC657=0,1,0)</f>
        <v>1</v>
      </c>
      <c r="AE657" s="7" t="n">
        <f aca="false">IF(AND(O657=1,I657&gt;=Inputs!$B$6,I657&lt;=Inputs!$B$7),1,0)</f>
        <v>0</v>
      </c>
      <c r="AF657" s="7" t="n">
        <f aca="false">IF(AND(E657="Closed Won",I657&gt;=Inputs!$B$6,I657&lt;=Inputs!$B$4),1,0)</f>
        <v>1</v>
      </c>
      <c r="AG657" s="7" t="n">
        <f aca="false">IF(AND(O657=0,I657&gt;Inputs!$B$4-Inputs!$B$8,I657&lt;=Inputs!$B$4),1,0)</f>
        <v>1</v>
      </c>
      <c r="AH657" s="7" t="n">
        <f aca="false">I657-H657</f>
        <v>292</v>
      </c>
    </row>
    <row r="658" customFormat="false" ht="15" hidden="false" customHeight="false" outlineLevel="0" collapsed="false">
      <c r="A658" s="16" t="s">
        <v>2007</v>
      </c>
      <c r="B658" s="16" t="s">
        <v>84</v>
      </c>
      <c r="C658" s="16" t="s">
        <v>2008</v>
      </c>
      <c r="D658" s="16" t="s">
        <v>165</v>
      </c>
      <c r="E658" s="16" t="s">
        <v>531</v>
      </c>
      <c r="F658" s="26" t="n">
        <v>0</v>
      </c>
      <c r="G658" s="25" t="n">
        <v>0</v>
      </c>
      <c r="H658" s="22" t="n">
        <v>45936</v>
      </c>
      <c r="I658" s="22" t="n">
        <v>46164</v>
      </c>
      <c r="J658" s="22" t="n">
        <v>46164</v>
      </c>
      <c r="K658" s="16" t="s">
        <v>633</v>
      </c>
      <c r="L658" s="16" t="s">
        <v>500</v>
      </c>
      <c r="M658" s="16"/>
      <c r="N658" s="16" t="s">
        <v>713</v>
      </c>
      <c r="O658" s="7" t="n">
        <f aca="false">IF(OR(E658="Closed Won",E658="Closed Lost"),0,1)</f>
        <v>0</v>
      </c>
      <c r="P658" s="17" t="str">
        <f aca="false">INDEX(Accounts!$K$5:$K$336,MATCH(B658,Accounts!$A$5:$A$336,0))</f>
        <v>Consumer &amp; Retail</v>
      </c>
      <c r="Q658" s="17" t="str">
        <f aca="false">INDEX(Accounts!$D$5:$D$336,MATCH(B658,Accounts!$A$5:$A$336,0))</f>
        <v>Priority</v>
      </c>
      <c r="R658" s="7" t="n">
        <f aca="false">INDEX(Inputs!$B$11:$B$16,MATCH(E658,Inputs!$A$11:$A$16,0))</f>
        <v>0</v>
      </c>
      <c r="S658" s="27" t="n">
        <f aca="false">IF(F658="",0,F658)*R658/100</f>
        <v>0</v>
      </c>
      <c r="T658" s="7" t="n">
        <f aca="false">Inputs!$B$4-J658</f>
        <v>150</v>
      </c>
      <c r="U658" s="7" t="n">
        <f aca="false">IF(OR(F658="",F658=0),1,0)</f>
        <v>1</v>
      </c>
      <c r="V658" s="7" t="n">
        <f aca="false">IF(K658="",1,0)</f>
        <v>0</v>
      </c>
      <c r="W658" s="7" t="n">
        <f aca="false">IF(AND(O658=1,K658&lt;&gt;"",COUNTIFS(Owners!$A$5:$A$32,K658,Owners!$E$5:$E$32,"No")&gt;0),1,0)</f>
        <v>0</v>
      </c>
      <c r="X658" s="7" t="n">
        <f aca="false">IF(AND(O658=1,I658&lt;Inputs!$B$4),1,0)</f>
        <v>0</v>
      </c>
      <c r="Y658" s="7" t="n">
        <f aca="false">IF(AND(O658=1,T658&gt;Inputs!$B$5),1,0)</f>
        <v>0</v>
      </c>
      <c r="Z658" s="7" t="n">
        <f aca="false">IF(AND(O658=1,G658&lt;&gt;R658),1,0)</f>
        <v>0</v>
      </c>
      <c r="AA658" s="7" t="n">
        <f aca="false">IF(AND(O658=1,M658=""),1,0)</f>
        <v>0</v>
      </c>
      <c r="AB658" s="7" t="n">
        <f aca="false">IF(AND(E658="Closed Lost",N658=""),1,0)</f>
        <v>0</v>
      </c>
      <c r="AC658" s="7" t="n">
        <f aca="false">SUM(U658:AB658)</f>
        <v>1</v>
      </c>
      <c r="AD658" s="7" t="n">
        <f aca="false">IF(AC658=0,1,0)</f>
        <v>0</v>
      </c>
      <c r="AE658" s="7" t="n">
        <f aca="false">IF(AND(O658=1,I658&gt;=Inputs!$B$6,I658&lt;=Inputs!$B$7),1,0)</f>
        <v>0</v>
      </c>
      <c r="AF658" s="7" t="n">
        <f aca="false">IF(AND(E658="Closed Won",I658&gt;=Inputs!$B$6,I658&lt;=Inputs!$B$4),1,0)</f>
        <v>0</v>
      </c>
      <c r="AG658" s="7" t="n">
        <f aca="false">IF(AND(O658=0,I658&gt;Inputs!$B$4-Inputs!$B$8,I658&lt;=Inputs!$B$4),1,0)</f>
        <v>1</v>
      </c>
      <c r="AH658" s="7" t="n">
        <f aca="false">I658-H658</f>
        <v>228</v>
      </c>
    </row>
    <row r="659" customFormat="false" ht="15" hidden="false" customHeight="false" outlineLevel="0" collapsed="false">
      <c r="A659" s="16" t="s">
        <v>2009</v>
      </c>
      <c r="B659" s="16" t="s">
        <v>715</v>
      </c>
      <c r="C659" s="16" t="s">
        <v>1726</v>
      </c>
      <c r="D659" s="16" t="s">
        <v>167</v>
      </c>
      <c r="E659" s="16" t="s">
        <v>531</v>
      </c>
      <c r="F659" s="26" t="n">
        <v>985000</v>
      </c>
      <c r="G659" s="25" t="n">
        <v>0</v>
      </c>
      <c r="H659" s="22" t="n">
        <v>46088</v>
      </c>
      <c r="I659" s="22" t="n">
        <v>46297</v>
      </c>
      <c r="J659" s="22" t="n">
        <v>46297</v>
      </c>
      <c r="K659" s="16"/>
      <c r="L659" s="16" t="s">
        <v>584</v>
      </c>
      <c r="M659" s="16"/>
      <c r="N659" s="16"/>
      <c r="O659" s="7" t="n">
        <f aca="false">IF(OR(E659="Closed Won",E659="Closed Lost"),0,1)</f>
        <v>0</v>
      </c>
      <c r="P659" s="17" t="str">
        <f aca="false">INDEX(Accounts!$K$5:$K$336,MATCH(B659,Accounts!$A$5:$A$336,0))</f>
        <v>Unassigned</v>
      </c>
      <c r="Q659" s="17" t="str">
        <f aca="false">INDEX(Accounts!$D$5:$D$336,MATCH(B659,Accounts!$A$5:$A$336,0))</f>
        <v>Standard</v>
      </c>
      <c r="R659" s="7" t="n">
        <f aca="false">INDEX(Inputs!$B$11:$B$16,MATCH(E659,Inputs!$A$11:$A$16,0))</f>
        <v>0</v>
      </c>
      <c r="S659" s="27" t="n">
        <f aca="false">IF(F659="",0,F659)*R659/100</f>
        <v>0</v>
      </c>
      <c r="T659" s="7" t="n">
        <f aca="false">Inputs!$B$4-J659</f>
        <v>17</v>
      </c>
      <c r="U659" s="7" t="n">
        <f aca="false">IF(OR(F659="",F659=0),1,0)</f>
        <v>0</v>
      </c>
      <c r="V659" s="7" t="n">
        <f aca="false">IF(K659="",1,0)</f>
        <v>1</v>
      </c>
      <c r="W659" s="7" t="n">
        <f aca="false">IF(AND(O659=1,K659&lt;&gt;"",COUNTIFS(Owners!$A$5:$A$32,K659,Owners!$E$5:$E$32,"No")&gt;0),1,0)</f>
        <v>0</v>
      </c>
      <c r="X659" s="7" t="n">
        <f aca="false">IF(AND(O659=1,I659&lt;Inputs!$B$4),1,0)</f>
        <v>0</v>
      </c>
      <c r="Y659" s="7" t="n">
        <f aca="false">IF(AND(O659=1,T659&gt;Inputs!$B$5),1,0)</f>
        <v>0</v>
      </c>
      <c r="Z659" s="7" t="n">
        <f aca="false">IF(AND(O659=1,G659&lt;&gt;R659),1,0)</f>
        <v>0</v>
      </c>
      <c r="AA659" s="7" t="n">
        <f aca="false">IF(AND(O659=1,M659=""),1,0)</f>
        <v>0</v>
      </c>
      <c r="AB659" s="7" t="n">
        <f aca="false">IF(AND(E659="Closed Lost",N659=""),1,0)</f>
        <v>1</v>
      </c>
      <c r="AC659" s="7" t="n">
        <f aca="false">SUM(U659:AB659)</f>
        <v>2</v>
      </c>
      <c r="AD659" s="7" t="n">
        <f aca="false">IF(AC659=0,1,0)</f>
        <v>0</v>
      </c>
      <c r="AE659" s="7" t="n">
        <f aca="false">IF(AND(O659=1,I659&gt;=Inputs!$B$6,I659&lt;=Inputs!$B$7),1,0)</f>
        <v>0</v>
      </c>
      <c r="AF659" s="7" t="n">
        <f aca="false">IF(AND(E659="Closed Won",I659&gt;=Inputs!$B$6,I659&lt;=Inputs!$B$4),1,0)</f>
        <v>0</v>
      </c>
      <c r="AG659" s="7" t="n">
        <f aca="false">IF(AND(O659=0,I659&gt;Inputs!$B$4-Inputs!$B$8,I659&lt;=Inputs!$B$4),1,0)</f>
        <v>1</v>
      </c>
      <c r="AH659" s="7" t="n">
        <f aca="false">I659-H659</f>
        <v>209</v>
      </c>
    </row>
    <row r="660" customFormat="false" ht="15" hidden="false" customHeight="false" outlineLevel="0" collapsed="false">
      <c r="A660" s="16" t="s">
        <v>2010</v>
      </c>
      <c r="B660" s="16" t="s">
        <v>89</v>
      </c>
      <c r="C660" s="16" t="s">
        <v>2011</v>
      </c>
      <c r="D660" s="16" t="s">
        <v>167</v>
      </c>
      <c r="E660" s="16" t="s">
        <v>531</v>
      </c>
      <c r="F660" s="26" t="n">
        <v>4171000</v>
      </c>
      <c r="G660" s="25" t="n">
        <v>0</v>
      </c>
      <c r="H660" s="22" t="n">
        <v>45974</v>
      </c>
      <c r="I660" s="22" t="n">
        <v>46116</v>
      </c>
      <c r="J660" s="22" t="n">
        <v>46116</v>
      </c>
      <c r="K660" s="16" t="s">
        <v>704</v>
      </c>
      <c r="L660" s="16" t="s">
        <v>609</v>
      </c>
      <c r="M660" s="16"/>
      <c r="N660" s="16" t="s">
        <v>713</v>
      </c>
      <c r="O660" s="7" t="n">
        <f aca="false">IF(OR(E660="Closed Won",E660="Closed Lost"),0,1)</f>
        <v>0</v>
      </c>
      <c r="P660" s="17" t="str">
        <f aca="false">INDEX(Accounts!$K$5:$K$336,MATCH(B660,Accounts!$A$5:$A$336,0))</f>
        <v>Agribusiness</v>
      </c>
      <c r="Q660" s="17" t="str">
        <f aca="false">INDEX(Accounts!$D$5:$D$336,MATCH(B660,Accounts!$A$5:$A$336,0))</f>
        <v>Priority</v>
      </c>
      <c r="R660" s="7" t="n">
        <f aca="false">INDEX(Inputs!$B$11:$B$16,MATCH(E660,Inputs!$A$11:$A$16,0))</f>
        <v>0</v>
      </c>
      <c r="S660" s="27" t="n">
        <f aca="false">IF(F660="",0,F660)*R660/100</f>
        <v>0</v>
      </c>
      <c r="T660" s="7" t="n">
        <f aca="false">Inputs!$B$4-J660</f>
        <v>198</v>
      </c>
      <c r="U660" s="7" t="n">
        <f aca="false">IF(OR(F660="",F660=0),1,0)</f>
        <v>0</v>
      </c>
      <c r="V660" s="7" t="n">
        <f aca="false">IF(K660="",1,0)</f>
        <v>0</v>
      </c>
      <c r="W660" s="7" t="n">
        <f aca="false">IF(AND(O660=1,K660&lt;&gt;"",COUNTIFS(Owners!$A$5:$A$32,K660,Owners!$E$5:$E$32,"No")&gt;0),1,0)</f>
        <v>0</v>
      </c>
      <c r="X660" s="7" t="n">
        <f aca="false">IF(AND(O660=1,I660&lt;Inputs!$B$4),1,0)</f>
        <v>0</v>
      </c>
      <c r="Y660" s="7" t="n">
        <f aca="false">IF(AND(O660=1,T660&gt;Inputs!$B$5),1,0)</f>
        <v>0</v>
      </c>
      <c r="Z660" s="7" t="n">
        <f aca="false">IF(AND(O660=1,G660&lt;&gt;R660),1,0)</f>
        <v>0</v>
      </c>
      <c r="AA660" s="7" t="n">
        <f aca="false">IF(AND(O660=1,M660=""),1,0)</f>
        <v>0</v>
      </c>
      <c r="AB660" s="7" t="n">
        <f aca="false">IF(AND(E660="Closed Lost",N660=""),1,0)</f>
        <v>0</v>
      </c>
      <c r="AC660" s="7" t="n">
        <f aca="false">SUM(U660:AB660)</f>
        <v>0</v>
      </c>
      <c r="AD660" s="7" t="n">
        <f aca="false">IF(AC660=0,1,0)</f>
        <v>1</v>
      </c>
      <c r="AE660" s="7" t="n">
        <f aca="false">IF(AND(O660=1,I660&gt;=Inputs!$B$6,I660&lt;=Inputs!$B$7),1,0)</f>
        <v>0</v>
      </c>
      <c r="AF660" s="7" t="n">
        <f aca="false">IF(AND(E660="Closed Won",I660&gt;=Inputs!$B$6,I660&lt;=Inputs!$B$4),1,0)</f>
        <v>0</v>
      </c>
      <c r="AG660" s="7" t="n">
        <f aca="false">IF(AND(O660=0,I660&gt;Inputs!$B$4-Inputs!$B$8,I660&lt;=Inputs!$B$4),1,0)</f>
        <v>1</v>
      </c>
      <c r="AH660" s="7" t="n">
        <f aca="false">I660-H660</f>
        <v>142</v>
      </c>
    </row>
    <row r="661" customFormat="false" ht="15" hidden="false" customHeight="false" outlineLevel="0" collapsed="false">
      <c r="A661" s="16" t="s">
        <v>2012</v>
      </c>
      <c r="B661" s="16" t="s">
        <v>292</v>
      </c>
      <c r="C661" s="16" t="s">
        <v>2013</v>
      </c>
      <c r="D661" s="16" t="s">
        <v>158</v>
      </c>
      <c r="E661" s="16" t="s">
        <v>530</v>
      </c>
      <c r="F661" s="26" t="n">
        <v>17969000</v>
      </c>
      <c r="G661" s="25" t="n">
        <v>100</v>
      </c>
      <c r="H661" s="22" t="n">
        <v>46015</v>
      </c>
      <c r="I661" s="22" t="n">
        <v>46118</v>
      </c>
      <c r="J661" s="22" t="n">
        <v>46118</v>
      </c>
      <c r="K661" s="16" t="s">
        <v>691</v>
      </c>
      <c r="L661" s="16" t="s">
        <v>584</v>
      </c>
      <c r="M661" s="16"/>
      <c r="N661" s="16"/>
      <c r="O661" s="7" t="n">
        <f aca="false">IF(OR(E661="Closed Won",E661="Closed Lost"),0,1)</f>
        <v>0</v>
      </c>
      <c r="P661" s="17" t="str">
        <f aca="false">INDEX(Accounts!$K$5:$K$336,MATCH(B661,Accounts!$A$5:$A$336,0))</f>
        <v>Health</v>
      </c>
      <c r="Q661" s="17" t="str">
        <f aca="false">INDEX(Accounts!$D$5:$D$336,MATCH(B661,Accounts!$A$5:$A$336,0))</f>
        <v>Standard</v>
      </c>
      <c r="R661" s="7" t="n">
        <f aca="false">INDEX(Inputs!$B$11:$B$16,MATCH(E661,Inputs!$A$11:$A$16,0))</f>
        <v>100</v>
      </c>
      <c r="S661" s="27" t="n">
        <f aca="false">IF(F661="",0,F661)*R661/100</f>
        <v>17969000</v>
      </c>
      <c r="T661" s="7" t="n">
        <f aca="false">Inputs!$B$4-J661</f>
        <v>196</v>
      </c>
      <c r="U661" s="7" t="n">
        <f aca="false">IF(OR(F661="",F661=0),1,0)</f>
        <v>0</v>
      </c>
      <c r="V661" s="7" t="n">
        <f aca="false">IF(K661="",1,0)</f>
        <v>0</v>
      </c>
      <c r="W661" s="7" t="n">
        <f aca="false">IF(AND(O661=1,K661&lt;&gt;"",COUNTIFS(Owners!$A$5:$A$32,K661,Owners!$E$5:$E$32,"No")&gt;0),1,0)</f>
        <v>0</v>
      </c>
      <c r="X661" s="7" t="n">
        <f aca="false">IF(AND(O661=1,I661&lt;Inputs!$B$4),1,0)</f>
        <v>0</v>
      </c>
      <c r="Y661" s="7" t="n">
        <f aca="false">IF(AND(O661=1,T661&gt;Inputs!$B$5),1,0)</f>
        <v>0</v>
      </c>
      <c r="Z661" s="7" t="n">
        <f aca="false">IF(AND(O661=1,G661&lt;&gt;R661),1,0)</f>
        <v>0</v>
      </c>
      <c r="AA661" s="7" t="n">
        <f aca="false">IF(AND(O661=1,M661=""),1,0)</f>
        <v>0</v>
      </c>
      <c r="AB661" s="7" t="n">
        <f aca="false">IF(AND(E661="Closed Lost",N661=""),1,0)</f>
        <v>0</v>
      </c>
      <c r="AC661" s="7" t="n">
        <f aca="false">SUM(U661:AB661)</f>
        <v>0</v>
      </c>
      <c r="AD661" s="7" t="n">
        <f aca="false">IF(AC661=0,1,0)</f>
        <v>1</v>
      </c>
      <c r="AE661" s="7" t="n">
        <f aca="false">IF(AND(O661=1,I661&gt;=Inputs!$B$6,I661&lt;=Inputs!$B$7),1,0)</f>
        <v>0</v>
      </c>
      <c r="AF661" s="7" t="n">
        <f aca="false">IF(AND(E661="Closed Won",I661&gt;=Inputs!$B$6,I661&lt;=Inputs!$B$4),1,0)</f>
        <v>0</v>
      </c>
      <c r="AG661" s="7" t="n">
        <f aca="false">IF(AND(O661=0,I661&gt;Inputs!$B$4-Inputs!$B$8,I661&lt;=Inputs!$B$4),1,0)</f>
        <v>1</v>
      </c>
      <c r="AH661" s="7" t="n">
        <f aca="false">I661-H661</f>
        <v>103</v>
      </c>
    </row>
    <row r="662" customFormat="false" ht="15" hidden="false" customHeight="false" outlineLevel="0" collapsed="false">
      <c r="A662" s="16" t="s">
        <v>2014</v>
      </c>
      <c r="B662" s="16" t="s">
        <v>476</v>
      </c>
      <c r="C662" s="16" t="s">
        <v>2015</v>
      </c>
      <c r="D662" s="16" t="s">
        <v>167</v>
      </c>
      <c r="E662" s="16" t="s">
        <v>530</v>
      </c>
      <c r="F662" s="26" t="n">
        <v>7285000</v>
      </c>
      <c r="G662" s="25" t="n">
        <v>100</v>
      </c>
      <c r="H662" s="22" t="n">
        <v>46015</v>
      </c>
      <c r="I662" s="22" t="n">
        <v>46174</v>
      </c>
      <c r="J662" s="22" t="n">
        <v>46174</v>
      </c>
      <c r="K662" s="16" t="s">
        <v>646</v>
      </c>
      <c r="L662" s="16" t="s">
        <v>584</v>
      </c>
      <c r="M662" s="16"/>
      <c r="N662" s="16"/>
      <c r="O662" s="7" t="n">
        <f aca="false">IF(OR(E662="Closed Won",E662="Closed Lost"),0,1)</f>
        <v>0</v>
      </c>
      <c r="P662" s="17" t="str">
        <f aca="false">INDEX(Accounts!$K$5:$K$336,MATCH(B662,Accounts!$A$5:$A$336,0))</f>
        <v>Real Estate &amp; Infrastructure</v>
      </c>
      <c r="Q662" s="17" t="str">
        <f aca="false">INDEX(Accounts!$D$5:$D$336,MATCH(B662,Accounts!$A$5:$A$336,0))</f>
        <v>Key</v>
      </c>
      <c r="R662" s="7" t="n">
        <f aca="false">INDEX(Inputs!$B$11:$B$16,MATCH(E662,Inputs!$A$11:$A$16,0))</f>
        <v>100</v>
      </c>
      <c r="S662" s="27" t="n">
        <f aca="false">IF(F662="",0,F662)*R662/100</f>
        <v>7285000</v>
      </c>
      <c r="T662" s="7" t="n">
        <f aca="false">Inputs!$B$4-J662</f>
        <v>140</v>
      </c>
      <c r="U662" s="7" t="n">
        <f aca="false">IF(OR(F662="",F662=0),1,0)</f>
        <v>0</v>
      </c>
      <c r="V662" s="7" t="n">
        <f aca="false">IF(K662="",1,0)</f>
        <v>0</v>
      </c>
      <c r="W662" s="7" t="n">
        <f aca="false">IF(AND(O662=1,K662&lt;&gt;"",COUNTIFS(Owners!$A$5:$A$32,K662,Owners!$E$5:$E$32,"No")&gt;0),1,0)</f>
        <v>0</v>
      </c>
      <c r="X662" s="7" t="n">
        <f aca="false">IF(AND(O662=1,I662&lt;Inputs!$B$4),1,0)</f>
        <v>0</v>
      </c>
      <c r="Y662" s="7" t="n">
        <f aca="false">IF(AND(O662=1,T662&gt;Inputs!$B$5),1,0)</f>
        <v>0</v>
      </c>
      <c r="Z662" s="7" t="n">
        <f aca="false">IF(AND(O662=1,G662&lt;&gt;R662),1,0)</f>
        <v>0</v>
      </c>
      <c r="AA662" s="7" t="n">
        <f aca="false">IF(AND(O662=1,M662=""),1,0)</f>
        <v>0</v>
      </c>
      <c r="AB662" s="7" t="n">
        <f aca="false">IF(AND(E662="Closed Lost",N662=""),1,0)</f>
        <v>0</v>
      </c>
      <c r="AC662" s="7" t="n">
        <f aca="false">SUM(U662:AB662)</f>
        <v>0</v>
      </c>
      <c r="AD662" s="7" t="n">
        <f aca="false">IF(AC662=0,1,0)</f>
        <v>1</v>
      </c>
      <c r="AE662" s="7" t="n">
        <f aca="false">IF(AND(O662=1,I662&gt;=Inputs!$B$6,I662&lt;=Inputs!$B$7),1,0)</f>
        <v>0</v>
      </c>
      <c r="AF662" s="7" t="n">
        <f aca="false">IF(AND(E662="Closed Won",I662&gt;=Inputs!$B$6,I662&lt;=Inputs!$B$4),1,0)</f>
        <v>0</v>
      </c>
      <c r="AG662" s="7" t="n">
        <f aca="false">IF(AND(O662=0,I662&gt;Inputs!$B$4-Inputs!$B$8,I662&lt;=Inputs!$B$4),1,0)</f>
        <v>1</v>
      </c>
      <c r="AH662" s="7" t="n">
        <f aca="false">I662-H662</f>
        <v>159</v>
      </c>
    </row>
    <row r="663" customFormat="false" ht="15" hidden="false" customHeight="false" outlineLevel="0" collapsed="false">
      <c r="A663" s="16" t="s">
        <v>2016</v>
      </c>
      <c r="B663" s="16" t="s">
        <v>72</v>
      </c>
      <c r="C663" s="16" t="s">
        <v>948</v>
      </c>
      <c r="D663" s="16" t="s">
        <v>165</v>
      </c>
      <c r="E663" s="16" t="s">
        <v>527</v>
      </c>
      <c r="F663" s="26" t="n">
        <v>8893000</v>
      </c>
      <c r="G663" s="25" t="n">
        <v>25</v>
      </c>
      <c r="H663" s="22" t="n">
        <v>46256</v>
      </c>
      <c r="I663" s="22" t="n">
        <v>46551</v>
      </c>
      <c r="J663" s="22" t="n">
        <v>46293</v>
      </c>
      <c r="K663" s="16" t="s">
        <v>583</v>
      </c>
      <c r="L663" s="16" t="s">
        <v>568</v>
      </c>
      <c r="M663" s="16" t="s">
        <v>575</v>
      </c>
      <c r="N663" s="16"/>
      <c r="O663" s="7" t="n">
        <f aca="false">IF(OR(E663="Closed Won",E663="Closed Lost"),0,1)</f>
        <v>1</v>
      </c>
      <c r="P663" s="17" t="str">
        <f aca="false">INDEX(Accounts!$K$5:$K$336,MATCH(B663,Accounts!$A$5:$A$336,0))</f>
        <v>Consumer &amp; Retail</v>
      </c>
      <c r="Q663" s="17" t="str">
        <f aca="false">INDEX(Accounts!$D$5:$D$336,MATCH(B663,Accounts!$A$5:$A$336,0))</f>
        <v>Priority</v>
      </c>
      <c r="R663" s="7" t="n">
        <f aca="false">INDEX(Inputs!$B$11:$B$16,MATCH(E663,Inputs!$A$11:$A$16,0))</f>
        <v>25</v>
      </c>
      <c r="S663" s="27" t="n">
        <f aca="false">IF(F663="",0,F663)*R663/100</f>
        <v>2223250</v>
      </c>
      <c r="T663" s="7" t="n">
        <f aca="false">Inputs!$B$4-J663</f>
        <v>21</v>
      </c>
      <c r="U663" s="7" t="n">
        <f aca="false">IF(OR(F663="",F663=0),1,0)</f>
        <v>0</v>
      </c>
      <c r="V663" s="7" t="n">
        <f aca="false">IF(K663="",1,0)</f>
        <v>0</v>
      </c>
      <c r="W663" s="7" t="n">
        <f aca="false">IF(AND(O663=1,K663&lt;&gt;"",COUNTIFS(Owners!$A$5:$A$32,K663,Owners!$E$5:$E$32,"No")&gt;0),1,0)</f>
        <v>1</v>
      </c>
      <c r="X663" s="7" t="n">
        <f aca="false">IF(AND(O663=1,I663&lt;Inputs!$B$4),1,0)</f>
        <v>0</v>
      </c>
      <c r="Y663" s="7" t="n">
        <f aca="false">IF(AND(O663=1,T663&gt;Inputs!$B$5),1,0)</f>
        <v>0</v>
      </c>
      <c r="Z663" s="7" t="n">
        <f aca="false">IF(AND(O663=1,G663&lt;&gt;R663),1,0)</f>
        <v>0</v>
      </c>
      <c r="AA663" s="7" t="n">
        <f aca="false">IF(AND(O663=1,M663=""),1,0)</f>
        <v>0</v>
      </c>
      <c r="AB663" s="7" t="n">
        <f aca="false">IF(AND(E663="Closed Lost",N663=""),1,0)</f>
        <v>0</v>
      </c>
      <c r="AC663" s="7" t="n">
        <f aca="false">SUM(U663:AB663)</f>
        <v>1</v>
      </c>
      <c r="AD663" s="7" t="n">
        <f aca="false">IF(AC663=0,1,0)</f>
        <v>0</v>
      </c>
      <c r="AE663" s="7" t="n">
        <f aca="false">IF(AND(O663=1,I663&gt;=Inputs!$B$6,I663&lt;=Inputs!$B$7),1,0)</f>
        <v>1</v>
      </c>
      <c r="AF663" s="7" t="n">
        <f aca="false">IF(AND(E663="Closed Won",I663&gt;=Inputs!$B$6,I663&lt;=Inputs!$B$4),1,0)</f>
        <v>0</v>
      </c>
      <c r="AG663" s="7" t="n">
        <f aca="false">IF(AND(O663=0,I663&gt;Inputs!$B$4-Inputs!$B$8,I663&lt;=Inputs!$B$4),1,0)</f>
        <v>0</v>
      </c>
      <c r="AH663" s="7" t="n">
        <f aca="false">I663-H663</f>
        <v>295</v>
      </c>
    </row>
    <row r="664" customFormat="false" ht="15" hidden="false" customHeight="false" outlineLevel="0" collapsed="false">
      <c r="A664" s="16" t="s">
        <v>2017</v>
      </c>
      <c r="B664" s="16" t="s">
        <v>85</v>
      </c>
      <c r="C664" s="16" t="s">
        <v>2018</v>
      </c>
      <c r="D664" s="16" t="s">
        <v>165</v>
      </c>
      <c r="E664" s="16" t="s">
        <v>526</v>
      </c>
      <c r="F664" s="26" t="n">
        <v>7878000</v>
      </c>
      <c r="G664" s="25" t="n">
        <v>10</v>
      </c>
      <c r="H664" s="22" t="n">
        <v>46157</v>
      </c>
      <c r="I664" s="22" t="n">
        <v>46552</v>
      </c>
      <c r="J664" s="22" t="n">
        <v>46214</v>
      </c>
      <c r="K664" s="16" t="s">
        <v>666</v>
      </c>
      <c r="L664" s="16" t="s">
        <v>500</v>
      </c>
      <c r="M664" s="16" t="s">
        <v>619</v>
      </c>
      <c r="N664" s="16"/>
      <c r="O664" s="7" t="n">
        <f aca="false">IF(OR(E664="Closed Won",E664="Closed Lost"),0,1)</f>
        <v>1</v>
      </c>
      <c r="P664" s="17" t="str">
        <f aca="false">INDEX(Accounts!$K$5:$K$336,MATCH(B664,Accounts!$A$5:$A$336,0))</f>
        <v>Energy &amp; Resources</v>
      </c>
      <c r="Q664" s="17" t="str">
        <f aca="false">INDEX(Accounts!$D$5:$D$336,MATCH(B664,Accounts!$A$5:$A$336,0))</f>
        <v>Priority</v>
      </c>
      <c r="R664" s="7" t="n">
        <f aca="false">INDEX(Inputs!$B$11:$B$16,MATCH(E664,Inputs!$A$11:$A$16,0))</f>
        <v>10</v>
      </c>
      <c r="S664" s="27" t="n">
        <f aca="false">IF(F664="",0,F664)*R664/100</f>
        <v>787800</v>
      </c>
      <c r="T664" s="7" t="n">
        <f aca="false">Inputs!$B$4-J664</f>
        <v>100</v>
      </c>
      <c r="U664" s="7" t="n">
        <f aca="false">IF(OR(F664="",F664=0),1,0)</f>
        <v>0</v>
      </c>
      <c r="V664" s="7" t="n">
        <f aca="false">IF(K664="",1,0)</f>
        <v>0</v>
      </c>
      <c r="W664" s="7" t="n">
        <f aca="false">IF(AND(O664=1,K664&lt;&gt;"",COUNTIFS(Owners!$A$5:$A$32,K664,Owners!$E$5:$E$32,"No")&gt;0),1,0)</f>
        <v>0</v>
      </c>
      <c r="X664" s="7" t="n">
        <f aca="false">IF(AND(O664=1,I664&lt;Inputs!$B$4),1,0)</f>
        <v>0</v>
      </c>
      <c r="Y664" s="7" t="n">
        <f aca="false">IF(AND(O664=1,T664&gt;Inputs!$B$5),1,0)</f>
        <v>1</v>
      </c>
      <c r="Z664" s="7" t="n">
        <f aca="false">IF(AND(O664=1,G664&lt;&gt;R664),1,0)</f>
        <v>0</v>
      </c>
      <c r="AA664" s="7" t="n">
        <f aca="false">IF(AND(O664=1,M664=""),1,0)</f>
        <v>0</v>
      </c>
      <c r="AB664" s="7" t="n">
        <f aca="false">IF(AND(E664="Closed Lost",N664=""),1,0)</f>
        <v>0</v>
      </c>
      <c r="AC664" s="7" t="n">
        <f aca="false">SUM(U664:AB664)</f>
        <v>1</v>
      </c>
      <c r="AD664" s="7" t="n">
        <f aca="false">IF(AC664=0,1,0)</f>
        <v>0</v>
      </c>
      <c r="AE664" s="7" t="n">
        <f aca="false">IF(AND(O664=1,I664&gt;=Inputs!$B$6,I664&lt;=Inputs!$B$7),1,0)</f>
        <v>1</v>
      </c>
      <c r="AF664" s="7" t="n">
        <f aca="false">IF(AND(E664="Closed Won",I664&gt;=Inputs!$B$6,I664&lt;=Inputs!$B$4),1,0)</f>
        <v>0</v>
      </c>
      <c r="AG664" s="7" t="n">
        <f aca="false">IF(AND(O664=0,I664&gt;Inputs!$B$4-Inputs!$B$8,I664&lt;=Inputs!$B$4),1,0)</f>
        <v>0</v>
      </c>
      <c r="AH664" s="7" t="n">
        <f aca="false">I664-H664</f>
        <v>395</v>
      </c>
    </row>
    <row r="665" customFormat="false" ht="15" hidden="false" customHeight="false" outlineLevel="0" collapsed="false">
      <c r="A665" s="16" t="s">
        <v>2019</v>
      </c>
      <c r="B665" s="16" t="s">
        <v>668</v>
      </c>
      <c r="C665" s="16" t="s">
        <v>2020</v>
      </c>
      <c r="D665" s="16" t="s">
        <v>167</v>
      </c>
      <c r="E665" s="16" t="s">
        <v>527</v>
      </c>
      <c r="F665" s="26" t="n">
        <v>7205000</v>
      </c>
      <c r="G665" s="25" t="n">
        <v>25</v>
      </c>
      <c r="H665" s="22" t="n">
        <v>46180</v>
      </c>
      <c r="I665" s="22" t="n">
        <v>46563</v>
      </c>
      <c r="J665" s="22" t="n">
        <v>46292</v>
      </c>
      <c r="K665" s="16" t="s">
        <v>651</v>
      </c>
      <c r="L665" s="16" t="s">
        <v>568</v>
      </c>
      <c r="M665" s="16" t="s">
        <v>619</v>
      </c>
      <c r="N665" s="16"/>
      <c r="O665" s="7" t="n">
        <f aca="false">IF(OR(E665="Closed Won",E665="Closed Lost"),0,1)</f>
        <v>1</v>
      </c>
      <c r="P665" s="17" t="str">
        <f aca="false">INDEX(Accounts!$K$5:$K$336,MATCH(B665,Accounts!$A$5:$A$336,0))</f>
        <v>Public Sector &amp; Development</v>
      </c>
      <c r="Q665" s="17" t="str">
        <f aca="false">INDEX(Accounts!$D$5:$D$336,MATCH(B665,Accounts!$A$5:$A$336,0))</f>
        <v>Key</v>
      </c>
      <c r="R665" s="7" t="n">
        <f aca="false">INDEX(Inputs!$B$11:$B$16,MATCH(E665,Inputs!$A$11:$A$16,0))</f>
        <v>25</v>
      </c>
      <c r="S665" s="27" t="n">
        <f aca="false">IF(F665="",0,F665)*R665/100</f>
        <v>1801250</v>
      </c>
      <c r="T665" s="7" t="n">
        <f aca="false">Inputs!$B$4-J665</f>
        <v>22</v>
      </c>
      <c r="U665" s="7" t="n">
        <f aca="false">IF(OR(F665="",F665=0),1,0)</f>
        <v>0</v>
      </c>
      <c r="V665" s="7" t="n">
        <f aca="false">IF(K665="",1,0)</f>
        <v>0</v>
      </c>
      <c r="W665" s="7" t="n">
        <f aca="false">IF(AND(O665=1,K665&lt;&gt;"",COUNTIFS(Owners!$A$5:$A$32,K665,Owners!$E$5:$E$32,"No")&gt;0),1,0)</f>
        <v>0</v>
      </c>
      <c r="X665" s="7" t="n">
        <f aca="false">IF(AND(O665=1,I665&lt;Inputs!$B$4),1,0)</f>
        <v>0</v>
      </c>
      <c r="Y665" s="7" t="n">
        <f aca="false">IF(AND(O665=1,T665&gt;Inputs!$B$5),1,0)</f>
        <v>0</v>
      </c>
      <c r="Z665" s="7" t="n">
        <f aca="false">IF(AND(O665=1,G665&lt;&gt;R665),1,0)</f>
        <v>0</v>
      </c>
      <c r="AA665" s="7" t="n">
        <f aca="false">IF(AND(O665=1,M665=""),1,0)</f>
        <v>0</v>
      </c>
      <c r="AB665" s="7" t="n">
        <f aca="false">IF(AND(E665="Closed Lost",N665=""),1,0)</f>
        <v>0</v>
      </c>
      <c r="AC665" s="7" t="n">
        <f aca="false">SUM(U665:AB665)</f>
        <v>0</v>
      </c>
      <c r="AD665" s="7" t="n">
        <f aca="false">IF(AC665=0,1,0)</f>
        <v>1</v>
      </c>
      <c r="AE665" s="7" t="n">
        <f aca="false">IF(AND(O665=1,I665&gt;=Inputs!$B$6,I665&lt;=Inputs!$B$7),1,0)</f>
        <v>1</v>
      </c>
      <c r="AF665" s="7" t="n">
        <f aca="false">IF(AND(E665="Closed Won",I665&gt;=Inputs!$B$6,I665&lt;=Inputs!$B$4),1,0)</f>
        <v>0</v>
      </c>
      <c r="AG665" s="7" t="n">
        <f aca="false">IF(AND(O665=0,I665&gt;Inputs!$B$4-Inputs!$B$8,I665&lt;=Inputs!$B$4),1,0)</f>
        <v>0</v>
      </c>
      <c r="AH665" s="7" t="n">
        <f aca="false">I665-H665</f>
        <v>383</v>
      </c>
    </row>
    <row r="666" customFormat="false" ht="15" hidden="false" customHeight="false" outlineLevel="0" collapsed="false">
      <c r="A666" s="16" t="s">
        <v>2021</v>
      </c>
      <c r="B666" s="16" t="s">
        <v>456</v>
      </c>
      <c r="C666" s="16" t="s">
        <v>2022</v>
      </c>
      <c r="D666" s="16" t="s">
        <v>165</v>
      </c>
      <c r="E666" s="16" t="s">
        <v>531</v>
      </c>
      <c r="F666" s="26" t="n">
        <v>6342000</v>
      </c>
      <c r="G666" s="25" t="n">
        <v>0</v>
      </c>
      <c r="H666" s="22" t="n">
        <v>46033</v>
      </c>
      <c r="I666" s="22" t="n">
        <v>46266</v>
      </c>
      <c r="J666" s="22" t="n">
        <v>46266</v>
      </c>
      <c r="K666" s="16" t="s">
        <v>640</v>
      </c>
      <c r="L666" s="16" t="s">
        <v>574</v>
      </c>
      <c r="M666" s="16"/>
      <c r="N666" s="16" t="s">
        <v>713</v>
      </c>
      <c r="O666" s="7" t="n">
        <f aca="false">IF(OR(E666="Closed Won",E666="Closed Lost"),0,1)</f>
        <v>0</v>
      </c>
      <c r="P666" s="17" t="str">
        <f aca="false">INDEX(Accounts!$K$5:$K$336,MATCH(B666,Accounts!$A$5:$A$336,0))</f>
        <v>Agribusiness</v>
      </c>
      <c r="Q666" s="17" t="str">
        <f aca="false">INDEX(Accounts!$D$5:$D$336,MATCH(B666,Accounts!$A$5:$A$336,0))</f>
        <v>Key</v>
      </c>
      <c r="R666" s="7" t="n">
        <f aca="false">INDEX(Inputs!$B$11:$B$16,MATCH(E666,Inputs!$A$11:$A$16,0))</f>
        <v>0</v>
      </c>
      <c r="S666" s="27" t="n">
        <f aca="false">IF(F666="",0,F666)*R666/100</f>
        <v>0</v>
      </c>
      <c r="T666" s="7" t="n">
        <f aca="false">Inputs!$B$4-J666</f>
        <v>48</v>
      </c>
      <c r="U666" s="7" t="n">
        <f aca="false">IF(OR(F666="",F666=0),1,0)</f>
        <v>0</v>
      </c>
      <c r="V666" s="7" t="n">
        <f aca="false">IF(K666="",1,0)</f>
        <v>0</v>
      </c>
      <c r="W666" s="7" t="n">
        <f aca="false">IF(AND(O666=1,K666&lt;&gt;"",COUNTIFS(Owners!$A$5:$A$32,K666,Owners!$E$5:$E$32,"No")&gt;0),1,0)</f>
        <v>0</v>
      </c>
      <c r="X666" s="7" t="n">
        <f aca="false">IF(AND(O666=1,I666&lt;Inputs!$B$4),1,0)</f>
        <v>0</v>
      </c>
      <c r="Y666" s="7" t="n">
        <f aca="false">IF(AND(O666=1,T666&gt;Inputs!$B$5),1,0)</f>
        <v>0</v>
      </c>
      <c r="Z666" s="7" t="n">
        <f aca="false">IF(AND(O666=1,G666&lt;&gt;R666),1,0)</f>
        <v>0</v>
      </c>
      <c r="AA666" s="7" t="n">
        <f aca="false">IF(AND(O666=1,M666=""),1,0)</f>
        <v>0</v>
      </c>
      <c r="AB666" s="7" t="n">
        <f aca="false">IF(AND(E666="Closed Lost",N666=""),1,0)</f>
        <v>0</v>
      </c>
      <c r="AC666" s="7" t="n">
        <f aca="false">SUM(U666:AB666)</f>
        <v>0</v>
      </c>
      <c r="AD666" s="7" t="n">
        <f aca="false">IF(AC666=0,1,0)</f>
        <v>1</v>
      </c>
      <c r="AE666" s="7" t="n">
        <f aca="false">IF(AND(O666=1,I666&gt;=Inputs!$B$6,I666&lt;=Inputs!$B$7),1,0)</f>
        <v>0</v>
      </c>
      <c r="AF666" s="7" t="n">
        <f aca="false">IF(AND(E666="Closed Won",I666&gt;=Inputs!$B$6,I666&lt;=Inputs!$B$4),1,0)</f>
        <v>0</v>
      </c>
      <c r="AG666" s="7" t="n">
        <f aca="false">IF(AND(O666=0,I666&gt;Inputs!$B$4-Inputs!$B$8,I666&lt;=Inputs!$B$4),1,0)</f>
        <v>1</v>
      </c>
      <c r="AH666" s="7" t="n">
        <f aca="false">I666-H666</f>
        <v>233</v>
      </c>
    </row>
    <row r="667" customFormat="false" ht="15" hidden="false" customHeight="false" outlineLevel="0" collapsed="false">
      <c r="A667" s="16" t="s">
        <v>2023</v>
      </c>
      <c r="B667" s="16" t="s">
        <v>89</v>
      </c>
      <c r="C667" s="16" t="s">
        <v>2024</v>
      </c>
      <c r="D667" s="16" t="s">
        <v>167</v>
      </c>
      <c r="E667" s="16" t="s">
        <v>530</v>
      </c>
      <c r="F667" s="26" t="n">
        <v>12068000</v>
      </c>
      <c r="G667" s="25" t="n">
        <v>100</v>
      </c>
      <c r="H667" s="22" t="n">
        <v>45973</v>
      </c>
      <c r="I667" s="22" t="n">
        <v>46249</v>
      </c>
      <c r="J667" s="22" t="n">
        <v>46249</v>
      </c>
      <c r="K667" s="16" t="s">
        <v>591</v>
      </c>
      <c r="L667" s="16" t="s">
        <v>584</v>
      </c>
      <c r="M667" s="16"/>
      <c r="N667" s="16"/>
      <c r="O667" s="7" t="n">
        <f aca="false">IF(OR(E667="Closed Won",E667="Closed Lost"),0,1)</f>
        <v>0</v>
      </c>
      <c r="P667" s="17" t="str">
        <f aca="false">INDEX(Accounts!$K$5:$K$336,MATCH(B667,Accounts!$A$5:$A$336,0))</f>
        <v>Agribusiness</v>
      </c>
      <c r="Q667" s="17" t="str">
        <f aca="false">INDEX(Accounts!$D$5:$D$336,MATCH(B667,Accounts!$A$5:$A$336,0))</f>
        <v>Priority</v>
      </c>
      <c r="R667" s="7" t="n">
        <f aca="false">INDEX(Inputs!$B$11:$B$16,MATCH(E667,Inputs!$A$11:$A$16,0))</f>
        <v>100</v>
      </c>
      <c r="S667" s="27" t="n">
        <f aca="false">IF(F667="",0,F667)*R667/100</f>
        <v>12068000</v>
      </c>
      <c r="T667" s="7" t="n">
        <f aca="false">Inputs!$B$4-J667</f>
        <v>65</v>
      </c>
      <c r="U667" s="7" t="n">
        <f aca="false">IF(OR(F667="",F667=0),1,0)</f>
        <v>0</v>
      </c>
      <c r="V667" s="7" t="n">
        <f aca="false">IF(K667="",1,0)</f>
        <v>0</v>
      </c>
      <c r="W667" s="7" t="n">
        <f aca="false">IF(AND(O667=1,K667&lt;&gt;"",COUNTIFS(Owners!$A$5:$A$32,K667,Owners!$E$5:$E$32,"No")&gt;0),1,0)</f>
        <v>0</v>
      </c>
      <c r="X667" s="7" t="n">
        <f aca="false">IF(AND(O667=1,I667&lt;Inputs!$B$4),1,0)</f>
        <v>0</v>
      </c>
      <c r="Y667" s="7" t="n">
        <f aca="false">IF(AND(O667=1,T667&gt;Inputs!$B$5),1,0)</f>
        <v>0</v>
      </c>
      <c r="Z667" s="7" t="n">
        <f aca="false">IF(AND(O667=1,G667&lt;&gt;R667),1,0)</f>
        <v>0</v>
      </c>
      <c r="AA667" s="7" t="n">
        <f aca="false">IF(AND(O667=1,M667=""),1,0)</f>
        <v>0</v>
      </c>
      <c r="AB667" s="7" t="n">
        <f aca="false">IF(AND(E667="Closed Lost",N667=""),1,0)</f>
        <v>0</v>
      </c>
      <c r="AC667" s="7" t="n">
        <f aca="false">SUM(U667:AB667)</f>
        <v>0</v>
      </c>
      <c r="AD667" s="7" t="n">
        <f aca="false">IF(AC667=0,1,0)</f>
        <v>1</v>
      </c>
      <c r="AE667" s="7" t="n">
        <f aca="false">IF(AND(O667=1,I667&gt;=Inputs!$B$6,I667&lt;=Inputs!$B$7),1,0)</f>
        <v>0</v>
      </c>
      <c r="AF667" s="7" t="n">
        <f aca="false">IF(AND(E667="Closed Won",I667&gt;=Inputs!$B$6,I667&lt;=Inputs!$B$4),1,0)</f>
        <v>1</v>
      </c>
      <c r="AG667" s="7" t="n">
        <f aca="false">IF(AND(O667=0,I667&gt;Inputs!$B$4-Inputs!$B$8,I667&lt;=Inputs!$B$4),1,0)</f>
        <v>1</v>
      </c>
      <c r="AH667" s="7" t="n">
        <f aca="false">I667-H667</f>
        <v>276</v>
      </c>
    </row>
    <row r="668" customFormat="false" ht="15" hidden="false" customHeight="false" outlineLevel="0" collapsed="false">
      <c r="A668" s="16" t="s">
        <v>2025</v>
      </c>
      <c r="B668" s="16" t="s">
        <v>193</v>
      </c>
      <c r="C668" s="16" t="s">
        <v>2026</v>
      </c>
      <c r="D668" s="16" t="s">
        <v>167</v>
      </c>
      <c r="E668" s="16" t="s">
        <v>528</v>
      </c>
      <c r="F668" s="26" t="n">
        <v>9495000</v>
      </c>
      <c r="G668" s="25" t="n">
        <v>50</v>
      </c>
      <c r="H668" s="22" t="n">
        <v>46279</v>
      </c>
      <c r="I668" s="22" t="n">
        <v>46360</v>
      </c>
      <c r="J668" s="22" t="n">
        <v>46228</v>
      </c>
      <c r="K668" s="16" t="s">
        <v>729</v>
      </c>
      <c r="L668" s="16" t="s">
        <v>584</v>
      </c>
      <c r="M668" s="16" t="s">
        <v>613</v>
      </c>
      <c r="N668" s="16"/>
      <c r="O668" s="7" t="n">
        <f aca="false">IF(OR(E668="Closed Won",E668="Closed Lost"),0,1)</f>
        <v>1</v>
      </c>
      <c r="P668" s="17" t="str">
        <f aca="false">INDEX(Accounts!$K$5:$K$336,MATCH(B668,Accounts!$A$5:$A$336,0))</f>
        <v>Unassigned</v>
      </c>
      <c r="Q668" s="17" t="str">
        <f aca="false">INDEX(Accounts!$D$5:$D$336,MATCH(B668,Accounts!$A$5:$A$336,0))</f>
        <v>Key</v>
      </c>
      <c r="R668" s="7" t="n">
        <f aca="false">INDEX(Inputs!$B$11:$B$16,MATCH(E668,Inputs!$A$11:$A$16,0))</f>
        <v>50</v>
      </c>
      <c r="S668" s="27" t="n">
        <f aca="false">IF(F668="",0,F668)*R668/100</f>
        <v>4747500</v>
      </c>
      <c r="T668" s="7" t="n">
        <f aca="false">Inputs!$B$4-J668</f>
        <v>86</v>
      </c>
      <c r="U668" s="7" t="n">
        <f aca="false">IF(OR(F668="",F668=0),1,0)</f>
        <v>0</v>
      </c>
      <c r="V668" s="7" t="n">
        <f aca="false">IF(K668="",1,0)</f>
        <v>0</v>
      </c>
      <c r="W668" s="7" t="n">
        <f aca="false">IF(AND(O668=1,K668&lt;&gt;"",COUNTIFS(Owners!$A$5:$A$32,K668,Owners!$E$5:$E$32,"No")&gt;0),1,0)</f>
        <v>0</v>
      </c>
      <c r="X668" s="7" t="n">
        <f aca="false">IF(AND(O668=1,I668&lt;Inputs!$B$4),1,0)</f>
        <v>0</v>
      </c>
      <c r="Y668" s="7" t="n">
        <f aca="false">IF(AND(O668=1,T668&gt;Inputs!$B$5),1,0)</f>
        <v>1</v>
      </c>
      <c r="Z668" s="7" t="n">
        <f aca="false">IF(AND(O668=1,G668&lt;&gt;R668),1,0)</f>
        <v>0</v>
      </c>
      <c r="AA668" s="7" t="n">
        <f aca="false">IF(AND(O668=1,M668=""),1,0)</f>
        <v>0</v>
      </c>
      <c r="AB668" s="7" t="n">
        <f aca="false">IF(AND(E668="Closed Lost",N668=""),1,0)</f>
        <v>0</v>
      </c>
      <c r="AC668" s="7" t="n">
        <f aca="false">SUM(U668:AB668)</f>
        <v>1</v>
      </c>
      <c r="AD668" s="7" t="n">
        <f aca="false">IF(AC668=0,1,0)</f>
        <v>0</v>
      </c>
      <c r="AE668" s="7" t="n">
        <f aca="false">IF(AND(O668=1,I668&gt;=Inputs!$B$6,I668&lt;=Inputs!$B$7),1,0)</f>
        <v>1</v>
      </c>
      <c r="AF668" s="7" t="n">
        <f aca="false">IF(AND(E668="Closed Won",I668&gt;=Inputs!$B$6,I668&lt;=Inputs!$B$4),1,0)</f>
        <v>0</v>
      </c>
      <c r="AG668" s="7" t="n">
        <f aca="false">IF(AND(O668=0,I668&gt;Inputs!$B$4-Inputs!$B$8,I668&lt;=Inputs!$B$4),1,0)</f>
        <v>0</v>
      </c>
      <c r="AH668" s="7" t="n">
        <f aca="false">I668-H668</f>
        <v>81</v>
      </c>
    </row>
    <row r="669" customFormat="false" ht="15" hidden="false" customHeight="false" outlineLevel="0" collapsed="false">
      <c r="A669" s="16" t="s">
        <v>2027</v>
      </c>
      <c r="B669" s="16" t="s">
        <v>68</v>
      </c>
      <c r="C669" s="16" t="s">
        <v>2028</v>
      </c>
      <c r="D669" s="16" t="s">
        <v>167</v>
      </c>
      <c r="E669" s="16" t="s">
        <v>528</v>
      </c>
      <c r="F669" s="26" t="n">
        <v>9081000</v>
      </c>
      <c r="G669" s="25" t="n">
        <v>50</v>
      </c>
      <c r="H669" s="22" t="n">
        <v>46210</v>
      </c>
      <c r="I669" s="22" t="n">
        <v>46329</v>
      </c>
      <c r="J669" s="22" t="n">
        <v>46281</v>
      </c>
      <c r="K669" s="16" t="s">
        <v>640</v>
      </c>
      <c r="L669" s="16" t="s">
        <v>609</v>
      </c>
      <c r="M669" s="16" t="s">
        <v>601</v>
      </c>
      <c r="N669" s="16"/>
      <c r="O669" s="7" t="n">
        <f aca="false">IF(OR(E669="Closed Won",E669="Closed Lost"),0,1)</f>
        <v>1</v>
      </c>
      <c r="P669" s="17" t="str">
        <f aca="false">INDEX(Accounts!$K$5:$K$336,MATCH(B669,Accounts!$A$5:$A$336,0))</f>
        <v>Financial Services</v>
      </c>
      <c r="Q669" s="17" t="str">
        <f aca="false">INDEX(Accounts!$D$5:$D$336,MATCH(B669,Accounts!$A$5:$A$336,0))</f>
        <v>Priority</v>
      </c>
      <c r="R669" s="7" t="n">
        <f aca="false">INDEX(Inputs!$B$11:$B$16,MATCH(E669,Inputs!$A$11:$A$16,0))</f>
        <v>50</v>
      </c>
      <c r="S669" s="27" t="n">
        <f aca="false">IF(F669="",0,F669)*R669/100</f>
        <v>4540500</v>
      </c>
      <c r="T669" s="7" t="n">
        <f aca="false">Inputs!$B$4-J669</f>
        <v>33</v>
      </c>
      <c r="U669" s="7" t="n">
        <f aca="false">IF(OR(F669="",F669=0),1,0)</f>
        <v>0</v>
      </c>
      <c r="V669" s="7" t="n">
        <f aca="false">IF(K669="",1,0)</f>
        <v>0</v>
      </c>
      <c r="W669" s="7" t="n">
        <f aca="false">IF(AND(O669=1,K669&lt;&gt;"",COUNTIFS(Owners!$A$5:$A$32,K669,Owners!$E$5:$E$32,"No")&gt;0),1,0)</f>
        <v>0</v>
      </c>
      <c r="X669" s="7" t="n">
        <f aca="false">IF(AND(O669=1,I669&lt;Inputs!$B$4),1,0)</f>
        <v>0</v>
      </c>
      <c r="Y669" s="7" t="n">
        <f aca="false">IF(AND(O669=1,T669&gt;Inputs!$B$5),1,0)</f>
        <v>0</v>
      </c>
      <c r="Z669" s="7" t="n">
        <f aca="false">IF(AND(O669=1,G669&lt;&gt;R669),1,0)</f>
        <v>0</v>
      </c>
      <c r="AA669" s="7" t="n">
        <f aca="false">IF(AND(O669=1,M669=""),1,0)</f>
        <v>0</v>
      </c>
      <c r="AB669" s="7" t="n">
        <f aca="false">IF(AND(E669="Closed Lost",N669=""),1,0)</f>
        <v>0</v>
      </c>
      <c r="AC669" s="7" t="n">
        <f aca="false">SUM(U669:AB669)</f>
        <v>0</v>
      </c>
      <c r="AD669" s="7" t="n">
        <f aca="false">IF(AC669=0,1,0)</f>
        <v>1</v>
      </c>
      <c r="AE669" s="7" t="n">
        <f aca="false">IF(AND(O669=1,I669&gt;=Inputs!$B$6,I669&lt;=Inputs!$B$7),1,0)</f>
        <v>1</v>
      </c>
      <c r="AF669" s="7" t="n">
        <f aca="false">IF(AND(E669="Closed Won",I669&gt;=Inputs!$B$6,I669&lt;=Inputs!$B$4),1,0)</f>
        <v>0</v>
      </c>
      <c r="AG669" s="7" t="n">
        <f aca="false">IF(AND(O669=0,I669&gt;Inputs!$B$4-Inputs!$B$8,I669&lt;=Inputs!$B$4),1,0)</f>
        <v>0</v>
      </c>
      <c r="AH669" s="7" t="n">
        <f aca="false">I669-H669</f>
        <v>119</v>
      </c>
    </row>
    <row r="670" customFormat="false" ht="15" hidden="false" customHeight="false" outlineLevel="0" collapsed="false">
      <c r="A670" s="16" t="s">
        <v>2029</v>
      </c>
      <c r="B670" s="16" t="s">
        <v>668</v>
      </c>
      <c r="C670" s="16" t="s">
        <v>2030</v>
      </c>
      <c r="D670" s="16" t="s">
        <v>162</v>
      </c>
      <c r="E670" s="16" t="s">
        <v>528</v>
      </c>
      <c r="F670" s="26" t="n">
        <v>5028000</v>
      </c>
      <c r="G670" s="25" t="n">
        <v>50</v>
      </c>
      <c r="H670" s="22" t="n">
        <v>46222</v>
      </c>
      <c r="I670" s="22" t="n">
        <v>46417</v>
      </c>
      <c r="J670" s="22" t="n">
        <v>46252</v>
      </c>
      <c r="K670" s="16" t="s">
        <v>583</v>
      </c>
      <c r="L670" s="16" t="s">
        <v>584</v>
      </c>
      <c r="M670" s="16" t="s">
        <v>601</v>
      </c>
      <c r="N670" s="16"/>
      <c r="O670" s="7" t="n">
        <f aca="false">IF(OR(E670="Closed Won",E670="Closed Lost"),0,1)</f>
        <v>1</v>
      </c>
      <c r="P670" s="17" t="str">
        <f aca="false">INDEX(Accounts!$K$5:$K$336,MATCH(B670,Accounts!$A$5:$A$336,0))</f>
        <v>Public Sector &amp; Development</v>
      </c>
      <c r="Q670" s="17" t="str">
        <f aca="false">INDEX(Accounts!$D$5:$D$336,MATCH(B670,Accounts!$A$5:$A$336,0))</f>
        <v>Key</v>
      </c>
      <c r="R670" s="7" t="n">
        <f aca="false">INDEX(Inputs!$B$11:$B$16,MATCH(E670,Inputs!$A$11:$A$16,0))</f>
        <v>50</v>
      </c>
      <c r="S670" s="27" t="n">
        <f aca="false">IF(F670="",0,F670)*R670/100</f>
        <v>2514000</v>
      </c>
      <c r="T670" s="7" t="n">
        <f aca="false">Inputs!$B$4-J670</f>
        <v>62</v>
      </c>
      <c r="U670" s="7" t="n">
        <f aca="false">IF(OR(F670="",F670=0),1,0)</f>
        <v>0</v>
      </c>
      <c r="V670" s="7" t="n">
        <f aca="false">IF(K670="",1,0)</f>
        <v>0</v>
      </c>
      <c r="W670" s="7" t="n">
        <f aca="false">IF(AND(O670=1,K670&lt;&gt;"",COUNTIFS(Owners!$A$5:$A$32,K670,Owners!$E$5:$E$32,"No")&gt;0),1,0)</f>
        <v>1</v>
      </c>
      <c r="X670" s="7" t="n">
        <f aca="false">IF(AND(O670=1,I670&lt;Inputs!$B$4),1,0)</f>
        <v>0</v>
      </c>
      <c r="Y670" s="7" t="n">
        <f aca="false">IF(AND(O670=1,T670&gt;Inputs!$B$5),1,0)</f>
        <v>1</v>
      </c>
      <c r="Z670" s="7" t="n">
        <f aca="false">IF(AND(O670=1,G670&lt;&gt;R670),1,0)</f>
        <v>0</v>
      </c>
      <c r="AA670" s="7" t="n">
        <f aca="false">IF(AND(O670=1,M670=""),1,0)</f>
        <v>0</v>
      </c>
      <c r="AB670" s="7" t="n">
        <f aca="false">IF(AND(E670="Closed Lost",N670=""),1,0)</f>
        <v>0</v>
      </c>
      <c r="AC670" s="7" t="n">
        <f aca="false">SUM(U670:AB670)</f>
        <v>2</v>
      </c>
      <c r="AD670" s="7" t="n">
        <f aca="false">IF(AC670=0,1,0)</f>
        <v>0</v>
      </c>
      <c r="AE670" s="7" t="n">
        <f aca="false">IF(AND(O670=1,I670&gt;=Inputs!$B$6,I670&lt;=Inputs!$B$7),1,0)</f>
        <v>1</v>
      </c>
      <c r="AF670" s="7" t="n">
        <f aca="false">IF(AND(E670="Closed Won",I670&gt;=Inputs!$B$6,I670&lt;=Inputs!$B$4),1,0)</f>
        <v>0</v>
      </c>
      <c r="AG670" s="7" t="n">
        <f aca="false">IF(AND(O670=0,I670&gt;Inputs!$B$4-Inputs!$B$8,I670&lt;=Inputs!$B$4),1,0)</f>
        <v>0</v>
      </c>
      <c r="AH670" s="7" t="n">
        <f aca="false">I670-H670</f>
        <v>195</v>
      </c>
    </row>
    <row r="671" customFormat="false" ht="15" hidden="false" customHeight="false" outlineLevel="0" collapsed="false">
      <c r="A671" s="16" t="s">
        <v>2031</v>
      </c>
      <c r="B671" s="16" t="s">
        <v>229</v>
      </c>
      <c r="C671" s="16" t="s">
        <v>2032</v>
      </c>
      <c r="D671" s="16" t="s">
        <v>162</v>
      </c>
      <c r="E671" s="16" t="s">
        <v>531</v>
      </c>
      <c r="F671" s="26" t="n">
        <v>15787000</v>
      </c>
      <c r="G671" s="25" t="n">
        <v>0</v>
      </c>
      <c r="H671" s="22" t="n">
        <v>46112</v>
      </c>
      <c r="I671" s="22" t="n">
        <v>46175</v>
      </c>
      <c r="J671" s="22" t="n">
        <v>46175</v>
      </c>
      <c r="K671" s="16" t="s">
        <v>880</v>
      </c>
      <c r="L671" s="16" t="s">
        <v>584</v>
      </c>
      <c r="M671" s="16"/>
      <c r="N671" s="16" t="s">
        <v>597</v>
      </c>
      <c r="O671" s="7" t="n">
        <f aca="false">IF(OR(E671="Closed Won",E671="Closed Lost"),0,1)</f>
        <v>0</v>
      </c>
      <c r="P671" s="17" t="str">
        <f aca="false">INDEX(Accounts!$K$5:$K$336,MATCH(B671,Accounts!$A$5:$A$336,0))</f>
        <v>Technology, Media &amp; Telecom</v>
      </c>
      <c r="Q671" s="17" t="str">
        <f aca="false">INDEX(Accounts!$D$5:$D$336,MATCH(B671,Accounts!$A$5:$A$336,0))</f>
        <v>Standard</v>
      </c>
      <c r="R671" s="7" t="n">
        <f aca="false">INDEX(Inputs!$B$11:$B$16,MATCH(E671,Inputs!$A$11:$A$16,0))</f>
        <v>0</v>
      </c>
      <c r="S671" s="27" t="n">
        <f aca="false">IF(F671="",0,F671)*R671/100</f>
        <v>0</v>
      </c>
      <c r="T671" s="7" t="n">
        <f aca="false">Inputs!$B$4-J671</f>
        <v>139</v>
      </c>
      <c r="U671" s="7" t="n">
        <f aca="false">IF(OR(F671="",F671=0),1,0)</f>
        <v>0</v>
      </c>
      <c r="V671" s="7" t="n">
        <f aca="false">IF(K671="",1,0)</f>
        <v>0</v>
      </c>
      <c r="W671" s="7" t="n">
        <f aca="false">IF(AND(O671=1,K671&lt;&gt;"",COUNTIFS(Owners!$A$5:$A$32,K671,Owners!$E$5:$E$32,"No")&gt;0),1,0)</f>
        <v>0</v>
      </c>
      <c r="X671" s="7" t="n">
        <f aca="false">IF(AND(O671=1,I671&lt;Inputs!$B$4),1,0)</f>
        <v>0</v>
      </c>
      <c r="Y671" s="7" t="n">
        <f aca="false">IF(AND(O671=1,T671&gt;Inputs!$B$5),1,0)</f>
        <v>0</v>
      </c>
      <c r="Z671" s="7" t="n">
        <f aca="false">IF(AND(O671=1,G671&lt;&gt;R671),1,0)</f>
        <v>0</v>
      </c>
      <c r="AA671" s="7" t="n">
        <f aca="false">IF(AND(O671=1,M671=""),1,0)</f>
        <v>0</v>
      </c>
      <c r="AB671" s="7" t="n">
        <f aca="false">IF(AND(E671="Closed Lost",N671=""),1,0)</f>
        <v>0</v>
      </c>
      <c r="AC671" s="7" t="n">
        <f aca="false">SUM(U671:AB671)</f>
        <v>0</v>
      </c>
      <c r="AD671" s="7" t="n">
        <f aca="false">IF(AC671=0,1,0)</f>
        <v>1</v>
      </c>
      <c r="AE671" s="7" t="n">
        <f aca="false">IF(AND(O671=1,I671&gt;=Inputs!$B$6,I671&lt;=Inputs!$B$7),1,0)</f>
        <v>0</v>
      </c>
      <c r="AF671" s="7" t="n">
        <f aca="false">IF(AND(E671="Closed Won",I671&gt;=Inputs!$B$6,I671&lt;=Inputs!$B$4),1,0)</f>
        <v>0</v>
      </c>
      <c r="AG671" s="7" t="n">
        <f aca="false">IF(AND(O671=0,I671&gt;Inputs!$B$4-Inputs!$B$8,I671&lt;=Inputs!$B$4),1,0)</f>
        <v>1</v>
      </c>
      <c r="AH671" s="7" t="n">
        <f aca="false">I671-H671</f>
        <v>63</v>
      </c>
    </row>
    <row r="672" customFormat="false" ht="15" hidden="false" customHeight="false" outlineLevel="0" collapsed="false">
      <c r="A672" s="16" t="s">
        <v>2033</v>
      </c>
      <c r="B672" s="16" t="s">
        <v>231</v>
      </c>
      <c r="C672" s="16" t="s">
        <v>2034</v>
      </c>
      <c r="D672" s="16" t="s">
        <v>162</v>
      </c>
      <c r="E672" s="16" t="s">
        <v>531</v>
      </c>
      <c r="F672" s="26" t="n">
        <v>19387000</v>
      </c>
      <c r="G672" s="25" t="n">
        <v>0</v>
      </c>
      <c r="H672" s="22" t="n">
        <v>46120</v>
      </c>
      <c r="I672" s="22" t="n">
        <v>46249</v>
      </c>
      <c r="J672" s="22" t="n">
        <v>46249</v>
      </c>
      <c r="K672" s="16" t="s">
        <v>637</v>
      </c>
      <c r="L672" s="16" t="s">
        <v>500</v>
      </c>
      <c r="M672" s="16"/>
      <c r="N672" s="16"/>
      <c r="O672" s="7" t="n">
        <f aca="false">IF(OR(E672="Closed Won",E672="Closed Lost"),0,1)</f>
        <v>0</v>
      </c>
      <c r="P672" s="17" t="str">
        <f aca="false">INDEX(Accounts!$K$5:$K$336,MATCH(B672,Accounts!$A$5:$A$336,0))</f>
        <v>Health</v>
      </c>
      <c r="Q672" s="17" t="str">
        <f aca="false">INDEX(Accounts!$D$5:$D$336,MATCH(B672,Accounts!$A$5:$A$336,0))</f>
        <v>Standard</v>
      </c>
      <c r="R672" s="7" t="n">
        <f aca="false">INDEX(Inputs!$B$11:$B$16,MATCH(E672,Inputs!$A$11:$A$16,0))</f>
        <v>0</v>
      </c>
      <c r="S672" s="27" t="n">
        <f aca="false">IF(F672="",0,F672)*R672/100</f>
        <v>0</v>
      </c>
      <c r="T672" s="7" t="n">
        <f aca="false">Inputs!$B$4-J672</f>
        <v>65</v>
      </c>
      <c r="U672" s="7" t="n">
        <f aca="false">IF(OR(F672="",F672=0),1,0)</f>
        <v>0</v>
      </c>
      <c r="V672" s="7" t="n">
        <f aca="false">IF(K672="",1,0)</f>
        <v>0</v>
      </c>
      <c r="W672" s="7" t="n">
        <f aca="false">IF(AND(O672=1,K672&lt;&gt;"",COUNTIFS(Owners!$A$5:$A$32,K672,Owners!$E$5:$E$32,"No")&gt;0),1,0)</f>
        <v>0</v>
      </c>
      <c r="X672" s="7" t="n">
        <f aca="false">IF(AND(O672=1,I672&lt;Inputs!$B$4),1,0)</f>
        <v>0</v>
      </c>
      <c r="Y672" s="7" t="n">
        <f aca="false">IF(AND(O672=1,T672&gt;Inputs!$B$5),1,0)</f>
        <v>0</v>
      </c>
      <c r="Z672" s="7" t="n">
        <f aca="false">IF(AND(O672=1,G672&lt;&gt;R672),1,0)</f>
        <v>0</v>
      </c>
      <c r="AA672" s="7" t="n">
        <f aca="false">IF(AND(O672=1,M672=""),1,0)</f>
        <v>0</v>
      </c>
      <c r="AB672" s="7" t="n">
        <f aca="false">IF(AND(E672="Closed Lost",N672=""),1,0)</f>
        <v>1</v>
      </c>
      <c r="AC672" s="7" t="n">
        <f aca="false">SUM(U672:AB672)</f>
        <v>1</v>
      </c>
      <c r="AD672" s="7" t="n">
        <f aca="false">IF(AC672=0,1,0)</f>
        <v>0</v>
      </c>
      <c r="AE672" s="7" t="n">
        <f aca="false">IF(AND(O672=1,I672&gt;=Inputs!$B$6,I672&lt;=Inputs!$B$7),1,0)</f>
        <v>0</v>
      </c>
      <c r="AF672" s="7" t="n">
        <f aca="false">IF(AND(E672="Closed Won",I672&gt;=Inputs!$B$6,I672&lt;=Inputs!$B$4),1,0)</f>
        <v>0</v>
      </c>
      <c r="AG672" s="7" t="n">
        <f aca="false">IF(AND(O672=0,I672&gt;Inputs!$B$4-Inputs!$B$8,I672&lt;=Inputs!$B$4),1,0)</f>
        <v>1</v>
      </c>
      <c r="AH672" s="7" t="n">
        <f aca="false">I672-H672</f>
        <v>129</v>
      </c>
    </row>
    <row r="673" customFormat="false" ht="15" hidden="false" customHeight="false" outlineLevel="0" collapsed="false">
      <c r="A673" s="16" t="s">
        <v>2035</v>
      </c>
      <c r="B673" s="16" t="s">
        <v>60</v>
      </c>
      <c r="C673" s="16" t="s">
        <v>2036</v>
      </c>
      <c r="D673" s="16" t="s">
        <v>167</v>
      </c>
      <c r="E673" s="16" t="s">
        <v>531</v>
      </c>
      <c r="F673" s="26" t="n">
        <v>2371000</v>
      </c>
      <c r="G673" s="25" t="n">
        <v>0</v>
      </c>
      <c r="H673" s="22" t="n">
        <v>46083</v>
      </c>
      <c r="I673" s="22" t="n">
        <v>46181</v>
      </c>
      <c r="J673" s="22" t="n">
        <v>46181</v>
      </c>
      <c r="K673" s="16" t="s">
        <v>691</v>
      </c>
      <c r="L673" s="16" t="s">
        <v>500</v>
      </c>
      <c r="M673" s="16"/>
      <c r="N673" s="16" t="s">
        <v>610</v>
      </c>
      <c r="O673" s="7" t="n">
        <f aca="false">IF(OR(E673="Closed Won",E673="Closed Lost"),0,1)</f>
        <v>0</v>
      </c>
      <c r="P673" s="17" t="str">
        <f aca="false">INDEX(Accounts!$K$5:$K$336,MATCH(B673,Accounts!$A$5:$A$336,0))</f>
        <v>Financial Services</v>
      </c>
      <c r="Q673" s="17" t="str">
        <f aca="false">INDEX(Accounts!$D$5:$D$336,MATCH(B673,Accounts!$A$5:$A$336,0))</f>
        <v>Priority</v>
      </c>
      <c r="R673" s="7" t="n">
        <f aca="false">INDEX(Inputs!$B$11:$B$16,MATCH(E673,Inputs!$A$11:$A$16,0))</f>
        <v>0</v>
      </c>
      <c r="S673" s="27" t="n">
        <f aca="false">IF(F673="",0,F673)*R673/100</f>
        <v>0</v>
      </c>
      <c r="T673" s="7" t="n">
        <f aca="false">Inputs!$B$4-J673</f>
        <v>133</v>
      </c>
      <c r="U673" s="7" t="n">
        <f aca="false">IF(OR(F673="",F673=0),1,0)</f>
        <v>0</v>
      </c>
      <c r="V673" s="7" t="n">
        <f aca="false">IF(K673="",1,0)</f>
        <v>0</v>
      </c>
      <c r="W673" s="7" t="n">
        <f aca="false">IF(AND(O673=1,K673&lt;&gt;"",COUNTIFS(Owners!$A$5:$A$32,K673,Owners!$E$5:$E$32,"No")&gt;0),1,0)</f>
        <v>0</v>
      </c>
      <c r="X673" s="7" t="n">
        <f aca="false">IF(AND(O673=1,I673&lt;Inputs!$B$4),1,0)</f>
        <v>0</v>
      </c>
      <c r="Y673" s="7" t="n">
        <f aca="false">IF(AND(O673=1,T673&gt;Inputs!$B$5),1,0)</f>
        <v>0</v>
      </c>
      <c r="Z673" s="7" t="n">
        <f aca="false">IF(AND(O673=1,G673&lt;&gt;R673),1,0)</f>
        <v>0</v>
      </c>
      <c r="AA673" s="7" t="n">
        <f aca="false">IF(AND(O673=1,M673=""),1,0)</f>
        <v>0</v>
      </c>
      <c r="AB673" s="7" t="n">
        <f aca="false">IF(AND(E673="Closed Lost",N673=""),1,0)</f>
        <v>0</v>
      </c>
      <c r="AC673" s="7" t="n">
        <f aca="false">SUM(U673:AB673)</f>
        <v>0</v>
      </c>
      <c r="AD673" s="7" t="n">
        <f aca="false">IF(AC673=0,1,0)</f>
        <v>1</v>
      </c>
      <c r="AE673" s="7" t="n">
        <f aca="false">IF(AND(O673=1,I673&gt;=Inputs!$B$6,I673&lt;=Inputs!$B$7),1,0)</f>
        <v>0</v>
      </c>
      <c r="AF673" s="7" t="n">
        <f aca="false">IF(AND(E673="Closed Won",I673&gt;=Inputs!$B$6,I673&lt;=Inputs!$B$4),1,0)</f>
        <v>0</v>
      </c>
      <c r="AG673" s="7" t="n">
        <f aca="false">IF(AND(O673=0,I673&gt;Inputs!$B$4-Inputs!$B$8,I673&lt;=Inputs!$B$4),1,0)</f>
        <v>1</v>
      </c>
      <c r="AH673" s="7" t="n">
        <f aca="false">I673-H673</f>
        <v>98</v>
      </c>
    </row>
    <row r="674" customFormat="false" ht="15" hidden="false" customHeight="false" outlineLevel="0" collapsed="false">
      <c r="A674" s="16" t="s">
        <v>2037</v>
      </c>
      <c r="B674" s="16" t="s">
        <v>2038</v>
      </c>
      <c r="C674" s="16" t="s">
        <v>2039</v>
      </c>
      <c r="D674" s="16" t="s">
        <v>165</v>
      </c>
      <c r="E674" s="16" t="s">
        <v>531</v>
      </c>
      <c r="F674" s="26" t="n">
        <v>21242000</v>
      </c>
      <c r="G674" s="25" t="n">
        <v>0</v>
      </c>
      <c r="H674" s="22" t="n">
        <v>46055</v>
      </c>
      <c r="I674" s="22" t="n">
        <v>46189</v>
      </c>
      <c r="J674" s="22" t="n">
        <v>46189</v>
      </c>
      <c r="K674" s="16" t="s">
        <v>717</v>
      </c>
      <c r="L674" s="16" t="s">
        <v>584</v>
      </c>
      <c r="M674" s="16"/>
      <c r="N674" s="16" t="s">
        <v>579</v>
      </c>
      <c r="O674" s="7" t="n">
        <f aca="false">IF(OR(E674="Closed Won",E674="Closed Lost"),0,1)</f>
        <v>0</v>
      </c>
      <c r="P674" s="17" t="str">
        <f aca="false">INDEX(Accounts!$K$5:$K$336,MATCH(B674,Accounts!$A$5:$A$336,0))</f>
        <v>Agribusiness</v>
      </c>
      <c r="Q674" s="17" t="str">
        <f aca="false">INDEX(Accounts!$D$5:$D$336,MATCH(B674,Accounts!$A$5:$A$336,0))</f>
        <v>Standard</v>
      </c>
      <c r="R674" s="7" t="n">
        <f aca="false">INDEX(Inputs!$B$11:$B$16,MATCH(E674,Inputs!$A$11:$A$16,0))</f>
        <v>0</v>
      </c>
      <c r="S674" s="27" t="n">
        <f aca="false">IF(F674="",0,F674)*R674/100</f>
        <v>0</v>
      </c>
      <c r="T674" s="7" t="n">
        <f aca="false">Inputs!$B$4-J674</f>
        <v>125</v>
      </c>
      <c r="U674" s="7" t="n">
        <f aca="false">IF(OR(F674="",F674=0),1,0)</f>
        <v>0</v>
      </c>
      <c r="V674" s="7" t="n">
        <f aca="false">IF(K674="",1,0)</f>
        <v>0</v>
      </c>
      <c r="W674" s="7" t="n">
        <f aca="false">IF(AND(O674=1,K674&lt;&gt;"",COUNTIFS(Owners!$A$5:$A$32,K674,Owners!$E$5:$E$32,"No")&gt;0),1,0)</f>
        <v>0</v>
      </c>
      <c r="X674" s="7" t="n">
        <f aca="false">IF(AND(O674=1,I674&lt;Inputs!$B$4),1,0)</f>
        <v>0</v>
      </c>
      <c r="Y674" s="7" t="n">
        <f aca="false">IF(AND(O674=1,T674&gt;Inputs!$B$5),1,0)</f>
        <v>0</v>
      </c>
      <c r="Z674" s="7" t="n">
        <f aca="false">IF(AND(O674=1,G674&lt;&gt;R674),1,0)</f>
        <v>0</v>
      </c>
      <c r="AA674" s="7" t="n">
        <f aca="false">IF(AND(O674=1,M674=""),1,0)</f>
        <v>0</v>
      </c>
      <c r="AB674" s="7" t="n">
        <f aca="false">IF(AND(E674="Closed Lost",N674=""),1,0)</f>
        <v>0</v>
      </c>
      <c r="AC674" s="7" t="n">
        <f aca="false">SUM(U674:AB674)</f>
        <v>0</v>
      </c>
      <c r="AD674" s="7" t="n">
        <f aca="false">IF(AC674=0,1,0)</f>
        <v>1</v>
      </c>
      <c r="AE674" s="7" t="n">
        <f aca="false">IF(AND(O674=1,I674&gt;=Inputs!$B$6,I674&lt;=Inputs!$B$7),1,0)</f>
        <v>0</v>
      </c>
      <c r="AF674" s="7" t="n">
        <f aca="false">IF(AND(E674="Closed Won",I674&gt;=Inputs!$B$6,I674&lt;=Inputs!$B$4),1,0)</f>
        <v>0</v>
      </c>
      <c r="AG674" s="7" t="n">
        <f aca="false">IF(AND(O674=0,I674&gt;Inputs!$B$4-Inputs!$B$8,I674&lt;=Inputs!$B$4),1,0)</f>
        <v>1</v>
      </c>
      <c r="AH674" s="7" t="n">
        <f aca="false">I674-H674</f>
        <v>134</v>
      </c>
    </row>
    <row r="675" customFormat="false" ht="15" hidden="false" customHeight="false" outlineLevel="0" collapsed="false">
      <c r="A675" s="16" t="s">
        <v>2040</v>
      </c>
      <c r="B675" s="16" t="s">
        <v>347</v>
      </c>
      <c r="C675" s="16" t="s">
        <v>2041</v>
      </c>
      <c r="D675" s="16" t="s">
        <v>167</v>
      </c>
      <c r="E675" s="16" t="s">
        <v>531</v>
      </c>
      <c r="F675" s="26" t="n">
        <v>5919000</v>
      </c>
      <c r="G675" s="25" t="n">
        <v>0</v>
      </c>
      <c r="H675" s="22" t="n">
        <v>46033</v>
      </c>
      <c r="I675" s="22" t="n">
        <v>46121</v>
      </c>
      <c r="J675" s="22" t="n">
        <v>46121</v>
      </c>
      <c r="K675" s="16" t="s">
        <v>691</v>
      </c>
      <c r="L675" s="16" t="s">
        <v>609</v>
      </c>
      <c r="M675" s="16"/>
      <c r="N675" s="16" t="s">
        <v>713</v>
      </c>
      <c r="O675" s="7" t="n">
        <f aca="false">IF(OR(E675="Closed Won",E675="Closed Lost"),0,1)</f>
        <v>0</v>
      </c>
      <c r="P675" s="17" t="str">
        <f aca="false">INDEX(Accounts!$K$5:$K$336,MATCH(B675,Accounts!$A$5:$A$336,0))</f>
        <v>Real Estate &amp; Infrastructure</v>
      </c>
      <c r="Q675" s="17" t="str">
        <f aca="false">INDEX(Accounts!$D$5:$D$336,MATCH(B675,Accounts!$A$5:$A$336,0))</f>
        <v>Standard</v>
      </c>
      <c r="R675" s="7" t="n">
        <f aca="false">INDEX(Inputs!$B$11:$B$16,MATCH(E675,Inputs!$A$11:$A$16,0))</f>
        <v>0</v>
      </c>
      <c r="S675" s="27" t="n">
        <f aca="false">IF(F675="",0,F675)*R675/100</f>
        <v>0</v>
      </c>
      <c r="T675" s="7" t="n">
        <f aca="false">Inputs!$B$4-J675</f>
        <v>193</v>
      </c>
      <c r="U675" s="7" t="n">
        <f aca="false">IF(OR(F675="",F675=0),1,0)</f>
        <v>0</v>
      </c>
      <c r="V675" s="7" t="n">
        <f aca="false">IF(K675="",1,0)</f>
        <v>0</v>
      </c>
      <c r="W675" s="7" t="n">
        <f aca="false">IF(AND(O675=1,K675&lt;&gt;"",COUNTIFS(Owners!$A$5:$A$32,K675,Owners!$E$5:$E$32,"No")&gt;0),1,0)</f>
        <v>0</v>
      </c>
      <c r="X675" s="7" t="n">
        <f aca="false">IF(AND(O675=1,I675&lt;Inputs!$B$4),1,0)</f>
        <v>0</v>
      </c>
      <c r="Y675" s="7" t="n">
        <f aca="false">IF(AND(O675=1,T675&gt;Inputs!$B$5),1,0)</f>
        <v>0</v>
      </c>
      <c r="Z675" s="7" t="n">
        <f aca="false">IF(AND(O675=1,G675&lt;&gt;R675),1,0)</f>
        <v>0</v>
      </c>
      <c r="AA675" s="7" t="n">
        <f aca="false">IF(AND(O675=1,M675=""),1,0)</f>
        <v>0</v>
      </c>
      <c r="AB675" s="7" t="n">
        <f aca="false">IF(AND(E675="Closed Lost",N675=""),1,0)</f>
        <v>0</v>
      </c>
      <c r="AC675" s="7" t="n">
        <f aca="false">SUM(U675:AB675)</f>
        <v>0</v>
      </c>
      <c r="AD675" s="7" t="n">
        <f aca="false">IF(AC675=0,1,0)</f>
        <v>1</v>
      </c>
      <c r="AE675" s="7" t="n">
        <f aca="false">IF(AND(O675=1,I675&gt;=Inputs!$B$6,I675&lt;=Inputs!$B$7),1,0)</f>
        <v>0</v>
      </c>
      <c r="AF675" s="7" t="n">
        <f aca="false">IF(AND(E675="Closed Won",I675&gt;=Inputs!$B$6,I675&lt;=Inputs!$B$4),1,0)</f>
        <v>0</v>
      </c>
      <c r="AG675" s="7" t="n">
        <f aca="false">IF(AND(O675=0,I675&gt;Inputs!$B$4-Inputs!$B$8,I675&lt;=Inputs!$B$4),1,0)</f>
        <v>1</v>
      </c>
      <c r="AH675" s="7" t="n">
        <f aca="false">I675-H675</f>
        <v>88</v>
      </c>
    </row>
    <row r="676" customFormat="false" ht="15" hidden="false" customHeight="false" outlineLevel="0" collapsed="false">
      <c r="A676" s="16" t="s">
        <v>2042</v>
      </c>
      <c r="B676" s="16" t="s">
        <v>1253</v>
      </c>
      <c r="C676" s="16" t="s">
        <v>2043</v>
      </c>
      <c r="D676" s="16" t="s">
        <v>165</v>
      </c>
      <c r="E676" s="16" t="s">
        <v>531</v>
      </c>
      <c r="F676" s="26" t="n">
        <v>14406000</v>
      </c>
      <c r="G676" s="25" t="n">
        <v>0</v>
      </c>
      <c r="H676" s="22" t="n">
        <v>46025</v>
      </c>
      <c r="I676" s="22" t="n">
        <v>46092</v>
      </c>
      <c r="J676" s="22" t="n">
        <v>46092</v>
      </c>
      <c r="K676" s="16" t="s">
        <v>685</v>
      </c>
      <c r="L676" s="16" t="s">
        <v>584</v>
      </c>
      <c r="M676" s="16"/>
      <c r="N676" s="16" t="s">
        <v>697</v>
      </c>
      <c r="O676" s="7" t="n">
        <f aca="false">IF(OR(E676="Closed Won",E676="Closed Lost"),0,1)</f>
        <v>0</v>
      </c>
      <c r="P676" s="17" t="str">
        <f aca="false">INDEX(Accounts!$K$5:$K$336,MATCH(B676,Accounts!$A$5:$A$336,0))</f>
        <v>Technology, Media &amp; Telecom</v>
      </c>
      <c r="Q676" s="17" t="str">
        <f aca="false">INDEX(Accounts!$D$5:$D$336,MATCH(B676,Accounts!$A$5:$A$336,0))</f>
        <v>Standard</v>
      </c>
      <c r="R676" s="7" t="n">
        <f aca="false">INDEX(Inputs!$B$11:$B$16,MATCH(E676,Inputs!$A$11:$A$16,0))</f>
        <v>0</v>
      </c>
      <c r="S676" s="27" t="n">
        <f aca="false">IF(F676="",0,F676)*R676/100</f>
        <v>0</v>
      </c>
      <c r="T676" s="7" t="n">
        <f aca="false">Inputs!$B$4-J676</f>
        <v>222</v>
      </c>
      <c r="U676" s="7" t="n">
        <f aca="false">IF(OR(F676="",F676=0),1,0)</f>
        <v>0</v>
      </c>
      <c r="V676" s="7" t="n">
        <f aca="false">IF(K676="",1,0)</f>
        <v>0</v>
      </c>
      <c r="W676" s="7" t="n">
        <f aca="false">IF(AND(O676=1,K676&lt;&gt;"",COUNTIFS(Owners!$A$5:$A$32,K676,Owners!$E$5:$E$32,"No")&gt;0),1,0)</f>
        <v>0</v>
      </c>
      <c r="X676" s="7" t="n">
        <f aca="false">IF(AND(O676=1,I676&lt;Inputs!$B$4),1,0)</f>
        <v>0</v>
      </c>
      <c r="Y676" s="7" t="n">
        <f aca="false">IF(AND(O676=1,T676&gt;Inputs!$B$5),1,0)</f>
        <v>0</v>
      </c>
      <c r="Z676" s="7" t="n">
        <f aca="false">IF(AND(O676=1,G676&lt;&gt;R676),1,0)</f>
        <v>0</v>
      </c>
      <c r="AA676" s="7" t="n">
        <f aca="false">IF(AND(O676=1,M676=""),1,0)</f>
        <v>0</v>
      </c>
      <c r="AB676" s="7" t="n">
        <f aca="false">IF(AND(E676="Closed Lost",N676=""),1,0)</f>
        <v>0</v>
      </c>
      <c r="AC676" s="7" t="n">
        <f aca="false">SUM(U676:AB676)</f>
        <v>0</v>
      </c>
      <c r="AD676" s="7" t="n">
        <f aca="false">IF(AC676=0,1,0)</f>
        <v>1</v>
      </c>
      <c r="AE676" s="7" t="n">
        <f aca="false">IF(AND(O676=1,I676&gt;=Inputs!$B$6,I676&lt;=Inputs!$B$7),1,0)</f>
        <v>0</v>
      </c>
      <c r="AF676" s="7" t="n">
        <f aca="false">IF(AND(E676="Closed Won",I676&gt;=Inputs!$B$6,I676&lt;=Inputs!$B$4),1,0)</f>
        <v>0</v>
      </c>
      <c r="AG676" s="7" t="n">
        <f aca="false">IF(AND(O676=0,I676&gt;Inputs!$B$4-Inputs!$B$8,I676&lt;=Inputs!$B$4),1,0)</f>
        <v>1</v>
      </c>
      <c r="AH676" s="7" t="n">
        <f aca="false">I676-H676</f>
        <v>67</v>
      </c>
    </row>
    <row r="677" customFormat="false" ht="15" hidden="false" customHeight="false" outlineLevel="0" collapsed="false">
      <c r="A677" s="16" t="s">
        <v>2044</v>
      </c>
      <c r="B677" s="16" t="s">
        <v>175</v>
      </c>
      <c r="C677" s="16" t="s">
        <v>2045</v>
      </c>
      <c r="D677" s="16" t="s">
        <v>167</v>
      </c>
      <c r="E677" s="16" t="s">
        <v>528</v>
      </c>
      <c r="F677" s="26" t="n">
        <v>5252000</v>
      </c>
      <c r="G677" s="25" t="n">
        <v>50</v>
      </c>
      <c r="H677" s="22" t="n">
        <v>46265</v>
      </c>
      <c r="I677" s="22" t="n">
        <v>46400</v>
      </c>
      <c r="J677" s="22" t="n">
        <v>46305</v>
      </c>
      <c r="K677" s="16" t="s">
        <v>880</v>
      </c>
      <c r="L677" s="16" t="s">
        <v>584</v>
      </c>
      <c r="M677" s="16" t="s">
        <v>619</v>
      </c>
      <c r="N677" s="16"/>
      <c r="O677" s="7" t="n">
        <f aca="false">IF(OR(E677="Closed Won",E677="Closed Lost"),0,1)</f>
        <v>1</v>
      </c>
      <c r="P677" s="17" t="str">
        <f aca="false">INDEX(Accounts!$K$5:$K$336,MATCH(B677,Accounts!$A$5:$A$336,0))</f>
        <v>Consumer &amp; Retail</v>
      </c>
      <c r="Q677" s="17" t="str">
        <f aca="false">INDEX(Accounts!$D$5:$D$336,MATCH(B677,Accounts!$A$5:$A$336,0))</f>
        <v>Standard</v>
      </c>
      <c r="R677" s="7" t="n">
        <f aca="false">INDEX(Inputs!$B$11:$B$16,MATCH(E677,Inputs!$A$11:$A$16,0))</f>
        <v>50</v>
      </c>
      <c r="S677" s="27" t="n">
        <f aca="false">IF(F677="",0,F677)*R677/100</f>
        <v>2626000</v>
      </c>
      <c r="T677" s="7" t="n">
        <f aca="false">Inputs!$B$4-J677</f>
        <v>9</v>
      </c>
      <c r="U677" s="7" t="n">
        <f aca="false">IF(OR(F677="",F677=0),1,0)</f>
        <v>0</v>
      </c>
      <c r="V677" s="7" t="n">
        <f aca="false">IF(K677="",1,0)</f>
        <v>0</v>
      </c>
      <c r="W677" s="7" t="n">
        <f aca="false">IF(AND(O677=1,K677&lt;&gt;"",COUNTIFS(Owners!$A$5:$A$32,K677,Owners!$E$5:$E$32,"No")&gt;0),1,0)</f>
        <v>1</v>
      </c>
      <c r="X677" s="7" t="n">
        <f aca="false">IF(AND(O677=1,I677&lt;Inputs!$B$4),1,0)</f>
        <v>0</v>
      </c>
      <c r="Y677" s="7" t="n">
        <f aca="false">IF(AND(O677=1,T677&gt;Inputs!$B$5),1,0)</f>
        <v>0</v>
      </c>
      <c r="Z677" s="7" t="n">
        <f aca="false">IF(AND(O677=1,G677&lt;&gt;R677),1,0)</f>
        <v>0</v>
      </c>
      <c r="AA677" s="7" t="n">
        <f aca="false">IF(AND(O677=1,M677=""),1,0)</f>
        <v>0</v>
      </c>
      <c r="AB677" s="7" t="n">
        <f aca="false">IF(AND(E677="Closed Lost",N677=""),1,0)</f>
        <v>0</v>
      </c>
      <c r="AC677" s="7" t="n">
        <f aca="false">SUM(U677:AB677)</f>
        <v>1</v>
      </c>
      <c r="AD677" s="7" t="n">
        <f aca="false">IF(AC677=0,1,0)</f>
        <v>0</v>
      </c>
      <c r="AE677" s="7" t="n">
        <f aca="false">IF(AND(O677=1,I677&gt;=Inputs!$B$6,I677&lt;=Inputs!$B$7),1,0)</f>
        <v>1</v>
      </c>
      <c r="AF677" s="7" t="n">
        <f aca="false">IF(AND(E677="Closed Won",I677&gt;=Inputs!$B$6,I677&lt;=Inputs!$B$4),1,0)</f>
        <v>0</v>
      </c>
      <c r="AG677" s="7" t="n">
        <f aca="false">IF(AND(O677=0,I677&gt;Inputs!$B$4-Inputs!$B$8,I677&lt;=Inputs!$B$4),1,0)</f>
        <v>0</v>
      </c>
      <c r="AH677" s="7" t="n">
        <f aca="false">I677-H677</f>
        <v>135</v>
      </c>
    </row>
    <row r="678" customFormat="false" ht="15" hidden="false" customHeight="false" outlineLevel="0" collapsed="false">
      <c r="A678" s="16" t="s">
        <v>2046</v>
      </c>
      <c r="B678" s="16" t="s">
        <v>220</v>
      </c>
      <c r="C678" s="16" t="s">
        <v>2047</v>
      </c>
      <c r="D678" s="16" t="s">
        <v>162</v>
      </c>
      <c r="E678" s="16" t="s">
        <v>527</v>
      </c>
      <c r="F678" s="26" t="n">
        <v>8946000</v>
      </c>
      <c r="G678" s="25" t="n">
        <v>25</v>
      </c>
      <c r="H678" s="22" t="n">
        <v>46218</v>
      </c>
      <c r="I678" s="22" t="n">
        <v>46481</v>
      </c>
      <c r="J678" s="22" t="n">
        <v>46293</v>
      </c>
      <c r="K678" s="16" t="s">
        <v>646</v>
      </c>
      <c r="L678" s="16" t="s">
        <v>568</v>
      </c>
      <c r="M678" s="16" t="s">
        <v>593</v>
      </c>
      <c r="N678" s="16"/>
      <c r="O678" s="7" t="n">
        <f aca="false">IF(OR(E678="Closed Won",E678="Closed Lost"),0,1)</f>
        <v>1</v>
      </c>
      <c r="P678" s="17" t="str">
        <f aca="false">INDEX(Accounts!$K$5:$K$336,MATCH(B678,Accounts!$A$5:$A$336,0))</f>
        <v>Consumer &amp; Retail</v>
      </c>
      <c r="Q678" s="17" t="str">
        <f aca="false">INDEX(Accounts!$D$5:$D$336,MATCH(B678,Accounts!$A$5:$A$336,0))</f>
        <v>Key</v>
      </c>
      <c r="R678" s="7" t="n">
        <f aca="false">INDEX(Inputs!$B$11:$B$16,MATCH(E678,Inputs!$A$11:$A$16,0))</f>
        <v>25</v>
      </c>
      <c r="S678" s="27" t="n">
        <f aca="false">IF(F678="",0,F678)*R678/100</f>
        <v>2236500</v>
      </c>
      <c r="T678" s="7" t="n">
        <f aca="false">Inputs!$B$4-J678</f>
        <v>21</v>
      </c>
      <c r="U678" s="7" t="n">
        <f aca="false">IF(OR(F678="",F678=0),1,0)</f>
        <v>0</v>
      </c>
      <c r="V678" s="7" t="n">
        <f aca="false">IF(K678="",1,0)</f>
        <v>0</v>
      </c>
      <c r="W678" s="7" t="n">
        <f aca="false">IF(AND(O678=1,K678&lt;&gt;"",COUNTIFS(Owners!$A$5:$A$32,K678,Owners!$E$5:$E$32,"No")&gt;0),1,0)</f>
        <v>0</v>
      </c>
      <c r="X678" s="7" t="n">
        <f aca="false">IF(AND(O678=1,I678&lt;Inputs!$B$4),1,0)</f>
        <v>0</v>
      </c>
      <c r="Y678" s="7" t="n">
        <f aca="false">IF(AND(O678=1,T678&gt;Inputs!$B$5),1,0)</f>
        <v>0</v>
      </c>
      <c r="Z678" s="7" t="n">
        <f aca="false">IF(AND(O678=1,G678&lt;&gt;R678),1,0)</f>
        <v>0</v>
      </c>
      <c r="AA678" s="7" t="n">
        <f aca="false">IF(AND(O678=1,M678=""),1,0)</f>
        <v>0</v>
      </c>
      <c r="AB678" s="7" t="n">
        <f aca="false">IF(AND(E678="Closed Lost",N678=""),1,0)</f>
        <v>0</v>
      </c>
      <c r="AC678" s="7" t="n">
        <f aca="false">SUM(U678:AB678)</f>
        <v>0</v>
      </c>
      <c r="AD678" s="7" t="n">
        <f aca="false">IF(AC678=0,1,0)</f>
        <v>1</v>
      </c>
      <c r="AE678" s="7" t="n">
        <f aca="false">IF(AND(O678=1,I678&gt;=Inputs!$B$6,I678&lt;=Inputs!$B$7),1,0)</f>
        <v>1</v>
      </c>
      <c r="AF678" s="7" t="n">
        <f aca="false">IF(AND(E678="Closed Won",I678&gt;=Inputs!$B$6,I678&lt;=Inputs!$B$4),1,0)</f>
        <v>0</v>
      </c>
      <c r="AG678" s="7" t="n">
        <f aca="false">IF(AND(O678=0,I678&gt;Inputs!$B$4-Inputs!$B$8,I678&lt;=Inputs!$B$4),1,0)</f>
        <v>0</v>
      </c>
      <c r="AH678" s="7" t="n">
        <f aca="false">I678-H678</f>
        <v>263</v>
      </c>
    </row>
    <row r="679" customFormat="false" ht="15" hidden="false" customHeight="false" outlineLevel="0" collapsed="false">
      <c r="A679" s="16" t="s">
        <v>2048</v>
      </c>
      <c r="B679" s="16" t="s">
        <v>702</v>
      </c>
      <c r="C679" s="16" t="s">
        <v>2049</v>
      </c>
      <c r="D679" s="16" t="s">
        <v>167</v>
      </c>
      <c r="E679" s="16" t="s">
        <v>531</v>
      </c>
      <c r="F679" s="26" t="n">
        <v>15439000</v>
      </c>
      <c r="G679" s="25" t="n">
        <v>0</v>
      </c>
      <c r="H679" s="22" t="n">
        <v>46035</v>
      </c>
      <c r="I679" s="22" t="n">
        <v>46200</v>
      </c>
      <c r="J679" s="22" t="n">
        <v>46200</v>
      </c>
      <c r="K679" s="16" t="s">
        <v>765</v>
      </c>
      <c r="L679" s="16" t="s">
        <v>609</v>
      </c>
      <c r="M679" s="16"/>
      <c r="N679" s="16" t="s">
        <v>713</v>
      </c>
      <c r="O679" s="7" t="n">
        <f aca="false">IF(OR(E679="Closed Won",E679="Closed Lost"),0,1)</f>
        <v>0</v>
      </c>
      <c r="P679" s="17" t="str">
        <f aca="false">INDEX(Accounts!$K$5:$K$336,MATCH(B679,Accounts!$A$5:$A$336,0))</f>
        <v>Consumer &amp; Retail</v>
      </c>
      <c r="Q679" s="17" t="str">
        <f aca="false">INDEX(Accounts!$D$5:$D$336,MATCH(B679,Accounts!$A$5:$A$336,0))</f>
        <v>Key</v>
      </c>
      <c r="R679" s="7" t="n">
        <f aca="false">INDEX(Inputs!$B$11:$B$16,MATCH(E679,Inputs!$A$11:$A$16,0))</f>
        <v>0</v>
      </c>
      <c r="S679" s="27" t="n">
        <f aca="false">IF(F679="",0,F679)*R679/100</f>
        <v>0</v>
      </c>
      <c r="T679" s="7" t="n">
        <f aca="false">Inputs!$B$4-J679</f>
        <v>114</v>
      </c>
      <c r="U679" s="7" t="n">
        <f aca="false">IF(OR(F679="",F679=0),1,0)</f>
        <v>0</v>
      </c>
      <c r="V679" s="7" t="n">
        <f aca="false">IF(K679="",1,0)</f>
        <v>0</v>
      </c>
      <c r="W679" s="7" t="n">
        <f aca="false">IF(AND(O679=1,K679&lt;&gt;"",COUNTIFS(Owners!$A$5:$A$32,K679,Owners!$E$5:$E$32,"No")&gt;0),1,0)</f>
        <v>0</v>
      </c>
      <c r="X679" s="7" t="n">
        <f aca="false">IF(AND(O679=1,I679&lt;Inputs!$B$4),1,0)</f>
        <v>0</v>
      </c>
      <c r="Y679" s="7" t="n">
        <f aca="false">IF(AND(O679=1,T679&gt;Inputs!$B$5),1,0)</f>
        <v>0</v>
      </c>
      <c r="Z679" s="7" t="n">
        <f aca="false">IF(AND(O679=1,G679&lt;&gt;R679),1,0)</f>
        <v>0</v>
      </c>
      <c r="AA679" s="7" t="n">
        <f aca="false">IF(AND(O679=1,M679=""),1,0)</f>
        <v>0</v>
      </c>
      <c r="AB679" s="7" t="n">
        <f aca="false">IF(AND(E679="Closed Lost",N679=""),1,0)</f>
        <v>0</v>
      </c>
      <c r="AC679" s="7" t="n">
        <f aca="false">SUM(U679:AB679)</f>
        <v>0</v>
      </c>
      <c r="AD679" s="7" t="n">
        <f aca="false">IF(AC679=0,1,0)</f>
        <v>1</v>
      </c>
      <c r="AE679" s="7" t="n">
        <f aca="false">IF(AND(O679=1,I679&gt;=Inputs!$B$6,I679&lt;=Inputs!$B$7),1,0)</f>
        <v>0</v>
      </c>
      <c r="AF679" s="7" t="n">
        <f aca="false">IF(AND(E679="Closed Won",I679&gt;=Inputs!$B$6,I679&lt;=Inputs!$B$4),1,0)</f>
        <v>0</v>
      </c>
      <c r="AG679" s="7" t="n">
        <f aca="false">IF(AND(O679=0,I679&gt;Inputs!$B$4-Inputs!$B$8,I679&lt;=Inputs!$B$4),1,0)</f>
        <v>1</v>
      </c>
      <c r="AH679" s="7" t="n">
        <f aca="false">I679-H679</f>
        <v>165</v>
      </c>
    </row>
    <row r="680" customFormat="false" ht="15" hidden="false" customHeight="false" outlineLevel="0" collapsed="false">
      <c r="A680" s="16" t="s">
        <v>2050</v>
      </c>
      <c r="B680" s="16" t="s">
        <v>85</v>
      </c>
      <c r="C680" s="16" t="s">
        <v>2051</v>
      </c>
      <c r="D680" s="16" t="s">
        <v>167</v>
      </c>
      <c r="E680" s="16" t="s">
        <v>526</v>
      </c>
      <c r="F680" s="26" t="n">
        <v>19276000</v>
      </c>
      <c r="G680" s="25" t="n">
        <v>10</v>
      </c>
      <c r="H680" s="22" t="n">
        <v>46299</v>
      </c>
      <c r="I680" s="22" t="n">
        <v>46371</v>
      </c>
      <c r="J680" s="22" t="n">
        <v>46290</v>
      </c>
      <c r="K680" s="16" t="s">
        <v>691</v>
      </c>
      <c r="L680" s="16" t="s">
        <v>609</v>
      </c>
      <c r="M680" s="16" t="s">
        <v>619</v>
      </c>
      <c r="N680" s="16"/>
      <c r="O680" s="7" t="n">
        <f aca="false">IF(OR(E680="Closed Won",E680="Closed Lost"),0,1)</f>
        <v>1</v>
      </c>
      <c r="P680" s="17" t="str">
        <f aca="false">INDEX(Accounts!$K$5:$K$336,MATCH(B680,Accounts!$A$5:$A$336,0))</f>
        <v>Energy &amp; Resources</v>
      </c>
      <c r="Q680" s="17" t="str">
        <f aca="false">INDEX(Accounts!$D$5:$D$336,MATCH(B680,Accounts!$A$5:$A$336,0))</f>
        <v>Priority</v>
      </c>
      <c r="R680" s="7" t="n">
        <f aca="false">INDEX(Inputs!$B$11:$B$16,MATCH(E680,Inputs!$A$11:$A$16,0))</f>
        <v>10</v>
      </c>
      <c r="S680" s="27" t="n">
        <f aca="false">IF(F680="",0,F680)*R680/100</f>
        <v>1927600</v>
      </c>
      <c r="T680" s="7" t="n">
        <f aca="false">Inputs!$B$4-J680</f>
        <v>24</v>
      </c>
      <c r="U680" s="7" t="n">
        <f aca="false">IF(OR(F680="",F680=0),1,0)</f>
        <v>0</v>
      </c>
      <c r="V680" s="7" t="n">
        <f aca="false">IF(K680="",1,0)</f>
        <v>0</v>
      </c>
      <c r="W680" s="7" t="n">
        <f aca="false">IF(AND(O680=1,K680&lt;&gt;"",COUNTIFS(Owners!$A$5:$A$32,K680,Owners!$E$5:$E$32,"No")&gt;0),1,0)</f>
        <v>0</v>
      </c>
      <c r="X680" s="7" t="n">
        <f aca="false">IF(AND(O680=1,I680&lt;Inputs!$B$4),1,0)</f>
        <v>0</v>
      </c>
      <c r="Y680" s="7" t="n">
        <f aca="false">IF(AND(O680=1,T680&gt;Inputs!$B$5),1,0)</f>
        <v>0</v>
      </c>
      <c r="Z680" s="7" t="n">
        <f aca="false">IF(AND(O680=1,G680&lt;&gt;R680),1,0)</f>
        <v>0</v>
      </c>
      <c r="AA680" s="7" t="n">
        <f aca="false">IF(AND(O680=1,M680=""),1,0)</f>
        <v>0</v>
      </c>
      <c r="AB680" s="7" t="n">
        <f aca="false">IF(AND(E680="Closed Lost",N680=""),1,0)</f>
        <v>0</v>
      </c>
      <c r="AC680" s="7" t="n">
        <f aca="false">SUM(U680:AB680)</f>
        <v>0</v>
      </c>
      <c r="AD680" s="7" t="n">
        <f aca="false">IF(AC680=0,1,0)</f>
        <v>1</v>
      </c>
      <c r="AE680" s="7" t="n">
        <f aca="false">IF(AND(O680=1,I680&gt;=Inputs!$B$6,I680&lt;=Inputs!$B$7),1,0)</f>
        <v>1</v>
      </c>
      <c r="AF680" s="7" t="n">
        <f aca="false">IF(AND(E680="Closed Won",I680&gt;=Inputs!$B$6,I680&lt;=Inputs!$B$4),1,0)</f>
        <v>0</v>
      </c>
      <c r="AG680" s="7" t="n">
        <f aca="false">IF(AND(O680=0,I680&gt;Inputs!$B$4-Inputs!$B$8,I680&lt;=Inputs!$B$4),1,0)</f>
        <v>0</v>
      </c>
      <c r="AH680" s="7" t="n">
        <f aca="false">I680-H680</f>
        <v>72</v>
      </c>
    </row>
    <row r="681" customFormat="false" ht="15" hidden="false" customHeight="false" outlineLevel="0" collapsed="false">
      <c r="A681" s="16" t="s">
        <v>2052</v>
      </c>
      <c r="B681" s="16" t="s">
        <v>62</v>
      </c>
      <c r="C681" s="16" t="s">
        <v>2053</v>
      </c>
      <c r="D681" s="16" t="s">
        <v>162</v>
      </c>
      <c r="E681" s="16" t="s">
        <v>530</v>
      </c>
      <c r="F681" s="26" t="n">
        <v>3833000</v>
      </c>
      <c r="G681" s="25" t="n">
        <v>100</v>
      </c>
      <c r="H681" s="22" t="n">
        <v>46249</v>
      </c>
      <c r="I681" s="22" t="n">
        <v>46310</v>
      </c>
      <c r="J681" s="22" t="n">
        <v>46310</v>
      </c>
      <c r="K681" s="16" t="s">
        <v>622</v>
      </c>
      <c r="L681" s="16" t="s">
        <v>574</v>
      </c>
      <c r="M681" s="16"/>
      <c r="N681" s="16"/>
      <c r="O681" s="7" t="n">
        <f aca="false">IF(OR(E681="Closed Won",E681="Closed Lost"),0,1)</f>
        <v>0</v>
      </c>
      <c r="P681" s="17" t="str">
        <f aca="false">INDEX(Accounts!$K$5:$K$336,MATCH(B681,Accounts!$A$5:$A$336,0))</f>
        <v>Financial Services</v>
      </c>
      <c r="Q681" s="17" t="str">
        <f aca="false">INDEX(Accounts!$D$5:$D$336,MATCH(B681,Accounts!$A$5:$A$336,0))</f>
        <v>Priority</v>
      </c>
      <c r="R681" s="7" t="n">
        <f aca="false">INDEX(Inputs!$B$11:$B$16,MATCH(E681,Inputs!$A$11:$A$16,0))</f>
        <v>100</v>
      </c>
      <c r="S681" s="27" t="n">
        <f aca="false">IF(F681="",0,F681)*R681/100</f>
        <v>3833000</v>
      </c>
      <c r="T681" s="7" t="n">
        <f aca="false">Inputs!$B$4-J681</f>
        <v>4</v>
      </c>
      <c r="U681" s="7" t="n">
        <f aca="false">IF(OR(F681="",F681=0),1,0)</f>
        <v>0</v>
      </c>
      <c r="V681" s="7" t="n">
        <f aca="false">IF(K681="",1,0)</f>
        <v>0</v>
      </c>
      <c r="W681" s="7" t="n">
        <f aca="false">IF(AND(O681=1,K681&lt;&gt;"",COUNTIFS(Owners!$A$5:$A$32,K681,Owners!$E$5:$E$32,"No")&gt;0),1,0)</f>
        <v>0</v>
      </c>
      <c r="X681" s="7" t="n">
        <f aca="false">IF(AND(O681=1,I681&lt;Inputs!$B$4),1,0)</f>
        <v>0</v>
      </c>
      <c r="Y681" s="7" t="n">
        <f aca="false">IF(AND(O681=1,T681&gt;Inputs!$B$5),1,0)</f>
        <v>0</v>
      </c>
      <c r="Z681" s="7" t="n">
        <f aca="false">IF(AND(O681=1,G681&lt;&gt;R681),1,0)</f>
        <v>0</v>
      </c>
      <c r="AA681" s="7" t="n">
        <f aca="false">IF(AND(O681=1,M681=""),1,0)</f>
        <v>0</v>
      </c>
      <c r="AB681" s="7" t="n">
        <f aca="false">IF(AND(E681="Closed Lost",N681=""),1,0)</f>
        <v>0</v>
      </c>
      <c r="AC681" s="7" t="n">
        <f aca="false">SUM(U681:AB681)</f>
        <v>0</v>
      </c>
      <c r="AD681" s="7" t="n">
        <f aca="false">IF(AC681=0,1,0)</f>
        <v>1</v>
      </c>
      <c r="AE681" s="7" t="n">
        <f aca="false">IF(AND(O681=1,I681&gt;=Inputs!$B$6,I681&lt;=Inputs!$B$7),1,0)</f>
        <v>0</v>
      </c>
      <c r="AF681" s="7" t="n">
        <f aca="false">IF(AND(E681="Closed Won",I681&gt;=Inputs!$B$6,I681&lt;=Inputs!$B$4),1,0)</f>
        <v>1</v>
      </c>
      <c r="AG681" s="7" t="n">
        <f aca="false">IF(AND(O681=0,I681&gt;Inputs!$B$4-Inputs!$B$8,I681&lt;=Inputs!$B$4),1,0)</f>
        <v>1</v>
      </c>
      <c r="AH681" s="7" t="n">
        <f aca="false">I681-H681</f>
        <v>61</v>
      </c>
    </row>
    <row r="682" customFormat="false" ht="15" hidden="false" customHeight="false" outlineLevel="0" collapsed="false">
      <c r="A682" s="16" t="s">
        <v>2054</v>
      </c>
      <c r="B682" s="16" t="s">
        <v>431</v>
      </c>
      <c r="C682" s="16" t="s">
        <v>2055</v>
      </c>
      <c r="D682" s="16" t="s">
        <v>158</v>
      </c>
      <c r="E682" s="16" t="s">
        <v>529</v>
      </c>
      <c r="F682" s="26" t="n">
        <v>15191000</v>
      </c>
      <c r="G682" s="25" t="n">
        <v>75</v>
      </c>
      <c r="H682" s="22" t="n">
        <v>46074</v>
      </c>
      <c r="I682" s="22" t="n">
        <v>46440</v>
      </c>
      <c r="J682" s="22" t="n">
        <v>46204</v>
      </c>
      <c r="K682" s="16" t="s">
        <v>596</v>
      </c>
      <c r="L682" s="16" t="s">
        <v>592</v>
      </c>
      <c r="M682" s="16" t="s">
        <v>569</v>
      </c>
      <c r="N682" s="16"/>
      <c r="O682" s="7" t="n">
        <f aca="false">IF(OR(E682="Closed Won",E682="Closed Lost"),0,1)</f>
        <v>1</v>
      </c>
      <c r="P682" s="17" t="str">
        <f aca="false">INDEX(Accounts!$K$5:$K$336,MATCH(B682,Accounts!$A$5:$A$336,0))</f>
        <v>Public Sector &amp; Development</v>
      </c>
      <c r="Q682" s="17" t="str">
        <f aca="false">INDEX(Accounts!$D$5:$D$336,MATCH(B682,Accounts!$A$5:$A$336,0))</f>
        <v>Key</v>
      </c>
      <c r="R682" s="7" t="n">
        <f aca="false">INDEX(Inputs!$B$11:$B$16,MATCH(E682,Inputs!$A$11:$A$16,0))</f>
        <v>75</v>
      </c>
      <c r="S682" s="27" t="n">
        <f aca="false">IF(F682="",0,F682)*R682/100</f>
        <v>11393250</v>
      </c>
      <c r="T682" s="7" t="n">
        <f aca="false">Inputs!$B$4-J682</f>
        <v>110</v>
      </c>
      <c r="U682" s="7" t="n">
        <f aca="false">IF(OR(F682="",F682=0),1,0)</f>
        <v>0</v>
      </c>
      <c r="V682" s="7" t="n">
        <f aca="false">IF(K682="",1,0)</f>
        <v>0</v>
      </c>
      <c r="W682" s="7" t="n">
        <f aca="false">IF(AND(O682=1,K682&lt;&gt;"",COUNTIFS(Owners!$A$5:$A$32,K682,Owners!$E$5:$E$32,"No")&gt;0),1,0)</f>
        <v>0</v>
      </c>
      <c r="X682" s="7" t="n">
        <f aca="false">IF(AND(O682=1,I682&lt;Inputs!$B$4),1,0)</f>
        <v>0</v>
      </c>
      <c r="Y682" s="7" t="n">
        <f aca="false">IF(AND(O682=1,T682&gt;Inputs!$B$5),1,0)</f>
        <v>1</v>
      </c>
      <c r="Z682" s="7" t="n">
        <f aca="false">IF(AND(O682=1,G682&lt;&gt;R682),1,0)</f>
        <v>0</v>
      </c>
      <c r="AA682" s="7" t="n">
        <f aca="false">IF(AND(O682=1,M682=""),1,0)</f>
        <v>0</v>
      </c>
      <c r="AB682" s="7" t="n">
        <f aca="false">IF(AND(E682="Closed Lost",N682=""),1,0)</f>
        <v>0</v>
      </c>
      <c r="AC682" s="7" t="n">
        <f aca="false">SUM(U682:AB682)</f>
        <v>1</v>
      </c>
      <c r="AD682" s="7" t="n">
        <f aca="false">IF(AC682=0,1,0)</f>
        <v>0</v>
      </c>
      <c r="AE682" s="7" t="n">
        <f aca="false">IF(AND(O682=1,I682&gt;=Inputs!$B$6,I682&lt;=Inputs!$B$7),1,0)</f>
        <v>1</v>
      </c>
      <c r="AF682" s="7" t="n">
        <f aca="false">IF(AND(E682="Closed Won",I682&gt;=Inputs!$B$6,I682&lt;=Inputs!$B$4),1,0)</f>
        <v>0</v>
      </c>
      <c r="AG682" s="7" t="n">
        <f aca="false">IF(AND(O682=0,I682&gt;Inputs!$B$4-Inputs!$B$8,I682&lt;=Inputs!$B$4),1,0)</f>
        <v>0</v>
      </c>
      <c r="AH682" s="7" t="n">
        <f aca="false">I682-H682</f>
        <v>366</v>
      </c>
    </row>
    <row r="683" customFormat="false" ht="15" hidden="false" customHeight="false" outlineLevel="0" collapsed="false">
      <c r="A683" s="16" t="s">
        <v>2056</v>
      </c>
      <c r="B683" s="16" t="s">
        <v>960</v>
      </c>
      <c r="C683" s="16" t="s">
        <v>2057</v>
      </c>
      <c r="D683" s="16" t="s">
        <v>165</v>
      </c>
      <c r="E683" s="16" t="s">
        <v>527</v>
      </c>
      <c r="F683" s="26" t="n">
        <v>53046000</v>
      </c>
      <c r="G683" s="25" t="n">
        <v>25</v>
      </c>
      <c r="H683" s="22" t="n">
        <v>46129</v>
      </c>
      <c r="I683" s="22" t="n">
        <v>46536</v>
      </c>
      <c r="J683" s="22" t="n">
        <v>46307</v>
      </c>
      <c r="K683" s="16" t="s">
        <v>691</v>
      </c>
      <c r="L683" s="16" t="s">
        <v>584</v>
      </c>
      <c r="M683" s="16" t="s">
        <v>619</v>
      </c>
      <c r="N683" s="16"/>
      <c r="O683" s="7" t="n">
        <f aca="false">IF(OR(E683="Closed Won",E683="Closed Lost"),0,1)</f>
        <v>1</v>
      </c>
      <c r="P683" s="17" t="str">
        <f aca="false">INDEX(Accounts!$K$5:$K$336,MATCH(B683,Accounts!$A$5:$A$336,0))</f>
        <v>Energy &amp; Resources</v>
      </c>
      <c r="Q683" s="17" t="str">
        <f aca="false">INDEX(Accounts!$D$5:$D$336,MATCH(B683,Accounts!$A$5:$A$336,0))</f>
        <v>Key</v>
      </c>
      <c r="R683" s="7" t="n">
        <f aca="false">INDEX(Inputs!$B$11:$B$16,MATCH(E683,Inputs!$A$11:$A$16,0))</f>
        <v>25</v>
      </c>
      <c r="S683" s="27" t="n">
        <f aca="false">IF(F683="",0,F683)*R683/100</f>
        <v>13261500</v>
      </c>
      <c r="T683" s="7" t="n">
        <f aca="false">Inputs!$B$4-J683</f>
        <v>7</v>
      </c>
      <c r="U683" s="7" t="n">
        <f aca="false">IF(OR(F683="",F683=0),1,0)</f>
        <v>0</v>
      </c>
      <c r="V683" s="7" t="n">
        <f aca="false">IF(K683="",1,0)</f>
        <v>0</v>
      </c>
      <c r="W683" s="7" t="n">
        <f aca="false">IF(AND(O683=1,K683&lt;&gt;"",COUNTIFS(Owners!$A$5:$A$32,K683,Owners!$E$5:$E$32,"No")&gt;0),1,0)</f>
        <v>0</v>
      </c>
      <c r="X683" s="7" t="n">
        <f aca="false">IF(AND(O683=1,I683&lt;Inputs!$B$4),1,0)</f>
        <v>0</v>
      </c>
      <c r="Y683" s="7" t="n">
        <f aca="false">IF(AND(O683=1,T683&gt;Inputs!$B$5),1,0)</f>
        <v>0</v>
      </c>
      <c r="Z683" s="7" t="n">
        <f aca="false">IF(AND(O683=1,G683&lt;&gt;R683),1,0)</f>
        <v>0</v>
      </c>
      <c r="AA683" s="7" t="n">
        <f aca="false">IF(AND(O683=1,M683=""),1,0)</f>
        <v>0</v>
      </c>
      <c r="AB683" s="7" t="n">
        <f aca="false">IF(AND(E683="Closed Lost",N683=""),1,0)</f>
        <v>0</v>
      </c>
      <c r="AC683" s="7" t="n">
        <f aca="false">SUM(U683:AB683)</f>
        <v>0</v>
      </c>
      <c r="AD683" s="7" t="n">
        <f aca="false">IF(AC683=0,1,0)</f>
        <v>1</v>
      </c>
      <c r="AE683" s="7" t="n">
        <f aca="false">IF(AND(O683=1,I683&gt;=Inputs!$B$6,I683&lt;=Inputs!$B$7),1,0)</f>
        <v>1</v>
      </c>
      <c r="AF683" s="7" t="n">
        <f aca="false">IF(AND(E683="Closed Won",I683&gt;=Inputs!$B$6,I683&lt;=Inputs!$B$4),1,0)</f>
        <v>0</v>
      </c>
      <c r="AG683" s="7" t="n">
        <f aca="false">IF(AND(O683=0,I683&gt;Inputs!$B$4-Inputs!$B$8,I683&lt;=Inputs!$B$4),1,0)</f>
        <v>0</v>
      </c>
      <c r="AH683" s="7" t="n">
        <f aca="false">I683-H683</f>
        <v>407</v>
      </c>
    </row>
    <row r="684" customFormat="false" ht="15" hidden="false" customHeight="false" outlineLevel="0" collapsed="false">
      <c r="A684" s="16" t="s">
        <v>2058</v>
      </c>
      <c r="B684" s="16" t="s">
        <v>96</v>
      </c>
      <c r="C684" s="16" t="s">
        <v>2059</v>
      </c>
      <c r="D684" s="16" t="s">
        <v>177</v>
      </c>
      <c r="E684" s="16" t="s">
        <v>531</v>
      </c>
      <c r="F684" s="26" t="n">
        <v>14765000</v>
      </c>
      <c r="G684" s="25" t="n">
        <v>0</v>
      </c>
      <c r="H684" s="22" t="n">
        <v>46068</v>
      </c>
      <c r="I684" s="22" t="n">
        <v>46240</v>
      </c>
      <c r="J684" s="22" t="n">
        <v>46240</v>
      </c>
      <c r="K684" s="16" t="s">
        <v>704</v>
      </c>
      <c r="L684" s="16" t="s">
        <v>584</v>
      </c>
      <c r="M684" s="16"/>
      <c r="N684" s="16" t="s">
        <v>597</v>
      </c>
      <c r="O684" s="7" t="n">
        <f aca="false">IF(OR(E684="Closed Won",E684="Closed Lost"),0,1)</f>
        <v>0</v>
      </c>
      <c r="P684" s="17" t="str">
        <f aca="false">INDEX(Accounts!$K$5:$K$336,MATCH(B684,Accounts!$A$5:$A$336,0))</f>
        <v>Financial Services</v>
      </c>
      <c r="Q684" s="17" t="str">
        <f aca="false">INDEX(Accounts!$D$5:$D$336,MATCH(B684,Accounts!$A$5:$A$336,0))</f>
        <v>Priority</v>
      </c>
      <c r="R684" s="7" t="n">
        <f aca="false">INDEX(Inputs!$B$11:$B$16,MATCH(E684,Inputs!$A$11:$A$16,0))</f>
        <v>0</v>
      </c>
      <c r="S684" s="27" t="n">
        <f aca="false">IF(F684="",0,F684)*R684/100</f>
        <v>0</v>
      </c>
      <c r="T684" s="7" t="n">
        <f aca="false">Inputs!$B$4-J684</f>
        <v>74</v>
      </c>
      <c r="U684" s="7" t="n">
        <f aca="false">IF(OR(F684="",F684=0),1,0)</f>
        <v>0</v>
      </c>
      <c r="V684" s="7" t="n">
        <f aca="false">IF(K684="",1,0)</f>
        <v>0</v>
      </c>
      <c r="W684" s="7" t="n">
        <f aca="false">IF(AND(O684=1,K684&lt;&gt;"",COUNTIFS(Owners!$A$5:$A$32,K684,Owners!$E$5:$E$32,"No")&gt;0),1,0)</f>
        <v>0</v>
      </c>
      <c r="X684" s="7" t="n">
        <f aca="false">IF(AND(O684=1,I684&lt;Inputs!$B$4),1,0)</f>
        <v>0</v>
      </c>
      <c r="Y684" s="7" t="n">
        <f aca="false">IF(AND(O684=1,T684&gt;Inputs!$B$5),1,0)</f>
        <v>0</v>
      </c>
      <c r="Z684" s="7" t="n">
        <f aca="false">IF(AND(O684=1,G684&lt;&gt;R684),1,0)</f>
        <v>0</v>
      </c>
      <c r="AA684" s="7" t="n">
        <f aca="false">IF(AND(O684=1,M684=""),1,0)</f>
        <v>0</v>
      </c>
      <c r="AB684" s="7" t="n">
        <f aca="false">IF(AND(E684="Closed Lost",N684=""),1,0)</f>
        <v>0</v>
      </c>
      <c r="AC684" s="7" t="n">
        <f aca="false">SUM(U684:AB684)</f>
        <v>0</v>
      </c>
      <c r="AD684" s="7" t="n">
        <f aca="false">IF(AC684=0,1,0)</f>
        <v>1</v>
      </c>
      <c r="AE684" s="7" t="n">
        <f aca="false">IF(AND(O684=1,I684&gt;=Inputs!$B$6,I684&lt;=Inputs!$B$7),1,0)</f>
        <v>0</v>
      </c>
      <c r="AF684" s="7" t="n">
        <f aca="false">IF(AND(E684="Closed Won",I684&gt;=Inputs!$B$6,I684&lt;=Inputs!$B$4),1,0)</f>
        <v>0</v>
      </c>
      <c r="AG684" s="7" t="n">
        <f aca="false">IF(AND(O684=0,I684&gt;Inputs!$B$4-Inputs!$B$8,I684&lt;=Inputs!$B$4),1,0)</f>
        <v>1</v>
      </c>
      <c r="AH684" s="7" t="n">
        <f aca="false">I684-H684</f>
        <v>172</v>
      </c>
    </row>
    <row r="685" customFormat="false" ht="15" hidden="false" customHeight="false" outlineLevel="0" collapsed="false">
      <c r="A685" s="16" t="s">
        <v>2060</v>
      </c>
      <c r="B685" s="16" t="s">
        <v>433</v>
      </c>
      <c r="C685" s="16" t="s">
        <v>2061</v>
      </c>
      <c r="D685" s="16" t="s">
        <v>167</v>
      </c>
      <c r="E685" s="16" t="s">
        <v>531</v>
      </c>
      <c r="F685" s="26" t="n">
        <v>2056000</v>
      </c>
      <c r="G685" s="25" t="n">
        <v>0</v>
      </c>
      <c r="H685" s="22" t="n">
        <v>46118</v>
      </c>
      <c r="I685" s="22" t="n">
        <v>46280</v>
      </c>
      <c r="J685" s="22" t="n">
        <v>46280</v>
      </c>
      <c r="K685" s="16" t="s">
        <v>651</v>
      </c>
      <c r="L685" s="16" t="s">
        <v>584</v>
      </c>
      <c r="M685" s="16"/>
      <c r="N685" s="16"/>
      <c r="O685" s="7" t="n">
        <f aca="false">IF(OR(E685="Closed Won",E685="Closed Lost"),0,1)</f>
        <v>0</v>
      </c>
      <c r="P685" s="17" t="str">
        <f aca="false">INDEX(Accounts!$K$5:$K$336,MATCH(B685,Accounts!$A$5:$A$336,0))</f>
        <v>Agribusiness</v>
      </c>
      <c r="Q685" s="17" t="str">
        <f aca="false">INDEX(Accounts!$D$5:$D$336,MATCH(B685,Accounts!$A$5:$A$336,0))</f>
        <v>Key</v>
      </c>
      <c r="R685" s="7" t="n">
        <f aca="false">INDEX(Inputs!$B$11:$B$16,MATCH(E685,Inputs!$A$11:$A$16,0))</f>
        <v>0</v>
      </c>
      <c r="S685" s="27" t="n">
        <f aca="false">IF(F685="",0,F685)*R685/100</f>
        <v>0</v>
      </c>
      <c r="T685" s="7" t="n">
        <f aca="false">Inputs!$B$4-J685</f>
        <v>34</v>
      </c>
      <c r="U685" s="7" t="n">
        <f aca="false">IF(OR(F685="",F685=0),1,0)</f>
        <v>0</v>
      </c>
      <c r="V685" s="7" t="n">
        <f aca="false">IF(K685="",1,0)</f>
        <v>0</v>
      </c>
      <c r="W685" s="7" t="n">
        <f aca="false">IF(AND(O685=1,K685&lt;&gt;"",COUNTIFS(Owners!$A$5:$A$32,K685,Owners!$E$5:$E$32,"No")&gt;0),1,0)</f>
        <v>0</v>
      </c>
      <c r="X685" s="7" t="n">
        <f aca="false">IF(AND(O685=1,I685&lt;Inputs!$B$4),1,0)</f>
        <v>0</v>
      </c>
      <c r="Y685" s="7" t="n">
        <f aca="false">IF(AND(O685=1,T685&gt;Inputs!$B$5),1,0)</f>
        <v>0</v>
      </c>
      <c r="Z685" s="7" t="n">
        <f aca="false">IF(AND(O685=1,G685&lt;&gt;R685),1,0)</f>
        <v>0</v>
      </c>
      <c r="AA685" s="7" t="n">
        <f aca="false">IF(AND(O685=1,M685=""),1,0)</f>
        <v>0</v>
      </c>
      <c r="AB685" s="7" t="n">
        <f aca="false">IF(AND(E685="Closed Lost",N685=""),1,0)</f>
        <v>1</v>
      </c>
      <c r="AC685" s="7" t="n">
        <f aca="false">SUM(U685:AB685)</f>
        <v>1</v>
      </c>
      <c r="AD685" s="7" t="n">
        <f aca="false">IF(AC685=0,1,0)</f>
        <v>0</v>
      </c>
      <c r="AE685" s="7" t="n">
        <f aca="false">IF(AND(O685=1,I685&gt;=Inputs!$B$6,I685&lt;=Inputs!$B$7),1,0)</f>
        <v>0</v>
      </c>
      <c r="AF685" s="7" t="n">
        <f aca="false">IF(AND(E685="Closed Won",I685&gt;=Inputs!$B$6,I685&lt;=Inputs!$B$4),1,0)</f>
        <v>0</v>
      </c>
      <c r="AG685" s="7" t="n">
        <f aca="false">IF(AND(O685=0,I685&gt;Inputs!$B$4-Inputs!$B$8,I685&lt;=Inputs!$B$4),1,0)</f>
        <v>1</v>
      </c>
      <c r="AH685" s="7" t="n">
        <f aca="false">I685-H685</f>
        <v>162</v>
      </c>
    </row>
    <row r="686" customFormat="false" ht="15" hidden="false" customHeight="false" outlineLevel="0" collapsed="false">
      <c r="A686" s="16" t="s">
        <v>2062</v>
      </c>
      <c r="B686" s="16" t="s">
        <v>1137</v>
      </c>
      <c r="C686" s="16" t="s">
        <v>2063</v>
      </c>
      <c r="D686" s="16" t="s">
        <v>158</v>
      </c>
      <c r="E686" s="16" t="s">
        <v>531</v>
      </c>
      <c r="F686" s="26" t="n">
        <v>23793000</v>
      </c>
      <c r="G686" s="25" t="n">
        <v>0</v>
      </c>
      <c r="H686" s="22" t="n">
        <v>45921</v>
      </c>
      <c r="I686" s="22" t="n">
        <v>46030</v>
      </c>
      <c r="J686" s="22" t="n">
        <v>46030</v>
      </c>
      <c r="K686" s="16" t="s">
        <v>666</v>
      </c>
      <c r="L686" s="16" t="s">
        <v>500</v>
      </c>
      <c r="M686" s="16"/>
      <c r="N686" s="16" t="s">
        <v>713</v>
      </c>
      <c r="O686" s="7" t="n">
        <f aca="false">IF(OR(E686="Closed Won",E686="Closed Lost"),0,1)</f>
        <v>0</v>
      </c>
      <c r="P686" s="17" t="str">
        <f aca="false">INDEX(Accounts!$K$5:$K$336,MATCH(B686,Accounts!$A$5:$A$336,0))</f>
        <v>Consumer &amp; Retail</v>
      </c>
      <c r="Q686" s="17" t="str">
        <f aca="false">INDEX(Accounts!$D$5:$D$336,MATCH(B686,Accounts!$A$5:$A$336,0))</f>
        <v>Key</v>
      </c>
      <c r="R686" s="7" t="n">
        <f aca="false">INDEX(Inputs!$B$11:$B$16,MATCH(E686,Inputs!$A$11:$A$16,0))</f>
        <v>0</v>
      </c>
      <c r="S686" s="27" t="n">
        <f aca="false">IF(F686="",0,F686)*R686/100</f>
        <v>0</v>
      </c>
      <c r="T686" s="7" t="n">
        <f aca="false">Inputs!$B$4-J686</f>
        <v>284</v>
      </c>
      <c r="U686" s="7" t="n">
        <f aca="false">IF(OR(F686="",F686=0),1,0)</f>
        <v>0</v>
      </c>
      <c r="V686" s="7" t="n">
        <f aca="false">IF(K686="",1,0)</f>
        <v>0</v>
      </c>
      <c r="W686" s="7" t="n">
        <f aca="false">IF(AND(O686=1,K686&lt;&gt;"",COUNTIFS(Owners!$A$5:$A$32,K686,Owners!$E$5:$E$32,"No")&gt;0),1,0)</f>
        <v>0</v>
      </c>
      <c r="X686" s="7" t="n">
        <f aca="false">IF(AND(O686=1,I686&lt;Inputs!$B$4),1,0)</f>
        <v>0</v>
      </c>
      <c r="Y686" s="7" t="n">
        <f aca="false">IF(AND(O686=1,T686&gt;Inputs!$B$5),1,0)</f>
        <v>0</v>
      </c>
      <c r="Z686" s="7" t="n">
        <f aca="false">IF(AND(O686=1,G686&lt;&gt;R686),1,0)</f>
        <v>0</v>
      </c>
      <c r="AA686" s="7" t="n">
        <f aca="false">IF(AND(O686=1,M686=""),1,0)</f>
        <v>0</v>
      </c>
      <c r="AB686" s="7" t="n">
        <f aca="false">IF(AND(E686="Closed Lost",N686=""),1,0)</f>
        <v>0</v>
      </c>
      <c r="AC686" s="7" t="n">
        <f aca="false">SUM(U686:AB686)</f>
        <v>0</v>
      </c>
      <c r="AD686" s="7" t="n">
        <f aca="false">IF(AC686=0,1,0)</f>
        <v>1</v>
      </c>
      <c r="AE686" s="7" t="n">
        <f aca="false">IF(AND(O686=1,I686&gt;=Inputs!$B$6,I686&lt;=Inputs!$B$7),1,0)</f>
        <v>0</v>
      </c>
      <c r="AF686" s="7" t="n">
        <f aca="false">IF(AND(E686="Closed Won",I686&gt;=Inputs!$B$6,I686&lt;=Inputs!$B$4),1,0)</f>
        <v>0</v>
      </c>
      <c r="AG686" s="7" t="n">
        <f aca="false">IF(AND(O686=0,I686&gt;Inputs!$B$4-Inputs!$B$8,I686&lt;=Inputs!$B$4),1,0)</f>
        <v>1</v>
      </c>
      <c r="AH686" s="7" t="n">
        <f aca="false">I686-H686</f>
        <v>109</v>
      </c>
    </row>
    <row r="687" customFormat="false" ht="15" hidden="false" customHeight="false" outlineLevel="0" collapsed="false">
      <c r="A687" s="16" t="s">
        <v>2064</v>
      </c>
      <c r="B687" s="16" t="s">
        <v>681</v>
      </c>
      <c r="C687" s="16" t="s">
        <v>2065</v>
      </c>
      <c r="D687" s="16" t="s">
        <v>165</v>
      </c>
      <c r="E687" s="16" t="s">
        <v>528</v>
      </c>
      <c r="F687" s="26" t="n">
        <v>17117000</v>
      </c>
      <c r="G687" s="25" t="n">
        <v>100</v>
      </c>
      <c r="H687" s="22" t="n">
        <v>46264</v>
      </c>
      <c r="I687" s="22" t="n">
        <v>46505</v>
      </c>
      <c r="J687" s="22" t="n">
        <v>46300</v>
      </c>
      <c r="K687" s="16" t="s">
        <v>633</v>
      </c>
      <c r="L687" s="16" t="s">
        <v>609</v>
      </c>
      <c r="M687" s="16" t="s">
        <v>575</v>
      </c>
      <c r="N687" s="16"/>
      <c r="O687" s="7" t="n">
        <f aca="false">IF(OR(E687="Closed Won",E687="Closed Lost"),0,1)</f>
        <v>1</v>
      </c>
      <c r="P687" s="17" t="str">
        <f aca="false">INDEX(Accounts!$K$5:$K$336,MATCH(B687,Accounts!$A$5:$A$336,0))</f>
        <v>Real Estate &amp; Infrastructure</v>
      </c>
      <c r="Q687" s="17" t="str">
        <f aca="false">INDEX(Accounts!$D$5:$D$336,MATCH(B687,Accounts!$A$5:$A$336,0))</f>
        <v>Key</v>
      </c>
      <c r="R687" s="7" t="n">
        <f aca="false">INDEX(Inputs!$B$11:$B$16,MATCH(E687,Inputs!$A$11:$A$16,0))</f>
        <v>50</v>
      </c>
      <c r="S687" s="27" t="n">
        <f aca="false">IF(F687="",0,F687)*R687/100</f>
        <v>8558500</v>
      </c>
      <c r="T687" s="7" t="n">
        <f aca="false">Inputs!$B$4-J687</f>
        <v>14</v>
      </c>
      <c r="U687" s="7" t="n">
        <f aca="false">IF(OR(F687="",F687=0),1,0)</f>
        <v>0</v>
      </c>
      <c r="V687" s="7" t="n">
        <f aca="false">IF(K687="",1,0)</f>
        <v>0</v>
      </c>
      <c r="W687" s="7" t="n">
        <f aca="false">IF(AND(O687=1,K687&lt;&gt;"",COUNTIFS(Owners!$A$5:$A$32,K687,Owners!$E$5:$E$32,"No")&gt;0),1,0)</f>
        <v>0</v>
      </c>
      <c r="X687" s="7" t="n">
        <f aca="false">IF(AND(O687=1,I687&lt;Inputs!$B$4),1,0)</f>
        <v>0</v>
      </c>
      <c r="Y687" s="7" t="n">
        <f aca="false">IF(AND(O687=1,T687&gt;Inputs!$B$5),1,0)</f>
        <v>0</v>
      </c>
      <c r="Z687" s="7" t="n">
        <f aca="false">IF(AND(O687=1,G687&lt;&gt;R687),1,0)</f>
        <v>1</v>
      </c>
      <c r="AA687" s="7" t="n">
        <f aca="false">IF(AND(O687=1,M687=""),1,0)</f>
        <v>0</v>
      </c>
      <c r="AB687" s="7" t="n">
        <f aca="false">IF(AND(E687="Closed Lost",N687=""),1,0)</f>
        <v>0</v>
      </c>
      <c r="AC687" s="7" t="n">
        <f aca="false">SUM(U687:AB687)</f>
        <v>1</v>
      </c>
      <c r="AD687" s="7" t="n">
        <f aca="false">IF(AC687=0,1,0)</f>
        <v>0</v>
      </c>
      <c r="AE687" s="7" t="n">
        <f aca="false">IF(AND(O687=1,I687&gt;=Inputs!$B$6,I687&lt;=Inputs!$B$7),1,0)</f>
        <v>1</v>
      </c>
      <c r="AF687" s="7" t="n">
        <f aca="false">IF(AND(E687="Closed Won",I687&gt;=Inputs!$B$6,I687&lt;=Inputs!$B$4),1,0)</f>
        <v>0</v>
      </c>
      <c r="AG687" s="7" t="n">
        <f aca="false">IF(AND(O687=0,I687&gt;Inputs!$B$4-Inputs!$B$8,I687&lt;=Inputs!$B$4),1,0)</f>
        <v>0</v>
      </c>
      <c r="AH687" s="7" t="n">
        <f aca="false">I687-H687</f>
        <v>241</v>
      </c>
    </row>
    <row r="688" customFormat="false" ht="15" hidden="false" customHeight="false" outlineLevel="0" collapsed="false">
      <c r="A688" s="16" t="s">
        <v>2066</v>
      </c>
      <c r="B688" s="16" t="s">
        <v>1253</v>
      </c>
      <c r="C688" s="16" t="s">
        <v>2067</v>
      </c>
      <c r="D688" s="16" t="s">
        <v>167</v>
      </c>
      <c r="E688" s="16" t="s">
        <v>531</v>
      </c>
      <c r="F688" s="26" t="n">
        <v>1335000</v>
      </c>
      <c r="G688" s="25" t="n">
        <v>0</v>
      </c>
      <c r="H688" s="22" t="n">
        <v>46079</v>
      </c>
      <c r="I688" s="22" t="n">
        <v>46271</v>
      </c>
      <c r="J688" s="22" t="n">
        <v>46271</v>
      </c>
      <c r="K688" s="16" t="s">
        <v>729</v>
      </c>
      <c r="L688" s="16" t="s">
        <v>568</v>
      </c>
      <c r="M688" s="16"/>
      <c r="N688" s="16" t="s">
        <v>697</v>
      </c>
      <c r="O688" s="7" t="n">
        <f aca="false">IF(OR(E688="Closed Won",E688="Closed Lost"),0,1)</f>
        <v>0</v>
      </c>
      <c r="P688" s="17" t="str">
        <f aca="false">INDEX(Accounts!$K$5:$K$336,MATCH(B688,Accounts!$A$5:$A$336,0))</f>
        <v>Technology, Media &amp; Telecom</v>
      </c>
      <c r="Q688" s="17" t="str">
        <f aca="false">INDEX(Accounts!$D$5:$D$336,MATCH(B688,Accounts!$A$5:$A$336,0))</f>
        <v>Standard</v>
      </c>
      <c r="R688" s="7" t="n">
        <f aca="false">INDEX(Inputs!$B$11:$B$16,MATCH(E688,Inputs!$A$11:$A$16,0))</f>
        <v>0</v>
      </c>
      <c r="S688" s="27" t="n">
        <f aca="false">IF(F688="",0,F688)*R688/100</f>
        <v>0</v>
      </c>
      <c r="T688" s="7" t="n">
        <f aca="false">Inputs!$B$4-J688</f>
        <v>43</v>
      </c>
      <c r="U688" s="7" t="n">
        <f aca="false">IF(OR(F688="",F688=0),1,0)</f>
        <v>0</v>
      </c>
      <c r="V688" s="7" t="n">
        <f aca="false">IF(K688="",1,0)</f>
        <v>0</v>
      </c>
      <c r="W688" s="7" t="n">
        <f aca="false">IF(AND(O688=1,K688&lt;&gt;"",COUNTIFS(Owners!$A$5:$A$32,K688,Owners!$E$5:$E$32,"No")&gt;0),1,0)</f>
        <v>0</v>
      </c>
      <c r="X688" s="7" t="n">
        <f aca="false">IF(AND(O688=1,I688&lt;Inputs!$B$4),1,0)</f>
        <v>0</v>
      </c>
      <c r="Y688" s="7" t="n">
        <f aca="false">IF(AND(O688=1,T688&gt;Inputs!$B$5),1,0)</f>
        <v>0</v>
      </c>
      <c r="Z688" s="7" t="n">
        <f aca="false">IF(AND(O688=1,G688&lt;&gt;R688),1,0)</f>
        <v>0</v>
      </c>
      <c r="AA688" s="7" t="n">
        <f aca="false">IF(AND(O688=1,M688=""),1,0)</f>
        <v>0</v>
      </c>
      <c r="AB688" s="7" t="n">
        <f aca="false">IF(AND(E688="Closed Lost",N688=""),1,0)</f>
        <v>0</v>
      </c>
      <c r="AC688" s="7" t="n">
        <f aca="false">SUM(U688:AB688)</f>
        <v>0</v>
      </c>
      <c r="AD688" s="7" t="n">
        <f aca="false">IF(AC688=0,1,0)</f>
        <v>1</v>
      </c>
      <c r="AE688" s="7" t="n">
        <f aca="false">IF(AND(O688=1,I688&gt;=Inputs!$B$6,I688&lt;=Inputs!$B$7),1,0)</f>
        <v>0</v>
      </c>
      <c r="AF688" s="7" t="n">
        <f aca="false">IF(AND(E688="Closed Won",I688&gt;=Inputs!$B$6,I688&lt;=Inputs!$B$4),1,0)</f>
        <v>0</v>
      </c>
      <c r="AG688" s="7" t="n">
        <f aca="false">IF(AND(O688=0,I688&gt;Inputs!$B$4-Inputs!$B$8,I688&lt;=Inputs!$B$4),1,0)</f>
        <v>1</v>
      </c>
      <c r="AH688" s="7" t="n">
        <f aca="false">I688-H688</f>
        <v>192</v>
      </c>
    </row>
    <row r="689" customFormat="false" ht="15" hidden="false" customHeight="false" outlineLevel="0" collapsed="false">
      <c r="A689" s="16" t="s">
        <v>2068</v>
      </c>
      <c r="B689" s="16" t="s">
        <v>238</v>
      </c>
      <c r="C689" s="16" t="s">
        <v>2069</v>
      </c>
      <c r="D689" s="16" t="s">
        <v>165</v>
      </c>
      <c r="E689" s="16" t="s">
        <v>531</v>
      </c>
      <c r="F689" s="26" t="n">
        <v>36797000</v>
      </c>
      <c r="G689" s="25" t="n">
        <v>0</v>
      </c>
      <c r="H689" s="22" t="n">
        <v>46134</v>
      </c>
      <c r="I689" s="22" t="n">
        <v>46236</v>
      </c>
      <c r="J689" s="22" t="n">
        <v>46236</v>
      </c>
      <c r="K689" s="16" t="s">
        <v>600</v>
      </c>
      <c r="L689" s="16" t="s">
        <v>584</v>
      </c>
      <c r="M689" s="16"/>
      <c r="N689" s="16" t="s">
        <v>697</v>
      </c>
      <c r="O689" s="7" t="n">
        <f aca="false">IF(OR(E689="Closed Won",E689="Closed Lost"),0,1)</f>
        <v>0</v>
      </c>
      <c r="P689" s="17" t="str">
        <f aca="false">INDEX(Accounts!$K$5:$K$336,MATCH(B689,Accounts!$A$5:$A$336,0))</f>
        <v>Energy &amp; Resources</v>
      </c>
      <c r="Q689" s="17" t="str">
        <f aca="false">INDEX(Accounts!$D$5:$D$336,MATCH(B689,Accounts!$A$5:$A$336,0))</f>
        <v>Key</v>
      </c>
      <c r="R689" s="7" t="n">
        <f aca="false">INDEX(Inputs!$B$11:$B$16,MATCH(E689,Inputs!$A$11:$A$16,0))</f>
        <v>0</v>
      </c>
      <c r="S689" s="27" t="n">
        <f aca="false">IF(F689="",0,F689)*R689/100</f>
        <v>0</v>
      </c>
      <c r="T689" s="7" t="n">
        <f aca="false">Inputs!$B$4-J689</f>
        <v>78</v>
      </c>
      <c r="U689" s="7" t="n">
        <f aca="false">IF(OR(F689="",F689=0),1,0)</f>
        <v>0</v>
      </c>
      <c r="V689" s="7" t="n">
        <f aca="false">IF(K689="",1,0)</f>
        <v>0</v>
      </c>
      <c r="W689" s="7" t="n">
        <f aca="false">IF(AND(O689=1,K689&lt;&gt;"",COUNTIFS(Owners!$A$5:$A$32,K689,Owners!$E$5:$E$32,"No")&gt;0),1,0)</f>
        <v>0</v>
      </c>
      <c r="X689" s="7" t="n">
        <f aca="false">IF(AND(O689=1,I689&lt;Inputs!$B$4),1,0)</f>
        <v>0</v>
      </c>
      <c r="Y689" s="7" t="n">
        <f aca="false">IF(AND(O689=1,T689&gt;Inputs!$B$5),1,0)</f>
        <v>0</v>
      </c>
      <c r="Z689" s="7" t="n">
        <f aca="false">IF(AND(O689=1,G689&lt;&gt;R689),1,0)</f>
        <v>0</v>
      </c>
      <c r="AA689" s="7" t="n">
        <f aca="false">IF(AND(O689=1,M689=""),1,0)</f>
        <v>0</v>
      </c>
      <c r="AB689" s="7" t="n">
        <f aca="false">IF(AND(E689="Closed Lost",N689=""),1,0)</f>
        <v>0</v>
      </c>
      <c r="AC689" s="7" t="n">
        <f aca="false">SUM(U689:AB689)</f>
        <v>0</v>
      </c>
      <c r="AD689" s="7" t="n">
        <f aca="false">IF(AC689=0,1,0)</f>
        <v>1</v>
      </c>
      <c r="AE689" s="7" t="n">
        <f aca="false">IF(AND(O689=1,I689&gt;=Inputs!$B$6,I689&lt;=Inputs!$B$7),1,0)</f>
        <v>0</v>
      </c>
      <c r="AF689" s="7" t="n">
        <f aca="false">IF(AND(E689="Closed Won",I689&gt;=Inputs!$B$6,I689&lt;=Inputs!$B$4),1,0)</f>
        <v>0</v>
      </c>
      <c r="AG689" s="7" t="n">
        <f aca="false">IF(AND(O689=0,I689&gt;Inputs!$B$4-Inputs!$B$8,I689&lt;=Inputs!$B$4),1,0)</f>
        <v>1</v>
      </c>
      <c r="AH689" s="7" t="n">
        <f aca="false">I689-H689</f>
        <v>102</v>
      </c>
    </row>
    <row r="690" customFormat="false" ht="15" hidden="false" customHeight="false" outlineLevel="0" collapsed="false">
      <c r="A690" s="16" t="s">
        <v>2070</v>
      </c>
      <c r="B690" s="16" t="s">
        <v>431</v>
      </c>
      <c r="C690" s="16" t="s">
        <v>2071</v>
      </c>
      <c r="D690" s="16" t="s">
        <v>158</v>
      </c>
      <c r="E690" s="16" t="s">
        <v>530</v>
      </c>
      <c r="F690" s="26" t="n">
        <v>86578000</v>
      </c>
      <c r="G690" s="25" t="n">
        <v>100</v>
      </c>
      <c r="H690" s="22" t="n">
        <v>45901</v>
      </c>
      <c r="I690" s="22" t="n">
        <v>46113</v>
      </c>
      <c r="J690" s="22" t="n">
        <v>46113</v>
      </c>
      <c r="K690" s="16" t="s">
        <v>596</v>
      </c>
      <c r="L690" s="16" t="s">
        <v>568</v>
      </c>
      <c r="M690" s="16"/>
      <c r="N690" s="16"/>
      <c r="O690" s="7" t="n">
        <f aca="false">IF(OR(E690="Closed Won",E690="Closed Lost"),0,1)</f>
        <v>0</v>
      </c>
      <c r="P690" s="17" t="str">
        <f aca="false">INDEX(Accounts!$K$5:$K$336,MATCH(B690,Accounts!$A$5:$A$336,0))</f>
        <v>Public Sector &amp; Development</v>
      </c>
      <c r="Q690" s="17" t="str">
        <f aca="false">INDEX(Accounts!$D$5:$D$336,MATCH(B690,Accounts!$A$5:$A$336,0))</f>
        <v>Key</v>
      </c>
      <c r="R690" s="7" t="n">
        <f aca="false">INDEX(Inputs!$B$11:$B$16,MATCH(E690,Inputs!$A$11:$A$16,0))</f>
        <v>100</v>
      </c>
      <c r="S690" s="27" t="n">
        <f aca="false">IF(F690="",0,F690)*R690/100</f>
        <v>86578000</v>
      </c>
      <c r="T690" s="7" t="n">
        <f aca="false">Inputs!$B$4-J690</f>
        <v>201</v>
      </c>
      <c r="U690" s="7" t="n">
        <f aca="false">IF(OR(F690="",F690=0),1,0)</f>
        <v>0</v>
      </c>
      <c r="V690" s="7" t="n">
        <f aca="false">IF(K690="",1,0)</f>
        <v>0</v>
      </c>
      <c r="W690" s="7" t="n">
        <f aca="false">IF(AND(O690=1,K690&lt;&gt;"",COUNTIFS(Owners!$A$5:$A$32,K690,Owners!$E$5:$E$32,"No")&gt;0),1,0)</f>
        <v>0</v>
      </c>
      <c r="X690" s="7" t="n">
        <f aca="false">IF(AND(O690=1,I690&lt;Inputs!$B$4),1,0)</f>
        <v>0</v>
      </c>
      <c r="Y690" s="7" t="n">
        <f aca="false">IF(AND(O690=1,T690&gt;Inputs!$B$5),1,0)</f>
        <v>0</v>
      </c>
      <c r="Z690" s="7" t="n">
        <f aca="false">IF(AND(O690=1,G690&lt;&gt;R690),1,0)</f>
        <v>0</v>
      </c>
      <c r="AA690" s="7" t="n">
        <f aca="false">IF(AND(O690=1,M690=""),1,0)</f>
        <v>0</v>
      </c>
      <c r="AB690" s="7" t="n">
        <f aca="false">IF(AND(E690="Closed Lost",N690=""),1,0)</f>
        <v>0</v>
      </c>
      <c r="AC690" s="7" t="n">
        <f aca="false">SUM(U690:AB690)</f>
        <v>0</v>
      </c>
      <c r="AD690" s="7" t="n">
        <f aca="false">IF(AC690=0,1,0)</f>
        <v>1</v>
      </c>
      <c r="AE690" s="7" t="n">
        <f aca="false">IF(AND(O690=1,I690&gt;=Inputs!$B$6,I690&lt;=Inputs!$B$7),1,0)</f>
        <v>0</v>
      </c>
      <c r="AF690" s="7" t="n">
        <f aca="false">IF(AND(E690="Closed Won",I690&gt;=Inputs!$B$6,I690&lt;=Inputs!$B$4),1,0)</f>
        <v>0</v>
      </c>
      <c r="AG690" s="7" t="n">
        <f aca="false">IF(AND(O690=0,I690&gt;Inputs!$B$4-Inputs!$B$8,I690&lt;=Inputs!$B$4),1,0)</f>
        <v>1</v>
      </c>
      <c r="AH690" s="7" t="n">
        <f aca="false">I690-H690</f>
        <v>212</v>
      </c>
    </row>
    <row r="691" customFormat="false" ht="15" hidden="false" customHeight="false" outlineLevel="0" collapsed="false">
      <c r="A691" s="16" t="s">
        <v>2072</v>
      </c>
      <c r="B691" s="16" t="s">
        <v>63</v>
      </c>
      <c r="C691" s="16" t="s">
        <v>2073</v>
      </c>
      <c r="D691" s="16" t="s">
        <v>162</v>
      </c>
      <c r="E691" s="16" t="s">
        <v>527</v>
      </c>
      <c r="F691" s="26" t="n">
        <v>14366000</v>
      </c>
      <c r="G691" s="25" t="n">
        <v>25</v>
      </c>
      <c r="H691" s="22" t="n">
        <v>46274</v>
      </c>
      <c r="I691" s="22" t="n">
        <v>46294</v>
      </c>
      <c r="J691" s="22" t="n">
        <v>46277</v>
      </c>
      <c r="K691" s="16" t="s">
        <v>588</v>
      </c>
      <c r="L691" s="16" t="s">
        <v>609</v>
      </c>
      <c r="M691" s="16"/>
      <c r="N691" s="16"/>
      <c r="O691" s="7" t="n">
        <f aca="false">IF(OR(E691="Closed Won",E691="Closed Lost"),0,1)</f>
        <v>1</v>
      </c>
      <c r="P691" s="17" t="str">
        <f aca="false">INDEX(Accounts!$K$5:$K$336,MATCH(B691,Accounts!$A$5:$A$336,0))</f>
        <v>Public Sector &amp; Development</v>
      </c>
      <c r="Q691" s="17" t="str">
        <f aca="false">INDEX(Accounts!$D$5:$D$336,MATCH(B691,Accounts!$A$5:$A$336,0))</f>
        <v>Priority</v>
      </c>
      <c r="R691" s="7" t="n">
        <f aca="false">INDEX(Inputs!$B$11:$B$16,MATCH(E691,Inputs!$A$11:$A$16,0))</f>
        <v>25</v>
      </c>
      <c r="S691" s="27" t="n">
        <f aca="false">IF(F691="",0,F691)*R691/100</f>
        <v>3591500</v>
      </c>
      <c r="T691" s="7" t="n">
        <f aca="false">Inputs!$B$4-J691</f>
        <v>37</v>
      </c>
      <c r="U691" s="7" t="n">
        <f aca="false">IF(OR(F691="",F691=0),1,0)</f>
        <v>0</v>
      </c>
      <c r="V691" s="7" t="n">
        <f aca="false">IF(K691="",1,0)</f>
        <v>0</v>
      </c>
      <c r="W691" s="7" t="n">
        <f aca="false">IF(AND(O691=1,K691&lt;&gt;"",COUNTIFS(Owners!$A$5:$A$32,K691,Owners!$E$5:$E$32,"No")&gt;0),1,0)</f>
        <v>0</v>
      </c>
      <c r="X691" s="7" t="n">
        <f aca="false">IF(AND(O691=1,I691&lt;Inputs!$B$4),1,0)</f>
        <v>1</v>
      </c>
      <c r="Y691" s="7" t="n">
        <f aca="false">IF(AND(O691=1,T691&gt;Inputs!$B$5),1,0)</f>
        <v>0</v>
      </c>
      <c r="Z691" s="7" t="n">
        <f aca="false">IF(AND(O691=1,G691&lt;&gt;R691),1,0)</f>
        <v>0</v>
      </c>
      <c r="AA691" s="7" t="n">
        <f aca="false">IF(AND(O691=1,M691=""),1,0)</f>
        <v>1</v>
      </c>
      <c r="AB691" s="7" t="n">
        <f aca="false">IF(AND(E691="Closed Lost",N691=""),1,0)</f>
        <v>0</v>
      </c>
      <c r="AC691" s="7" t="n">
        <f aca="false">SUM(U691:AB691)</f>
        <v>2</v>
      </c>
      <c r="AD691" s="7" t="n">
        <f aca="false">IF(AC691=0,1,0)</f>
        <v>0</v>
      </c>
      <c r="AE691" s="7" t="n">
        <f aca="false">IF(AND(O691=1,I691&gt;=Inputs!$B$6,I691&lt;=Inputs!$B$7),1,0)</f>
        <v>1</v>
      </c>
      <c r="AF691" s="7" t="n">
        <f aca="false">IF(AND(E691="Closed Won",I691&gt;=Inputs!$B$6,I691&lt;=Inputs!$B$4),1,0)</f>
        <v>0</v>
      </c>
      <c r="AG691" s="7" t="n">
        <f aca="false">IF(AND(O691=0,I691&gt;Inputs!$B$4-Inputs!$B$8,I691&lt;=Inputs!$B$4),1,0)</f>
        <v>0</v>
      </c>
      <c r="AH691" s="7" t="n">
        <f aca="false">I691-H691</f>
        <v>20</v>
      </c>
    </row>
    <row r="692" customFormat="false" ht="15" hidden="false" customHeight="false" outlineLevel="0" collapsed="false">
      <c r="A692" s="16" t="s">
        <v>2074</v>
      </c>
      <c r="B692" s="16" t="s">
        <v>231</v>
      </c>
      <c r="C692" s="16" t="s">
        <v>2075</v>
      </c>
      <c r="D692" s="16" t="s">
        <v>162</v>
      </c>
      <c r="E692" s="16" t="s">
        <v>530</v>
      </c>
      <c r="F692" s="26" t="n">
        <v>9998000</v>
      </c>
      <c r="G692" s="25" t="n">
        <v>100</v>
      </c>
      <c r="H692" s="22" t="n">
        <v>46167</v>
      </c>
      <c r="I692" s="22" t="n">
        <v>46282</v>
      </c>
      <c r="J692" s="22" t="n">
        <v>46282</v>
      </c>
      <c r="K692" s="16" t="s">
        <v>591</v>
      </c>
      <c r="L692" s="16" t="s">
        <v>568</v>
      </c>
      <c r="M692" s="16"/>
      <c r="N692" s="16"/>
      <c r="O692" s="7" t="n">
        <f aca="false">IF(OR(E692="Closed Won",E692="Closed Lost"),0,1)</f>
        <v>0</v>
      </c>
      <c r="P692" s="17" t="str">
        <f aca="false">INDEX(Accounts!$K$5:$K$336,MATCH(B692,Accounts!$A$5:$A$336,0))</f>
        <v>Health</v>
      </c>
      <c r="Q692" s="17" t="str">
        <f aca="false">INDEX(Accounts!$D$5:$D$336,MATCH(B692,Accounts!$A$5:$A$336,0))</f>
        <v>Standard</v>
      </c>
      <c r="R692" s="7" t="n">
        <f aca="false">INDEX(Inputs!$B$11:$B$16,MATCH(E692,Inputs!$A$11:$A$16,0))</f>
        <v>100</v>
      </c>
      <c r="S692" s="27" t="n">
        <f aca="false">IF(F692="",0,F692)*R692/100</f>
        <v>9998000</v>
      </c>
      <c r="T692" s="7" t="n">
        <f aca="false">Inputs!$B$4-J692</f>
        <v>32</v>
      </c>
      <c r="U692" s="7" t="n">
        <f aca="false">IF(OR(F692="",F692=0),1,0)</f>
        <v>0</v>
      </c>
      <c r="V692" s="7" t="n">
        <f aca="false">IF(K692="",1,0)</f>
        <v>0</v>
      </c>
      <c r="W692" s="7" t="n">
        <f aca="false">IF(AND(O692=1,K692&lt;&gt;"",COUNTIFS(Owners!$A$5:$A$32,K692,Owners!$E$5:$E$32,"No")&gt;0),1,0)</f>
        <v>0</v>
      </c>
      <c r="X692" s="7" t="n">
        <f aca="false">IF(AND(O692=1,I692&lt;Inputs!$B$4),1,0)</f>
        <v>0</v>
      </c>
      <c r="Y692" s="7" t="n">
        <f aca="false">IF(AND(O692=1,T692&gt;Inputs!$B$5),1,0)</f>
        <v>0</v>
      </c>
      <c r="Z692" s="7" t="n">
        <f aca="false">IF(AND(O692=1,G692&lt;&gt;R692),1,0)</f>
        <v>0</v>
      </c>
      <c r="AA692" s="7" t="n">
        <f aca="false">IF(AND(O692=1,M692=""),1,0)</f>
        <v>0</v>
      </c>
      <c r="AB692" s="7" t="n">
        <f aca="false">IF(AND(E692="Closed Lost",N692=""),1,0)</f>
        <v>0</v>
      </c>
      <c r="AC692" s="7" t="n">
        <f aca="false">SUM(U692:AB692)</f>
        <v>0</v>
      </c>
      <c r="AD692" s="7" t="n">
        <f aca="false">IF(AC692=0,1,0)</f>
        <v>1</v>
      </c>
      <c r="AE692" s="7" t="n">
        <f aca="false">IF(AND(O692=1,I692&gt;=Inputs!$B$6,I692&lt;=Inputs!$B$7),1,0)</f>
        <v>0</v>
      </c>
      <c r="AF692" s="7" t="n">
        <f aca="false">IF(AND(E692="Closed Won",I692&gt;=Inputs!$B$6,I692&lt;=Inputs!$B$4),1,0)</f>
        <v>1</v>
      </c>
      <c r="AG692" s="7" t="n">
        <f aca="false">IF(AND(O692=0,I692&gt;Inputs!$B$4-Inputs!$B$8,I692&lt;=Inputs!$B$4),1,0)</f>
        <v>1</v>
      </c>
      <c r="AH692" s="7" t="n">
        <f aca="false">I692-H692</f>
        <v>115</v>
      </c>
    </row>
    <row r="693" customFormat="false" ht="15" hidden="false" customHeight="false" outlineLevel="0" collapsed="false">
      <c r="A693" s="16" t="s">
        <v>2076</v>
      </c>
      <c r="B693" s="16" t="s">
        <v>325</v>
      </c>
      <c r="C693" s="16" t="s">
        <v>2077</v>
      </c>
      <c r="D693" s="16" t="s">
        <v>177</v>
      </c>
      <c r="E693" s="16" t="s">
        <v>530</v>
      </c>
      <c r="F693" s="26" t="n">
        <v>1729000</v>
      </c>
      <c r="G693" s="25" t="n">
        <v>100</v>
      </c>
      <c r="H693" s="22" t="n">
        <v>45999</v>
      </c>
      <c r="I693" s="22" t="n">
        <v>46234</v>
      </c>
      <c r="J693" s="22" t="n">
        <v>46234</v>
      </c>
      <c r="K693" s="16" t="s">
        <v>637</v>
      </c>
      <c r="L693" s="16" t="s">
        <v>584</v>
      </c>
      <c r="M693" s="16"/>
      <c r="N693" s="16"/>
      <c r="O693" s="7" t="n">
        <f aca="false">IF(OR(E693="Closed Won",E693="Closed Lost"),0,1)</f>
        <v>0</v>
      </c>
      <c r="P693" s="17" t="str">
        <f aca="false">INDEX(Accounts!$K$5:$K$336,MATCH(B693,Accounts!$A$5:$A$336,0))</f>
        <v>Consumer &amp; Retail</v>
      </c>
      <c r="Q693" s="17" t="str">
        <f aca="false">INDEX(Accounts!$D$5:$D$336,MATCH(B693,Accounts!$A$5:$A$336,0))</f>
        <v>Key</v>
      </c>
      <c r="R693" s="7" t="n">
        <f aca="false">INDEX(Inputs!$B$11:$B$16,MATCH(E693,Inputs!$A$11:$A$16,0))</f>
        <v>100</v>
      </c>
      <c r="S693" s="27" t="n">
        <f aca="false">IF(F693="",0,F693)*R693/100</f>
        <v>1729000</v>
      </c>
      <c r="T693" s="7" t="n">
        <f aca="false">Inputs!$B$4-J693</f>
        <v>80</v>
      </c>
      <c r="U693" s="7" t="n">
        <f aca="false">IF(OR(F693="",F693=0),1,0)</f>
        <v>0</v>
      </c>
      <c r="V693" s="7" t="n">
        <f aca="false">IF(K693="",1,0)</f>
        <v>0</v>
      </c>
      <c r="W693" s="7" t="n">
        <f aca="false">IF(AND(O693=1,K693&lt;&gt;"",COUNTIFS(Owners!$A$5:$A$32,K693,Owners!$E$5:$E$32,"No")&gt;0),1,0)</f>
        <v>0</v>
      </c>
      <c r="X693" s="7" t="n">
        <f aca="false">IF(AND(O693=1,I693&lt;Inputs!$B$4),1,0)</f>
        <v>0</v>
      </c>
      <c r="Y693" s="7" t="n">
        <f aca="false">IF(AND(O693=1,T693&gt;Inputs!$B$5),1,0)</f>
        <v>0</v>
      </c>
      <c r="Z693" s="7" t="n">
        <f aca="false">IF(AND(O693=1,G693&lt;&gt;R693),1,0)</f>
        <v>0</v>
      </c>
      <c r="AA693" s="7" t="n">
        <f aca="false">IF(AND(O693=1,M693=""),1,0)</f>
        <v>0</v>
      </c>
      <c r="AB693" s="7" t="n">
        <f aca="false">IF(AND(E693="Closed Lost",N693=""),1,0)</f>
        <v>0</v>
      </c>
      <c r="AC693" s="7" t="n">
        <f aca="false">SUM(U693:AB693)</f>
        <v>0</v>
      </c>
      <c r="AD693" s="7" t="n">
        <f aca="false">IF(AC693=0,1,0)</f>
        <v>1</v>
      </c>
      <c r="AE693" s="7" t="n">
        <f aca="false">IF(AND(O693=1,I693&gt;=Inputs!$B$6,I693&lt;=Inputs!$B$7),1,0)</f>
        <v>0</v>
      </c>
      <c r="AF693" s="7" t="n">
        <f aca="false">IF(AND(E693="Closed Won",I693&gt;=Inputs!$B$6,I693&lt;=Inputs!$B$4),1,0)</f>
        <v>1</v>
      </c>
      <c r="AG693" s="7" t="n">
        <f aca="false">IF(AND(O693=0,I693&gt;Inputs!$B$4-Inputs!$B$8,I693&lt;=Inputs!$B$4),1,0)</f>
        <v>1</v>
      </c>
      <c r="AH693" s="7" t="n">
        <f aca="false">I693-H693</f>
        <v>235</v>
      </c>
    </row>
    <row r="694" customFormat="false" ht="15" hidden="false" customHeight="false" outlineLevel="0" collapsed="false">
      <c r="A694" s="16" t="s">
        <v>2078</v>
      </c>
      <c r="B694" s="16" t="s">
        <v>695</v>
      </c>
      <c r="C694" s="16" t="s">
        <v>2079</v>
      </c>
      <c r="D694" s="16" t="s">
        <v>167</v>
      </c>
      <c r="E694" s="16" t="s">
        <v>526</v>
      </c>
      <c r="F694" s="26" t="n">
        <v>39572000</v>
      </c>
      <c r="G694" s="25" t="n">
        <v>10</v>
      </c>
      <c r="H694" s="22" t="n">
        <v>46284</v>
      </c>
      <c r="I694" s="22" t="n">
        <v>46485</v>
      </c>
      <c r="J694" s="22" t="n">
        <v>46309</v>
      </c>
      <c r="K694" s="16" t="s">
        <v>588</v>
      </c>
      <c r="L694" s="16" t="s">
        <v>592</v>
      </c>
      <c r="M694" s="16"/>
      <c r="N694" s="16"/>
      <c r="O694" s="7" t="n">
        <f aca="false">IF(OR(E694="Closed Won",E694="Closed Lost"),0,1)</f>
        <v>1</v>
      </c>
      <c r="P694" s="17" t="str">
        <f aca="false">INDEX(Accounts!$K$5:$K$336,MATCH(B694,Accounts!$A$5:$A$336,0))</f>
        <v>Technology, Media &amp; Telecom</v>
      </c>
      <c r="Q694" s="17" t="str">
        <f aca="false">INDEX(Accounts!$D$5:$D$336,MATCH(B694,Accounts!$A$5:$A$336,0))</f>
        <v>Key</v>
      </c>
      <c r="R694" s="7" t="n">
        <f aca="false">INDEX(Inputs!$B$11:$B$16,MATCH(E694,Inputs!$A$11:$A$16,0))</f>
        <v>10</v>
      </c>
      <c r="S694" s="27" t="n">
        <f aca="false">IF(F694="",0,F694)*R694/100</f>
        <v>3957200</v>
      </c>
      <c r="T694" s="7" t="n">
        <f aca="false">Inputs!$B$4-J694</f>
        <v>5</v>
      </c>
      <c r="U694" s="7" t="n">
        <f aca="false">IF(OR(F694="",F694=0),1,0)</f>
        <v>0</v>
      </c>
      <c r="V694" s="7" t="n">
        <f aca="false">IF(K694="",1,0)</f>
        <v>0</v>
      </c>
      <c r="W694" s="7" t="n">
        <f aca="false">IF(AND(O694=1,K694&lt;&gt;"",COUNTIFS(Owners!$A$5:$A$32,K694,Owners!$E$5:$E$32,"No")&gt;0),1,0)</f>
        <v>0</v>
      </c>
      <c r="X694" s="7" t="n">
        <f aca="false">IF(AND(O694=1,I694&lt;Inputs!$B$4),1,0)</f>
        <v>0</v>
      </c>
      <c r="Y694" s="7" t="n">
        <f aca="false">IF(AND(O694=1,T694&gt;Inputs!$B$5),1,0)</f>
        <v>0</v>
      </c>
      <c r="Z694" s="7" t="n">
        <f aca="false">IF(AND(O694=1,G694&lt;&gt;R694),1,0)</f>
        <v>0</v>
      </c>
      <c r="AA694" s="7" t="n">
        <f aca="false">IF(AND(O694=1,M694=""),1,0)</f>
        <v>1</v>
      </c>
      <c r="AB694" s="7" t="n">
        <f aca="false">IF(AND(E694="Closed Lost",N694=""),1,0)</f>
        <v>0</v>
      </c>
      <c r="AC694" s="7" t="n">
        <f aca="false">SUM(U694:AB694)</f>
        <v>1</v>
      </c>
      <c r="AD694" s="7" t="n">
        <f aca="false">IF(AC694=0,1,0)</f>
        <v>0</v>
      </c>
      <c r="AE694" s="7" t="n">
        <f aca="false">IF(AND(O694=1,I694&gt;=Inputs!$B$6,I694&lt;=Inputs!$B$7),1,0)</f>
        <v>1</v>
      </c>
      <c r="AF694" s="7" t="n">
        <f aca="false">IF(AND(E694="Closed Won",I694&gt;=Inputs!$B$6,I694&lt;=Inputs!$B$4),1,0)</f>
        <v>0</v>
      </c>
      <c r="AG694" s="7" t="n">
        <f aca="false">IF(AND(O694=0,I694&gt;Inputs!$B$4-Inputs!$B$8,I694&lt;=Inputs!$B$4),1,0)</f>
        <v>0</v>
      </c>
      <c r="AH694" s="7" t="n">
        <f aca="false">I694-H694</f>
        <v>201</v>
      </c>
    </row>
    <row r="695" customFormat="false" ht="15" hidden="false" customHeight="false" outlineLevel="0" collapsed="false">
      <c r="A695" s="16" t="s">
        <v>2080</v>
      </c>
      <c r="B695" s="16" t="s">
        <v>91</v>
      </c>
      <c r="C695" s="16" t="s">
        <v>1521</v>
      </c>
      <c r="D695" s="16" t="s">
        <v>165</v>
      </c>
      <c r="E695" s="16" t="s">
        <v>530</v>
      </c>
      <c r="F695" s="26" t="n">
        <v>69363000</v>
      </c>
      <c r="G695" s="25" t="n">
        <v>100</v>
      </c>
      <c r="H695" s="22" t="n">
        <v>46142</v>
      </c>
      <c r="I695" s="22" t="n">
        <v>46216</v>
      </c>
      <c r="J695" s="22" t="n">
        <v>46216</v>
      </c>
      <c r="K695" s="16" t="s">
        <v>578</v>
      </c>
      <c r="L695" s="16" t="s">
        <v>609</v>
      </c>
      <c r="M695" s="16"/>
      <c r="N695" s="16"/>
      <c r="O695" s="7" t="n">
        <f aca="false">IF(OR(E695="Closed Won",E695="Closed Lost"),0,1)</f>
        <v>0</v>
      </c>
      <c r="P695" s="17" t="str">
        <f aca="false">INDEX(Accounts!$K$5:$K$336,MATCH(B695,Accounts!$A$5:$A$336,0))</f>
        <v>Technology, Media &amp; Telecom</v>
      </c>
      <c r="Q695" s="17" t="str">
        <f aca="false">INDEX(Accounts!$D$5:$D$336,MATCH(B695,Accounts!$A$5:$A$336,0))</f>
        <v>Priority</v>
      </c>
      <c r="R695" s="7" t="n">
        <f aca="false">INDEX(Inputs!$B$11:$B$16,MATCH(E695,Inputs!$A$11:$A$16,0))</f>
        <v>100</v>
      </c>
      <c r="S695" s="27" t="n">
        <f aca="false">IF(F695="",0,F695)*R695/100</f>
        <v>69363000</v>
      </c>
      <c r="T695" s="7" t="n">
        <f aca="false">Inputs!$B$4-J695</f>
        <v>98</v>
      </c>
      <c r="U695" s="7" t="n">
        <f aca="false">IF(OR(F695="",F695=0),1,0)</f>
        <v>0</v>
      </c>
      <c r="V695" s="7" t="n">
        <f aca="false">IF(K695="",1,0)</f>
        <v>0</v>
      </c>
      <c r="W695" s="7" t="n">
        <f aca="false">IF(AND(O695=1,K695&lt;&gt;"",COUNTIFS(Owners!$A$5:$A$32,K695,Owners!$E$5:$E$32,"No")&gt;0),1,0)</f>
        <v>0</v>
      </c>
      <c r="X695" s="7" t="n">
        <f aca="false">IF(AND(O695=1,I695&lt;Inputs!$B$4),1,0)</f>
        <v>0</v>
      </c>
      <c r="Y695" s="7" t="n">
        <f aca="false">IF(AND(O695=1,T695&gt;Inputs!$B$5),1,0)</f>
        <v>0</v>
      </c>
      <c r="Z695" s="7" t="n">
        <f aca="false">IF(AND(O695=1,G695&lt;&gt;R695),1,0)</f>
        <v>0</v>
      </c>
      <c r="AA695" s="7" t="n">
        <f aca="false">IF(AND(O695=1,M695=""),1,0)</f>
        <v>0</v>
      </c>
      <c r="AB695" s="7" t="n">
        <f aca="false">IF(AND(E695="Closed Lost",N695=""),1,0)</f>
        <v>0</v>
      </c>
      <c r="AC695" s="7" t="n">
        <f aca="false">SUM(U695:AB695)</f>
        <v>0</v>
      </c>
      <c r="AD695" s="7" t="n">
        <f aca="false">IF(AC695=0,1,0)</f>
        <v>1</v>
      </c>
      <c r="AE695" s="7" t="n">
        <f aca="false">IF(AND(O695=1,I695&gt;=Inputs!$B$6,I695&lt;=Inputs!$B$7),1,0)</f>
        <v>0</v>
      </c>
      <c r="AF695" s="7" t="n">
        <f aca="false">IF(AND(E695="Closed Won",I695&gt;=Inputs!$B$6,I695&lt;=Inputs!$B$4),1,0)</f>
        <v>1</v>
      </c>
      <c r="AG695" s="7" t="n">
        <f aca="false">IF(AND(O695=0,I695&gt;Inputs!$B$4-Inputs!$B$8,I695&lt;=Inputs!$B$4),1,0)</f>
        <v>1</v>
      </c>
      <c r="AH695" s="7" t="n">
        <f aca="false">I695-H695</f>
        <v>74</v>
      </c>
    </row>
    <row r="696" customFormat="false" ht="15" hidden="false" customHeight="false" outlineLevel="0" collapsed="false">
      <c r="A696" s="16" t="s">
        <v>2081</v>
      </c>
      <c r="B696" s="16" t="s">
        <v>84</v>
      </c>
      <c r="C696" s="16" t="s">
        <v>2082</v>
      </c>
      <c r="D696" s="16" t="s">
        <v>162</v>
      </c>
      <c r="E696" s="16" t="s">
        <v>527</v>
      </c>
      <c r="F696" s="26" t="n">
        <v>4146000</v>
      </c>
      <c r="G696" s="25" t="n">
        <v>0</v>
      </c>
      <c r="H696" s="22" t="n">
        <v>46189</v>
      </c>
      <c r="I696" s="22" t="n">
        <v>46303</v>
      </c>
      <c r="J696" s="22" t="n">
        <v>46277</v>
      </c>
      <c r="K696" s="16"/>
      <c r="L696" s="16" t="s">
        <v>584</v>
      </c>
      <c r="M696" s="16" t="s">
        <v>593</v>
      </c>
      <c r="N696" s="16"/>
      <c r="O696" s="7" t="n">
        <f aca="false">IF(OR(E696="Closed Won",E696="Closed Lost"),0,1)</f>
        <v>1</v>
      </c>
      <c r="P696" s="17" t="str">
        <f aca="false">INDEX(Accounts!$K$5:$K$336,MATCH(B696,Accounts!$A$5:$A$336,0))</f>
        <v>Consumer &amp; Retail</v>
      </c>
      <c r="Q696" s="17" t="str">
        <f aca="false">INDEX(Accounts!$D$5:$D$336,MATCH(B696,Accounts!$A$5:$A$336,0))</f>
        <v>Priority</v>
      </c>
      <c r="R696" s="7" t="n">
        <f aca="false">INDEX(Inputs!$B$11:$B$16,MATCH(E696,Inputs!$A$11:$A$16,0))</f>
        <v>25</v>
      </c>
      <c r="S696" s="27" t="n">
        <f aca="false">IF(F696="",0,F696)*R696/100</f>
        <v>1036500</v>
      </c>
      <c r="T696" s="7" t="n">
        <f aca="false">Inputs!$B$4-J696</f>
        <v>37</v>
      </c>
      <c r="U696" s="7" t="n">
        <f aca="false">IF(OR(F696="",F696=0),1,0)</f>
        <v>0</v>
      </c>
      <c r="V696" s="7" t="n">
        <f aca="false">IF(K696="",1,0)</f>
        <v>1</v>
      </c>
      <c r="W696" s="7" t="n">
        <f aca="false">IF(AND(O696=1,K696&lt;&gt;"",COUNTIFS(Owners!$A$5:$A$32,K696,Owners!$E$5:$E$32,"No")&gt;0),1,0)</f>
        <v>0</v>
      </c>
      <c r="X696" s="7" t="n">
        <f aca="false">IF(AND(O696=1,I696&lt;Inputs!$B$4),1,0)</f>
        <v>1</v>
      </c>
      <c r="Y696" s="7" t="n">
        <f aca="false">IF(AND(O696=1,T696&gt;Inputs!$B$5),1,0)</f>
        <v>0</v>
      </c>
      <c r="Z696" s="7" t="n">
        <f aca="false">IF(AND(O696=1,G696&lt;&gt;R696),1,0)</f>
        <v>1</v>
      </c>
      <c r="AA696" s="7" t="n">
        <f aca="false">IF(AND(O696=1,M696=""),1,0)</f>
        <v>0</v>
      </c>
      <c r="AB696" s="7" t="n">
        <f aca="false">IF(AND(E696="Closed Lost",N696=""),1,0)</f>
        <v>0</v>
      </c>
      <c r="AC696" s="7" t="n">
        <f aca="false">SUM(U696:AB696)</f>
        <v>3</v>
      </c>
      <c r="AD696" s="7" t="n">
        <f aca="false">IF(AC696=0,1,0)</f>
        <v>0</v>
      </c>
      <c r="AE696" s="7" t="n">
        <f aca="false">IF(AND(O696=1,I696&gt;=Inputs!$B$6,I696&lt;=Inputs!$B$7),1,0)</f>
        <v>1</v>
      </c>
      <c r="AF696" s="7" t="n">
        <f aca="false">IF(AND(E696="Closed Won",I696&gt;=Inputs!$B$6,I696&lt;=Inputs!$B$4),1,0)</f>
        <v>0</v>
      </c>
      <c r="AG696" s="7" t="n">
        <f aca="false">IF(AND(O696=0,I696&gt;Inputs!$B$4-Inputs!$B$8,I696&lt;=Inputs!$B$4),1,0)</f>
        <v>0</v>
      </c>
      <c r="AH696" s="7" t="n">
        <f aca="false">I696-H696</f>
        <v>114</v>
      </c>
    </row>
    <row r="697" customFormat="false" ht="15" hidden="false" customHeight="false" outlineLevel="0" collapsed="false">
      <c r="A697" s="16" t="s">
        <v>2083</v>
      </c>
      <c r="B697" s="16" t="s">
        <v>1831</v>
      </c>
      <c r="C697" s="16" t="s">
        <v>2084</v>
      </c>
      <c r="D697" s="16" t="s">
        <v>165</v>
      </c>
      <c r="E697" s="16" t="s">
        <v>531</v>
      </c>
      <c r="F697" s="26" t="n">
        <v>10723000</v>
      </c>
      <c r="G697" s="25" t="n">
        <v>0</v>
      </c>
      <c r="H697" s="22" t="n">
        <v>46030</v>
      </c>
      <c r="I697" s="22" t="n">
        <v>46242</v>
      </c>
      <c r="J697" s="22" t="n">
        <v>46242</v>
      </c>
      <c r="K697" s="16" t="s">
        <v>633</v>
      </c>
      <c r="L697" s="16" t="s">
        <v>574</v>
      </c>
      <c r="M697" s="16"/>
      <c r="N697" s="16"/>
      <c r="O697" s="7" t="n">
        <f aca="false">IF(OR(E697="Closed Won",E697="Closed Lost"),0,1)</f>
        <v>0</v>
      </c>
      <c r="P697" s="17" t="str">
        <f aca="false">INDEX(Accounts!$K$5:$K$336,MATCH(B697,Accounts!$A$5:$A$336,0))</f>
        <v>Technology, Media &amp; Telecom</v>
      </c>
      <c r="Q697" s="17" t="str">
        <f aca="false">INDEX(Accounts!$D$5:$D$336,MATCH(B697,Accounts!$A$5:$A$336,0))</f>
        <v>Standard</v>
      </c>
      <c r="R697" s="7" t="n">
        <f aca="false">INDEX(Inputs!$B$11:$B$16,MATCH(E697,Inputs!$A$11:$A$16,0))</f>
        <v>0</v>
      </c>
      <c r="S697" s="27" t="n">
        <f aca="false">IF(F697="",0,F697)*R697/100</f>
        <v>0</v>
      </c>
      <c r="T697" s="7" t="n">
        <f aca="false">Inputs!$B$4-J697</f>
        <v>72</v>
      </c>
      <c r="U697" s="7" t="n">
        <f aca="false">IF(OR(F697="",F697=0),1,0)</f>
        <v>0</v>
      </c>
      <c r="V697" s="7" t="n">
        <f aca="false">IF(K697="",1,0)</f>
        <v>0</v>
      </c>
      <c r="W697" s="7" t="n">
        <f aca="false">IF(AND(O697=1,K697&lt;&gt;"",COUNTIFS(Owners!$A$5:$A$32,K697,Owners!$E$5:$E$32,"No")&gt;0),1,0)</f>
        <v>0</v>
      </c>
      <c r="X697" s="7" t="n">
        <f aca="false">IF(AND(O697=1,I697&lt;Inputs!$B$4),1,0)</f>
        <v>0</v>
      </c>
      <c r="Y697" s="7" t="n">
        <f aca="false">IF(AND(O697=1,T697&gt;Inputs!$B$5),1,0)</f>
        <v>0</v>
      </c>
      <c r="Z697" s="7" t="n">
        <f aca="false">IF(AND(O697=1,G697&lt;&gt;R697),1,0)</f>
        <v>0</v>
      </c>
      <c r="AA697" s="7" t="n">
        <f aca="false">IF(AND(O697=1,M697=""),1,0)</f>
        <v>0</v>
      </c>
      <c r="AB697" s="7" t="n">
        <f aca="false">IF(AND(E697="Closed Lost",N697=""),1,0)</f>
        <v>1</v>
      </c>
      <c r="AC697" s="7" t="n">
        <f aca="false">SUM(U697:AB697)</f>
        <v>1</v>
      </c>
      <c r="AD697" s="7" t="n">
        <f aca="false">IF(AC697=0,1,0)</f>
        <v>0</v>
      </c>
      <c r="AE697" s="7" t="n">
        <f aca="false">IF(AND(O697=1,I697&gt;=Inputs!$B$6,I697&lt;=Inputs!$B$7),1,0)</f>
        <v>0</v>
      </c>
      <c r="AF697" s="7" t="n">
        <f aca="false">IF(AND(E697="Closed Won",I697&gt;=Inputs!$B$6,I697&lt;=Inputs!$B$4),1,0)</f>
        <v>0</v>
      </c>
      <c r="AG697" s="7" t="n">
        <f aca="false">IF(AND(O697=0,I697&gt;Inputs!$B$4-Inputs!$B$8,I697&lt;=Inputs!$B$4),1,0)</f>
        <v>1</v>
      </c>
      <c r="AH697" s="7" t="n">
        <f aca="false">I697-H697</f>
        <v>212</v>
      </c>
    </row>
    <row r="698" customFormat="false" ht="15" hidden="false" customHeight="false" outlineLevel="0" collapsed="false">
      <c r="A698" s="16" t="s">
        <v>2085</v>
      </c>
      <c r="B698" s="16" t="s">
        <v>254</v>
      </c>
      <c r="C698" s="16" t="s">
        <v>2086</v>
      </c>
      <c r="D698" s="16" t="s">
        <v>177</v>
      </c>
      <c r="E698" s="16" t="s">
        <v>531</v>
      </c>
      <c r="F698" s="26" t="n">
        <v>7534000</v>
      </c>
      <c r="G698" s="25" t="n">
        <v>0</v>
      </c>
      <c r="H698" s="22" t="n">
        <v>46164</v>
      </c>
      <c r="I698" s="22" t="n">
        <v>46310</v>
      </c>
      <c r="J698" s="22" t="n">
        <v>46310</v>
      </c>
      <c r="K698" s="16" t="s">
        <v>591</v>
      </c>
      <c r="L698" s="16" t="s">
        <v>584</v>
      </c>
      <c r="M698" s="16"/>
      <c r="N698" s="16" t="s">
        <v>579</v>
      </c>
      <c r="O698" s="7" t="n">
        <f aca="false">IF(OR(E698="Closed Won",E698="Closed Lost"),0,1)</f>
        <v>0</v>
      </c>
      <c r="P698" s="17" t="str">
        <f aca="false">INDEX(Accounts!$K$5:$K$336,MATCH(B698,Accounts!$A$5:$A$336,0))</f>
        <v>Technology, Media &amp; Telecom</v>
      </c>
      <c r="Q698" s="17" t="str">
        <f aca="false">INDEX(Accounts!$D$5:$D$336,MATCH(B698,Accounts!$A$5:$A$336,0))</f>
        <v>Key</v>
      </c>
      <c r="R698" s="7" t="n">
        <f aca="false">INDEX(Inputs!$B$11:$B$16,MATCH(E698,Inputs!$A$11:$A$16,0))</f>
        <v>0</v>
      </c>
      <c r="S698" s="27" t="n">
        <f aca="false">IF(F698="",0,F698)*R698/100</f>
        <v>0</v>
      </c>
      <c r="T698" s="7" t="n">
        <f aca="false">Inputs!$B$4-J698</f>
        <v>4</v>
      </c>
      <c r="U698" s="7" t="n">
        <f aca="false">IF(OR(F698="",F698=0),1,0)</f>
        <v>0</v>
      </c>
      <c r="V698" s="7" t="n">
        <f aca="false">IF(K698="",1,0)</f>
        <v>0</v>
      </c>
      <c r="W698" s="7" t="n">
        <f aca="false">IF(AND(O698=1,K698&lt;&gt;"",COUNTIFS(Owners!$A$5:$A$32,K698,Owners!$E$5:$E$32,"No")&gt;0),1,0)</f>
        <v>0</v>
      </c>
      <c r="X698" s="7" t="n">
        <f aca="false">IF(AND(O698=1,I698&lt;Inputs!$B$4),1,0)</f>
        <v>0</v>
      </c>
      <c r="Y698" s="7" t="n">
        <f aca="false">IF(AND(O698=1,T698&gt;Inputs!$B$5),1,0)</f>
        <v>0</v>
      </c>
      <c r="Z698" s="7" t="n">
        <f aca="false">IF(AND(O698=1,G698&lt;&gt;R698),1,0)</f>
        <v>0</v>
      </c>
      <c r="AA698" s="7" t="n">
        <f aca="false">IF(AND(O698=1,M698=""),1,0)</f>
        <v>0</v>
      </c>
      <c r="AB698" s="7" t="n">
        <f aca="false">IF(AND(E698="Closed Lost",N698=""),1,0)</f>
        <v>0</v>
      </c>
      <c r="AC698" s="7" t="n">
        <f aca="false">SUM(U698:AB698)</f>
        <v>0</v>
      </c>
      <c r="AD698" s="7" t="n">
        <f aca="false">IF(AC698=0,1,0)</f>
        <v>1</v>
      </c>
      <c r="AE698" s="7" t="n">
        <f aca="false">IF(AND(O698=1,I698&gt;=Inputs!$B$6,I698&lt;=Inputs!$B$7),1,0)</f>
        <v>0</v>
      </c>
      <c r="AF698" s="7" t="n">
        <f aca="false">IF(AND(E698="Closed Won",I698&gt;=Inputs!$B$6,I698&lt;=Inputs!$B$4),1,0)</f>
        <v>0</v>
      </c>
      <c r="AG698" s="7" t="n">
        <f aca="false">IF(AND(O698=0,I698&gt;Inputs!$B$4-Inputs!$B$8,I698&lt;=Inputs!$B$4),1,0)</f>
        <v>1</v>
      </c>
      <c r="AH698" s="7" t="n">
        <f aca="false">I698-H698</f>
        <v>146</v>
      </c>
    </row>
    <row r="699" customFormat="false" ht="15" hidden="false" customHeight="false" outlineLevel="0" collapsed="false">
      <c r="A699" s="16" t="s">
        <v>2087</v>
      </c>
      <c r="B699" s="16" t="s">
        <v>94</v>
      </c>
      <c r="C699" s="16" t="s">
        <v>922</v>
      </c>
      <c r="D699" s="16" t="s">
        <v>165</v>
      </c>
      <c r="E699" s="16" t="s">
        <v>530</v>
      </c>
      <c r="F699" s="26" t="n">
        <v>7471000</v>
      </c>
      <c r="G699" s="25" t="n">
        <v>100</v>
      </c>
      <c r="H699" s="22" t="n">
        <v>45979</v>
      </c>
      <c r="I699" s="22" t="n">
        <v>46255</v>
      </c>
      <c r="J699" s="22" t="n">
        <v>46255</v>
      </c>
      <c r="K699" s="16" t="s">
        <v>640</v>
      </c>
      <c r="L699" s="16" t="s">
        <v>609</v>
      </c>
      <c r="M699" s="16"/>
      <c r="N699" s="16"/>
      <c r="O699" s="7" t="n">
        <f aca="false">IF(OR(E699="Closed Won",E699="Closed Lost"),0,1)</f>
        <v>0</v>
      </c>
      <c r="P699" s="17" t="str">
        <f aca="false">INDEX(Accounts!$K$5:$K$336,MATCH(B699,Accounts!$A$5:$A$336,0))</f>
        <v>Technology, Media &amp; Telecom</v>
      </c>
      <c r="Q699" s="17" t="str">
        <f aca="false">INDEX(Accounts!$D$5:$D$336,MATCH(B699,Accounts!$A$5:$A$336,0))</f>
        <v>Priority</v>
      </c>
      <c r="R699" s="7" t="n">
        <f aca="false">INDEX(Inputs!$B$11:$B$16,MATCH(E699,Inputs!$A$11:$A$16,0))</f>
        <v>100</v>
      </c>
      <c r="S699" s="27" t="n">
        <f aca="false">IF(F699="",0,F699)*R699/100</f>
        <v>7471000</v>
      </c>
      <c r="T699" s="7" t="n">
        <f aca="false">Inputs!$B$4-J699</f>
        <v>59</v>
      </c>
      <c r="U699" s="7" t="n">
        <f aca="false">IF(OR(F699="",F699=0),1,0)</f>
        <v>0</v>
      </c>
      <c r="V699" s="7" t="n">
        <f aca="false">IF(K699="",1,0)</f>
        <v>0</v>
      </c>
      <c r="W699" s="7" t="n">
        <f aca="false">IF(AND(O699=1,K699&lt;&gt;"",COUNTIFS(Owners!$A$5:$A$32,K699,Owners!$E$5:$E$32,"No")&gt;0),1,0)</f>
        <v>0</v>
      </c>
      <c r="X699" s="7" t="n">
        <f aca="false">IF(AND(O699=1,I699&lt;Inputs!$B$4),1,0)</f>
        <v>0</v>
      </c>
      <c r="Y699" s="7" t="n">
        <f aca="false">IF(AND(O699=1,T699&gt;Inputs!$B$5),1,0)</f>
        <v>0</v>
      </c>
      <c r="Z699" s="7" t="n">
        <f aca="false">IF(AND(O699=1,G699&lt;&gt;R699),1,0)</f>
        <v>0</v>
      </c>
      <c r="AA699" s="7" t="n">
        <f aca="false">IF(AND(O699=1,M699=""),1,0)</f>
        <v>0</v>
      </c>
      <c r="AB699" s="7" t="n">
        <f aca="false">IF(AND(E699="Closed Lost",N699=""),1,0)</f>
        <v>0</v>
      </c>
      <c r="AC699" s="7" t="n">
        <f aca="false">SUM(U699:AB699)</f>
        <v>0</v>
      </c>
      <c r="AD699" s="7" t="n">
        <f aca="false">IF(AC699=0,1,0)</f>
        <v>1</v>
      </c>
      <c r="AE699" s="7" t="n">
        <f aca="false">IF(AND(O699=1,I699&gt;=Inputs!$B$6,I699&lt;=Inputs!$B$7),1,0)</f>
        <v>0</v>
      </c>
      <c r="AF699" s="7" t="n">
        <f aca="false">IF(AND(E699="Closed Won",I699&gt;=Inputs!$B$6,I699&lt;=Inputs!$B$4),1,0)</f>
        <v>1</v>
      </c>
      <c r="AG699" s="7" t="n">
        <f aca="false">IF(AND(O699=0,I699&gt;Inputs!$B$4-Inputs!$B$8,I699&lt;=Inputs!$B$4),1,0)</f>
        <v>1</v>
      </c>
      <c r="AH699" s="7" t="n">
        <f aca="false">I699-H699</f>
        <v>276</v>
      </c>
    </row>
    <row r="700" customFormat="false" ht="15" hidden="false" customHeight="false" outlineLevel="0" collapsed="false">
      <c r="A700" s="16" t="s">
        <v>2088</v>
      </c>
      <c r="B700" s="16" t="s">
        <v>435</v>
      </c>
      <c r="C700" s="16" t="s">
        <v>2089</v>
      </c>
      <c r="D700" s="16" t="s">
        <v>162</v>
      </c>
      <c r="E700" s="16" t="s">
        <v>531</v>
      </c>
      <c r="F700" s="26" t="n">
        <v>32206000</v>
      </c>
      <c r="G700" s="25" t="n">
        <v>0</v>
      </c>
      <c r="H700" s="22" t="n">
        <v>46010</v>
      </c>
      <c r="I700" s="22" t="n">
        <v>46222</v>
      </c>
      <c r="J700" s="22" t="n">
        <v>46222</v>
      </c>
      <c r="K700" s="16" t="s">
        <v>640</v>
      </c>
      <c r="L700" s="16" t="s">
        <v>609</v>
      </c>
      <c r="M700" s="16"/>
      <c r="N700" s="16" t="s">
        <v>713</v>
      </c>
      <c r="O700" s="7" t="n">
        <f aca="false">IF(OR(E700="Closed Won",E700="Closed Lost"),0,1)</f>
        <v>0</v>
      </c>
      <c r="P700" s="17" t="str">
        <f aca="false">INDEX(Accounts!$K$5:$K$336,MATCH(B700,Accounts!$A$5:$A$336,0))</f>
        <v>Consumer &amp; Retail</v>
      </c>
      <c r="Q700" s="17" t="str">
        <f aca="false">INDEX(Accounts!$D$5:$D$336,MATCH(B700,Accounts!$A$5:$A$336,0))</f>
        <v>Standard</v>
      </c>
      <c r="R700" s="7" t="n">
        <f aca="false">INDEX(Inputs!$B$11:$B$16,MATCH(E700,Inputs!$A$11:$A$16,0))</f>
        <v>0</v>
      </c>
      <c r="S700" s="27" t="n">
        <f aca="false">IF(F700="",0,F700)*R700/100</f>
        <v>0</v>
      </c>
      <c r="T700" s="7" t="n">
        <f aca="false">Inputs!$B$4-J700</f>
        <v>92</v>
      </c>
      <c r="U700" s="7" t="n">
        <f aca="false">IF(OR(F700="",F700=0),1,0)</f>
        <v>0</v>
      </c>
      <c r="V700" s="7" t="n">
        <f aca="false">IF(K700="",1,0)</f>
        <v>0</v>
      </c>
      <c r="W700" s="7" t="n">
        <f aca="false">IF(AND(O700=1,K700&lt;&gt;"",COUNTIFS(Owners!$A$5:$A$32,K700,Owners!$E$5:$E$32,"No")&gt;0),1,0)</f>
        <v>0</v>
      </c>
      <c r="X700" s="7" t="n">
        <f aca="false">IF(AND(O700=1,I700&lt;Inputs!$B$4),1,0)</f>
        <v>0</v>
      </c>
      <c r="Y700" s="7" t="n">
        <f aca="false">IF(AND(O700=1,T700&gt;Inputs!$B$5),1,0)</f>
        <v>0</v>
      </c>
      <c r="Z700" s="7" t="n">
        <f aca="false">IF(AND(O700=1,G700&lt;&gt;R700),1,0)</f>
        <v>0</v>
      </c>
      <c r="AA700" s="7" t="n">
        <f aca="false">IF(AND(O700=1,M700=""),1,0)</f>
        <v>0</v>
      </c>
      <c r="AB700" s="7" t="n">
        <f aca="false">IF(AND(E700="Closed Lost",N700=""),1,0)</f>
        <v>0</v>
      </c>
      <c r="AC700" s="7" t="n">
        <f aca="false">SUM(U700:AB700)</f>
        <v>0</v>
      </c>
      <c r="AD700" s="7" t="n">
        <f aca="false">IF(AC700=0,1,0)</f>
        <v>1</v>
      </c>
      <c r="AE700" s="7" t="n">
        <f aca="false">IF(AND(O700=1,I700&gt;=Inputs!$B$6,I700&lt;=Inputs!$B$7),1,0)</f>
        <v>0</v>
      </c>
      <c r="AF700" s="7" t="n">
        <f aca="false">IF(AND(E700="Closed Won",I700&gt;=Inputs!$B$6,I700&lt;=Inputs!$B$4),1,0)</f>
        <v>0</v>
      </c>
      <c r="AG700" s="7" t="n">
        <f aca="false">IF(AND(O700=0,I700&gt;Inputs!$B$4-Inputs!$B$8,I700&lt;=Inputs!$B$4),1,0)</f>
        <v>1</v>
      </c>
      <c r="AH700" s="7" t="n">
        <f aca="false">I700-H700</f>
        <v>212</v>
      </c>
    </row>
    <row r="701" customFormat="false" ht="15" hidden="false" customHeight="false" outlineLevel="0" collapsed="false">
      <c r="A701" s="16" t="s">
        <v>2090</v>
      </c>
      <c r="B701" s="16" t="s">
        <v>298</v>
      </c>
      <c r="C701" s="16" t="s">
        <v>2091</v>
      </c>
      <c r="D701" s="16" t="s">
        <v>165</v>
      </c>
      <c r="E701" s="16" t="s">
        <v>527</v>
      </c>
      <c r="F701" s="26" t="n">
        <v>8888000</v>
      </c>
      <c r="G701" s="25" t="n">
        <v>25</v>
      </c>
      <c r="H701" s="22" t="n">
        <v>46180</v>
      </c>
      <c r="I701" s="22" t="n">
        <v>46441</v>
      </c>
      <c r="J701" s="22" t="n">
        <v>46223</v>
      </c>
      <c r="K701" s="16" t="s">
        <v>685</v>
      </c>
      <c r="L701" s="16" t="s">
        <v>592</v>
      </c>
      <c r="M701" s="16" t="s">
        <v>593</v>
      </c>
      <c r="N701" s="16"/>
      <c r="O701" s="7" t="n">
        <f aca="false">IF(OR(E701="Closed Won",E701="Closed Lost"),0,1)</f>
        <v>1</v>
      </c>
      <c r="P701" s="17" t="str">
        <f aca="false">INDEX(Accounts!$K$5:$K$336,MATCH(B701,Accounts!$A$5:$A$336,0))</f>
        <v>Agribusiness</v>
      </c>
      <c r="Q701" s="17" t="str">
        <f aca="false">INDEX(Accounts!$D$5:$D$336,MATCH(B701,Accounts!$A$5:$A$336,0))</f>
        <v>Standard</v>
      </c>
      <c r="R701" s="7" t="n">
        <f aca="false">INDEX(Inputs!$B$11:$B$16,MATCH(E701,Inputs!$A$11:$A$16,0))</f>
        <v>25</v>
      </c>
      <c r="S701" s="27" t="n">
        <f aca="false">IF(F701="",0,F701)*R701/100</f>
        <v>2222000</v>
      </c>
      <c r="T701" s="7" t="n">
        <f aca="false">Inputs!$B$4-J701</f>
        <v>91</v>
      </c>
      <c r="U701" s="7" t="n">
        <f aca="false">IF(OR(F701="",F701=0),1,0)</f>
        <v>0</v>
      </c>
      <c r="V701" s="7" t="n">
        <f aca="false">IF(K701="",1,0)</f>
        <v>0</v>
      </c>
      <c r="W701" s="7" t="n">
        <f aca="false">IF(AND(O701=1,K701&lt;&gt;"",COUNTIFS(Owners!$A$5:$A$32,K701,Owners!$E$5:$E$32,"No")&gt;0),1,0)</f>
        <v>0</v>
      </c>
      <c r="X701" s="7" t="n">
        <f aca="false">IF(AND(O701=1,I701&lt;Inputs!$B$4),1,0)</f>
        <v>0</v>
      </c>
      <c r="Y701" s="7" t="n">
        <f aca="false">IF(AND(O701=1,T701&gt;Inputs!$B$5),1,0)</f>
        <v>1</v>
      </c>
      <c r="Z701" s="7" t="n">
        <f aca="false">IF(AND(O701=1,G701&lt;&gt;R701),1,0)</f>
        <v>0</v>
      </c>
      <c r="AA701" s="7" t="n">
        <f aca="false">IF(AND(O701=1,M701=""),1,0)</f>
        <v>0</v>
      </c>
      <c r="AB701" s="7" t="n">
        <f aca="false">IF(AND(E701="Closed Lost",N701=""),1,0)</f>
        <v>0</v>
      </c>
      <c r="AC701" s="7" t="n">
        <f aca="false">SUM(U701:AB701)</f>
        <v>1</v>
      </c>
      <c r="AD701" s="7" t="n">
        <f aca="false">IF(AC701=0,1,0)</f>
        <v>0</v>
      </c>
      <c r="AE701" s="7" t="n">
        <f aca="false">IF(AND(O701=1,I701&gt;=Inputs!$B$6,I701&lt;=Inputs!$B$7),1,0)</f>
        <v>1</v>
      </c>
      <c r="AF701" s="7" t="n">
        <f aca="false">IF(AND(E701="Closed Won",I701&gt;=Inputs!$B$6,I701&lt;=Inputs!$B$4),1,0)</f>
        <v>0</v>
      </c>
      <c r="AG701" s="7" t="n">
        <f aca="false">IF(AND(O701=0,I701&gt;Inputs!$B$4-Inputs!$B$8,I701&lt;=Inputs!$B$4),1,0)</f>
        <v>0</v>
      </c>
      <c r="AH701" s="7" t="n">
        <f aca="false">I701-H701</f>
        <v>261</v>
      </c>
    </row>
    <row r="702" customFormat="false" ht="15" hidden="false" customHeight="false" outlineLevel="0" collapsed="false">
      <c r="A702" s="16" t="s">
        <v>2092</v>
      </c>
      <c r="B702" s="16" t="s">
        <v>89</v>
      </c>
      <c r="C702" s="16" t="s">
        <v>2093</v>
      </c>
      <c r="D702" s="16" t="s">
        <v>158</v>
      </c>
      <c r="E702" s="16" t="s">
        <v>531</v>
      </c>
      <c r="F702" s="26" t="n">
        <v>33601000</v>
      </c>
      <c r="G702" s="25" t="n">
        <v>0</v>
      </c>
      <c r="H702" s="22" t="n">
        <v>45956</v>
      </c>
      <c r="I702" s="22" t="n">
        <v>46244</v>
      </c>
      <c r="J702" s="22" t="n">
        <v>46244</v>
      </c>
      <c r="K702" s="16" t="s">
        <v>691</v>
      </c>
      <c r="L702" s="16" t="s">
        <v>574</v>
      </c>
      <c r="M702" s="16"/>
      <c r="N702" s="16" t="s">
        <v>597</v>
      </c>
      <c r="O702" s="7" t="n">
        <f aca="false">IF(OR(E702="Closed Won",E702="Closed Lost"),0,1)</f>
        <v>0</v>
      </c>
      <c r="P702" s="17" t="str">
        <f aca="false">INDEX(Accounts!$K$5:$K$336,MATCH(B702,Accounts!$A$5:$A$336,0))</f>
        <v>Agribusiness</v>
      </c>
      <c r="Q702" s="17" t="str">
        <f aca="false">INDEX(Accounts!$D$5:$D$336,MATCH(B702,Accounts!$A$5:$A$336,0))</f>
        <v>Priority</v>
      </c>
      <c r="R702" s="7" t="n">
        <f aca="false">INDEX(Inputs!$B$11:$B$16,MATCH(E702,Inputs!$A$11:$A$16,0))</f>
        <v>0</v>
      </c>
      <c r="S702" s="27" t="n">
        <f aca="false">IF(F702="",0,F702)*R702/100</f>
        <v>0</v>
      </c>
      <c r="T702" s="7" t="n">
        <f aca="false">Inputs!$B$4-J702</f>
        <v>70</v>
      </c>
      <c r="U702" s="7" t="n">
        <f aca="false">IF(OR(F702="",F702=0),1,0)</f>
        <v>0</v>
      </c>
      <c r="V702" s="7" t="n">
        <f aca="false">IF(K702="",1,0)</f>
        <v>0</v>
      </c>
      <c r="W702" s="7" t="n">
        <f aca="false">IF(AND(O702=1,K702&lt;&gt;"",COUNTIFS(Owners!$A$5:$A$32,K702,Owners!$E$5:$E$32,"No")&gt;0),1,0)</f>
        <v>0</v>
      </c>
      <c r="X702" s="7" t="n">
        <f aca="false">IF(AND(O702=1,I702&lt;Inputs!$B$4),1,0)</f>
        <v>0</v>
      </c>
      <c r="Y702" s="7" t="n">
        <f aca="false">IF(AND(O702=1,T702&gt;Inputs!$B$5),1,0)</f>
        <v>0</v>
      </c>
      <c r="Z702" s="7" t="n">
        <f aca="false">IF(AND(O702=1,G702&lt;&gt;R702),1,0)</f>
        <v>0</v>
      </c>
      <c r="AA702" s="7" t="n">
        <f aca="false">IF(AND(O702=1,M702=""),1,0)</f>
        <v>0</v>
      </c>
      <c r="AB702" s="7" t="n">
        <f aca="false">IF(AND(E702="Closed Lost",N702=""),1,0)</f>
        <v>0</v>
      </c>
      <c r="AC702" s="7" t="n">
        <f aca="false">SUM(U702:AB702)</f>
        <v>0</v>
      </c>
      <c r="AD702" s="7" t="n">
        <f aca="false">IF(AC702=0,1,0)</f>
        <v>1</v>
      </c>
      <c r="AE702" s="7" t="n">
        <f aca="false">IF(AND(O702=1,I702&gt;=Inputs!$B$6,I702&lt;=Inputs!$B$7),1,0)</f>
        <v>0</v>
      </c>
      <c r="AF702" s="7" t="n">
        <f aca="false">IF(AND(E702="Closed Won",I702&gt;=Inputs!$B$6,I702&lt;=Inputs!$B$4),1,0)</f>
        <v>0</v>
      </c>
      <c r="AG702" s="7" t="n">
        <f aca="false">IF(AND(O702=0,I702&gt;Inputs!$B$4-Inputs!$B$8,I702&lt;=Inputs!$B$4),1,0)</f>
        <v>1</v>
      </c>
      <c r="AH702" s="7" t="n">
        <f aca="false">I702-H702</f>
        <v>288</v>
      </c>
    </row>
    <row r="703" customFormat="false" ht="15" hidden="false" customHeight="false" outlineLevel="0" collapsed="false">
      <c r="A703" s="16" t="s">
        <v>2094</v>
      </c>
      <c r="B703" s="16" t="s">
        <v>315</v>
      </c>
      <c r="C703" s="16" t="s">
        <v>2095</v>
      </c>
      <c r="D703" s="16" t="s">
        <v>158</v>
      </c>
      <c r="E703" s="16" t="s">
        <v>528</v>
      </c>
      <c r="F703" s="26" t="n">
        <v>1836000</v>
      </c>
      <c r="G703" s="25" t="n">
        <v>50</v>
      </c>
      <c r="H703" s="22" t="n">
        <v>46195</v>
      </c>
      <c r="I703" s="22" t="n">
        <v>46324</v>
      </c>
      <c r="J703" s="22" t="n">
        <v>46123</v>
      </c>
      <c r="K703" s="16" t="s">
        <v>666</v>
      </c>
      <c r="L703" s="16" t="s">
        <v>592</v>
      </c>
      <c r="M703" s="16" t="s">
        <v>569</v>
      </c>
      <c r="N703" s="16"/>
      <c r="O703" s="7" t="n">
        <f aca="false">IF(OR(E703="Closed Won",E703="Closed Lost"),0,1)</f>
        <v>1</v>
      </c>
      <c r="P703" s="17" t="str">
        <f aca="false">INDEX(Accounts!$K$5:$K$336,MATCH(B703,Accounts!$A$5:$A$336,0))</f>
        <v>Financial Services</v>
      </c>
      <c r="Q703" s="17" t="str">
        <f aca="false">INDEX(Accounts!$D$5:$D$336,MATCH(B703,Accounts!$A$5:$A$336,0))</f>
        <v>Standard</v>
      </c>
      <c r="R703" s="7" t="n">
        <f aca="false">INDEX(Inputs!$B$11:$B$16,MATCH(E703,Inputs!$A$11:$A$16,0))</f>
        <v>50</v>
      </c>
      <c r="S703" s="27" t="n">
        <f aca="false">IF(F703="",0,F703)*R703/100</f>
        <v>918000</v>
      </c>
      <c r="T703" s="7" t="n">
        <f aca="false">Inputs!$B$4-J703</f>
        <v>191</v>
      </c>
      <c r="U703" s="7" t="n">
        <f aca="false">IF(OR(F703="",F703=0),1,0)</f>
        <v>0</v>
      </c>
      <c r="V703" s="7" t="n">
        <f aca="false">IF(K703="",1,0)</f>
        <v>0</v>
      </c>
      <c r="W703" s="7" t="n">
        <f aca="false">IF(AND(O703=1,K703&lt;&gt;"",COUNTIFS(Owners!$A$5:$A$32,K703,Owners!$E$5:$E$32,"No")&gt;0),1,0)</f>
        <v>0</v>
      </c>
      <c r="X703" s="7" t="n">
        <f aca="false">IF(AND(O703=1,I703&lt;Inputs!$B$4),1,0)</f>
        <v>0</v>
      </c>
      <c r="Y703" s="7" t="n">
        <f aca="false">IF(AND(O703=1,T703&gt;Inputs!$B$5),1,0)</f>
        <v>1</v>
      </c>
      <c r="Z703" s="7" t="n">
        <f aca="false">IF(AND(O703=1,G703&lt;&gt;R703),1,0)</f>
        <v>0</v>
      </c>
      <c r="AA703" s="7" t="n">
        <f aca="false">IF(AND(O703=1,M703=""),1,0)</f>
        <v>0</v>
      </c>
      <c r="AB703" s="7" t="n">
        <f aca="false">IF(AND(E703="Closed Lost",N703=""),1,0)</f>
        <v>0</v>
      </c>
      <c r="AC703" s="7" t="n">
        <f aca="false">SUM(U703:AB703)</f>
        <v>1</v>
      </c>
      <c r="AD703" s="7" t="n">
        <f aca="false">IF(AC703=0,1,0)</f>
        <v>0</v>
      </c>
      <c r="AE703" s="7" t="n">
        <f aca="false">IF(AND(O703=1,I703&gt;=Inputs!$B$6,I703&lt;=Inputs!$B$7),1,0)</f>
        <v>1</v>
      </c>
      <c r="AF703" s="7" t="n">
        <f aca="false">IF(AND(E703="Closed Won",I703&gt;=Inputs!$B$6,I703&lt;=Inputs!$B$4),1,0)</f>
        <v>0</v>
      </c>
      <c r="AG703" s="7" t="n">
        <f aca="false">IF(AND(O703=0,I703&gt;Inputs!$B$4-Inputs!$B$8,I703&lt;=Inputs!$B$4),1,0)</f>
        <v>0</v>
      </c>
      <c r="AH703" s="7" t="n">
        <f aca="false">I703-H703</f>
        <v>129</v>
      </c>
    </row>
    <row r="704" customFormat="false" ht="15" hidden="false" customHeight="false" outlineLevel="0" collapsed="false">
      <c r="A704" s="16" t="s">
        <v>2096</v>
      </c>
      <c r="B704" s="16" t="s">
        <v>72</v>
      </c>
      <c r="C704" s="16" t="s">
        <v>2097</v>
      </c>
      <c r="D704" s="16" t="s">
        <v>165</v>
      </c>
      <c r="E704" s="16" t="s">
        <v>531</v>
      </c>
      <c r="F704" s="26" t="n">
        <v>32262000</v>
      </c>
      <c r="G704" s="25" t="n">
        <v>0</v>
      </c>
      <c r="H704" s="22" t="n">
        <v>46061</v>
      </c>
      <c r="I704" s="22" t="n">
        <v>46157</v>
      </c>
      <c r="J704" s="22" t="n">
        <v>46157</v>
      </c>
      <c r="K704" s="16" t="s">
        <v>654</v>
      </c>
      <c r="L704" s="16" t="s">
        <v>592</v>
      </c>
      <c r="M704" s="16"/>
      <c r="N704" s="16" t="s">
        <v>597</v>
      </c>
      <c r="O704" s="7" t="n">
        <f aca="false">IF(OR(E704="Closed Won",E704="Closed Lost"),0,1)</f>
        <v>0</v>
      </c>
      <c r="P704" s="17" t="str">
        <f aca="false">INDEX(Accounts!$K$5:$K$336,MATCH(B704,Accounts!$A$5:$A$336,0))</f>
        <v>Consumer &amp; Retail</v>
      </c>
      <c r="Q704" s="17" t="str">
        <f aca="false">INDEX(Accounts!$D$5:$D$336,MATCH(B704,Accounts!$A$5:$A$336,0))</f>
        <v>Priority</v>
      </c>
      <c r="R704" s="7" t="n">
        <f aca="false">INDEX(Inputs!$B$11:$B$16,MATCH(E704,Inputs!$A$11:$A$16,0))</f>
        <v>0</v>
      </c>
      <c r="S704" s="27" t="n">
        <f aca="false">IF(F704="",0,F704)*R704/100</f>
        <v>0</v>
      </c>
      <c r="T704" s="7" t="n">
        <f aca="false">Inputs!$B$4-J704</f>
        <v>157</v>
      </c>
      <c r="U704" s="7" t="n">
        <f aca="false">IF(OR(F704="",F704=0),1,0)</f>
        <v>0</v>
      </c>
      <c r="V704" s="7" t="n">
        <f aca="false">IF(K704="",1,0)</f>
        <v>0</v>
      </c>
      <c r="W704" s="7" t="n">
        <f aca="false">IF(AND(O704=1,K704&lt;&gt;"",COUNTIFS(Owners!$A$5:$A$32,K704,Owners!$E$5:$E$32,"No")&gt;0),1,0)</f>
        <v>0</v>
      </c>
      <c r="X704" s="7" t="n">
        <f aca="false">IF(AND(O704=1,I704&lt;Inputs!$B$4),1,0)</f>
        <v>0</v>
      </c>
      <c r="Y704" s="7" t="n">
        <f aca="false">IF(AND(O704=1,T704&gt;Inputs!$B$5),1,0)</f>
        <v>0</v>
      </c>
      <c r="Z704" s="7" t="n">
        <f aca="false">IF(AND(O704=1,G704&lt;&gt;R704),1,0)</f>
        <v>0</v>
      </c>
      <c r="AA704" s="7" t="n">
        <f aca="false">IF(AND(O704=1,M704=""),1,0)</f>
        <v>0</v>
      </c>
      <c r="AB704" s="7" t="n">
        <f aca="false">IF(AND(E704="Closed Lost",N704=""),1,0)</f>
        <v>0</v>
      </c>
      <c r="AC704" s="7" t="n">
        <f aca="false">SUM(U704:AB704)</f>
        <v>0</v>
      </c>
      <c r="AD704" s="7" t="n">
        <f aca="false">IF(AC704=0,1,0)</f>
        <v>1</v>
      </c>
      <c r="AE704" s="7" t="n">
        <f aca="false">IF(AND(O704=1,I704&gt;=Inputs!$B$6,I704&lt;=Inputs!$B$7),1,0)</f>
        <v>0</v>
      </c>
      <c r="AF704" s="7" t="n">
        <f aca="false">IF(AND(E704="Closed Won",I704&gt;=Inputs!$B$6,I704&lt;=Inputs!$B$4),1,0)</f>
        <v>0</v>
      </c>
      <c r="AG704" s="7" t="n">
        <f aca="false">IF(AND(O704=0,I704&gt;Inputs!$B$4-Inputs!$B$8,I704&lt;=Inputs!$B$4),1,0)</f>
        <v>1</v>
      </c>
      <c r="AH704" s="7" t="n">
        <f aca="false">I704-H704</f>
        <v>96</v>
      </c>
    </row>
    <row r="705" customFormat="false" ht="15" hidden="false" customHeight="false" outlineLevel="0" collapsed="false">
      <c r="A705" s="16" t="s">
        <v>2098</v>
      </c>
      <c r="B705" s="16" t="s">
        <v>93</v>
      </c>
      <c r="C705" s="16" t="s">
        <v>2099</v>
      </c>
      <c r="D705" s="16" t="s">
        <v>158</v>
      </c>
      <c r="E705" s="16" t="s">
        <v>531</v>
      </c>
      <c r="F705" s="26" t="n">
        <v>27809000</v>
      </c>
      <c r="G705" s="25" t="n">
        <v>0</v>
      </c>
      <c r="H705" s="22" t="n">
        <v>45901</v>
      </c>
      <c r="I705" s="22" t="n">
        <v>46014</v>
      </c>
      <c r="J705" s="22" t="n">
        <v>46014</v>
      </c>
      <c r="K705" s="16" t="s">
        <v>654</v>
      </c>
      <c r="L705" s="16" t="s">
        <v>568</v>
      </c>
      <c r="M705" s="16"/>
      <c r="N705" s="16" t="s">
        <v>610</v>
      </c>
      <c r="O705" s="7" t="n">
        <f aca="false">IF(OR(E705="Closed Won",E705="Closed Lost"),0,1)</f>
        <v>0</v>
      </c>
      <c r="P705" s="17" t="str">
        <f aca="false">INDEX(Accounts!$K$5:$K$336,MATCH(B705,Accounts!$A$5:$A$336,0))</f>
        <v>Unassigned</v>
      </c>
      <c r="Q705" s="17" t="str">
        <f aca="false">INDEX(Accounts!$D$5:$D$336,MATCH(B705,Accounts!$A$5:$A$336,0))</f>
        <v>Priority</v>
      </c>
      <c r="R705" s="7" t="n">
        <f aca="false">INDEX(Inputs!$B$11:$B$16,MATCH(E705,Inputs!$A$11:$A$16,0))</f>
        <v>0</v>
      </c>
      <c r="S705" s="27" t="n">
        <f aca="false">IF(F705="",0,F705)*R705/100</f>
        <v>0</v>
      </c>
      <c r="T705" s="7" t="n">
        <f aca="false">Inputs!$B$4-J705</f>
        <v>300</v>
      </c>
      <c r="U705" s="7" t="n">
        <f aca="false">IF(OR(F705="",F705=0),1,0)</f>
        <v>0</v>
      </c>
      <c r="V705" s="7" t="n">
        <f aca="false">IF(K705="",1,0)</f>
        <v>0</v>
      </c>
      <c r="W705" s="7" t="n">
        <f aca="false">IF(AND(O705=1,K705&lt;&gt;"",COUNTIFS(Owners!$A$5:$A$32,K705,Owners!$E$5:$E$32,"No")&gt;0),1,0)</f>
        <v>0</v>
      </c>
      <c r="X705" s="7" t="n">
        <f aca="false">IF(AND(O705=1,I705&lt;Inputs!$B$4),1,0)</f>
        <v>0</v>
      </c>
      <c r="Y705" s="7" t="n">
        <f aca="false">IF(AND(O705=1,T705&gt;Inputs!$B$5),1,0)</f>
        <v>0</v>
      </c>
      <c r="Z705" s="7" t="n">
        <f aca="false">IF(AND(O705=1,G705&lt;&gt;R705),1,0)</f>
        <v>0</v>
      </c>
      <c r="AA705" s="7" t="n">
        <f aca="false">IF(AND(O705=1,M705=""),1,0)</f>
        <v>0</v>
      </c>
      <c r="AB705" s="7" t="n">
        <f aca="false">IF(AND(E705="Closed Lost",N705=""),1,0)</f>
        <v>0</v>
      </c>
      <c r="AC705" s="7" t="n">
        <f aca="false">SUM(U705:AB705)</f>
        <v>0</v>
      </c>
      <c r="AD705" s="7" t="n">
        <f aca="false">IF(AC705=0,1,0)</f>
        <v>1</v>
      </c>
      <c r="AE705" s="7" t="n">
        <f aca="false">IF(AND(O705=1,I705&gt;=Inputs!$B$6,I705&lt;=Inputs!$B$7),1,0)</f>
        <v>0</v>
      </c>
      <c r="AF705" s="7" t="n">
        <f aca="false">IF(AND(E705="Closed Won",I705&gt;=Inputs!$B$6,I705&lt;=Inputs!$B$4),1,0)</f>
        <v>0</v>
      </c>
      <c r="AG705" s="7" t="n">
        <f aca="false">IF(AND(O705=0,I705&gt;Inputs!$B$4-Inputs!$B$8,I705&lt;=Inputs!$B$4),1,0)</f>
        <v>1</v>
      </c>
      <c r="AH705" s="7" t="n">
        <f aca="false">I705-H705</f>
        <v>113</v>
      </c>
    </row>
    <row r="706" customFormat="false" ht="15" hidden="false" customHeight="false" outlineLevel="0" collapsed="false">
      <c r="A706" s="16" t="s">
        <v>2100</v>
      </c>
      <c r="B706" s="16" t="s">
        <v>2101</v>
      </c>
      <c r="C706" s="16" t="s">
        <v>2102</v>
      </c>
      <c r="D706" s="16" t="s">
        <v>167</v>
      </c>
      <c r="E706" s="16" t="s">
        <v>527</v>
      </c>
      <c r="F706" s="26" t="n">
        <v>6254000</v>
      </c>
      <c r="G706" s="25" t="n">
        <v>25</v>
      </c>
      <c r="H706" s="22" t="n">
        <v>46177</v>
      </c>
      <c r="I706" s="22" t="n">
        <v>46544</v>
      </c>
      <c r="J706" s="22" t="n">
        <v>46300</v>
      </c>
      <c r="K706" s="16" t="s">
        <v>717</v>
      </c>
      <c r="L706" s="16" t="s">
        <v>568</v>
      </c>
      <c r="M706" s="16" t="s">
        <v>613</v>
      </c>
      <c r="N706" s="16"/>
      <c r="O706" s="7" t="n">
        <f aca="false">IF(OR(E706="Closed Won",E706="Closed Lost"),0,1)</f>
        <v>1</v>
      </c>
      <c r="P706" s="17" t="str">
        <f aca="false">INDEX(Accounts!$K$5:$K$336,MATCH(B706,Accounts!$A$5:$A$336,0))</f>
        <v>Public Sector &amp; Development</v>
      </c>
      <c r="Q706" s="17" t="str">
        <f aca="false">INDEX(Accounts!$D$5:$D$336,MATCH(B706,Accounts!$A$5:$A$336,0))</f>
        <v>Standard</v>
      </c>
      <c r="R706" s="7" t="n">
        <f aca="false">INDEX(Inputs!$B$11:$B$16,MATCH(E706,Inputs!$A$11:$A$16,0))</f>
        <v>25</v>
      </c>
      <c r="S706" s="27" t="n">
        <f aca="false">IF(F706="",0,F706)*R706/100</f>
        <v>1563500</v>
      </c>
      <c r="T706" s="7" t="n">
        <f aca="false">Inputs!$B$4-J706</f>
        <v>14</v>
      </c>
      <c r="U706" s="7" t="n">
        <f aca="false">IF(OR(F706="",F706=0),1,0)</f>
        <v>0</v>
      </c>
      <c r="V706" s="7" t="n">
        <f aca="false">IF(K706="",1,0)</f>
        <v>0</v>
      </c>
      <c r="W706" s="7" t="n">
        <f aca="false">IF(AND(O706=1,K706&lt;&gt;"",COUNTIFS(Owners!$A$5:$A$32,K706,Owners!$E$5:$E$32,"No")&gt;0),1,0)</f>
        <v>0</v>
      </c>
      <c r="X706" s="7" t="n">
        <f aca="false">IF(AND(O706=1,I706&lt;Inputs!$B$4),1,0)</f>
        <v>0</v>
      </c>
      <c r="Y706" s="7" t="n">
        <f aca="false">IF(AND(O706=1,T706&gt;Inputs!$B$5),1,0)</f>
        <v>0</v>
      </c>
      <c r="Z706" s="7" t="n">
        <f aca="false">IF(AND(O706=1,G706&lt;&gt;R706),1,0)</f>
        <v>0</v>
      </c>
      <c r="AA706" s="7" t="n">
        <f aca="false">IF(AND(O706=1,M706=""),1,0)</f>
        <v>0</v>
      </c>
      <c r="AB706" s="7" t="n">
        <f aca="false">IF(AND(E706="Closed Lost",N706=""),1,0)</f>
        <v>0</v>
      </c>
      <c r="AC706" s="7" t="n">
        <f aca="false">SUM(U706:AB706)</f>
        <v>0</v>
      </c>
      <c r="AD706" s="7" t="n">
        <f aca="false">IF(AC706=0,1,0)</f>
        <v>1</v>
      </c>
      <c r="AE706" s="7" t="n">
        <f aca="false">IF(AND(O706=1,I706&gt;=Inputs!$B$6,I706&lt;=Inputs!$B$7),1,0)</f>
        <v>1</v>
      </c>
      <c r="AF706" s="7" t="n">
        <f aca="false">IF(AND(E706="Closed Won",I706&gt;=Inputs!$B$6,I706&lt;=Inputs!$B$4),1,0)</f>
        <v>0</v>
      </c>
      <c r="AG706" s="7" t="n">
        <f aca="false">IF(AND(O706=0,I706&gt;Inputs!$B$4-Inputs!$B$8,I706&lt;=Inputs!$B$4),1,0)</f>
        <v>0</v>
      </c>
      <c r="AH706" s="7" t="n">
        <f aca="false">I706-H706</f>
        <v>367</v>
      </c>
    </row>
    <row r="707" customFormat="false" ht="15" hidden="false" customHeight="false" outlineLevel="0" collapsed="false">
      <c r="A707" s="16" t="s">
        <v>2103</v>
      </c>
      <c r="B707" s="16" t="s">
        <v>60</v>
      </c>
      <c r="C707" s="16" t="s">
        <v>2104</v>
      </c>
      <c r="D707" s="16" t="s">
        <v>177</v>
      </c>
      <c r="E707" s="16" t="s">
        <v>531</v>
      </c>
      <c r="F707" s="26" t="n">
        <v>11693000</v>
      </c>
      <c r="G707" s="25" t="n">
        <v>0</v>
      </c>
      <c r="H707" s="22" t="n">
        <v>45907</v>
      </c>
      <c r="I707" s="22" t="n">
        <v>45980</v>
      </c>
      <c r="J707" s="22" t="n">
        <v>45980</v>
      </c>
      <c r="K707" s="16" t="s">
        <v>596</v>
      </c>
      <c r="L707" s="16" t="s">
        <v>609</v>
      </c>
      <c r="M707" s="16"/>
      <c r="N707" s="16" t="s">
        <v>697</v>
      </c>
      <c r="O707" s="7" t="n">
        <f aca="false">IF(OR(E707="Closed Won",E707="Closed Lost"),0,1)</f>
        <v>0</v>
      </c>
      <c r="P707" s="17" t="str">
        <f aca="false">INDEX(Accounts!$K$5:$K$336,MATCH(B707,Accounts!$A$5:$A$336,0))</f>
        <v>Financial Services</v>
      </c>
      <c r="Q707" s="17" t="str">
        <f aca="false">INDEX(Accounts!$D$5:$D$336,MATCH(B707,Accounts!$A$5:$A$336,0))</f>
        <v>Priority</v>
      </c>
      <c r="R707" s="7" t="n">
        <f aca="false">INDEX(Inputs!$B$11:$B$16,MATCH(E707,Inputs!$A$11:$A$16,0))</f>
        <v>0</v>
      </c>
      <c r="S707" s="27" t="n">
        <f aca="false">IF(F707="",0,F707)*R707/100</f>
        <v>0</v>
      </c>
      <c r="T707" s="7" t="n">
        <f aca="false">Inputs!$B$4-J707</f>
        <v>334</v>
      </c>
      <c r="U707" s="7" t="n">
        <f aca="false">IF(OR(F707="",F707=0),1,0)</f>
        <v>0</v>
      </c>
      <c r="V707" s="7" t="n">
        <f aca="false">IF(K707="",1,0)</f>
        <v>0</v>
      </c>
      <c r="W707" s="7" t="n">
        <f aca="false">IF(AND(O707=1,K707&lt;&gt;"",COUNTIFS(Owners!$A$5:$A$32,K707,Owners!$E$5:$E$32,"No")&gt;0),1,0)</f>
        <v>0</v>
      </c>
      <c r="X707" s="7" t="n">
        <f aca="false">IF(AND(O707=1,I707&lt;Inputs!$B$4),1,0)</f>
        <v>0</v>
      </c>
      <c r="Y707" s="7" t="n">
        <f aca="false">IF(AND(O707=1,T707&gt;Inputs!$B$5),1,0)</f>
        <v>0</v>
      </c>
      <c r="Z707" s="7" t="n">
        <f aca="false">IF(AND(O707=1,G707&lt;&gt;R707),1,0)</f>
        <v>0</v>
      </c>
      <c r="AA707" s="7" t="n">
        <f aca="false">IF(AND(O707=1,M707=""),1,0)</f>
        <v>0</v>
      </c>
      <c r="AB707" s="7" t="n">
        <f aca="false">IF(AND(E707="Closed Lost",N707=""),1,0)</f>
        <v>0</v>
      </c>
      <c r="AC707" s="7" t="n">
        <f aca="false">SUM(U707:AB707)</f>
        <v>0</v>
      </c>
      <c r="AD707" s="7" t="n">
        <f aca="false">IF(AC707=0,1,0)</f>
        <v>1</v>
      </c>
      <c r="AE707" s="7" t="n">
        <f aca="false">IF(AND(O707=1,I707&gt;=Inputs!$B$6,I707&lt;=Inputs!$B$7),1,0)</f>
        <v>0</v>
      </c>
      <c r="AF707" s="7" t="n">
        <f aca="false">IF(AND(E707="Closed Won",I707&gt;=Inputs!$B$6,I707&lt;=Inputs!$B$4),1,0)</f>
        <v>0</v>
      </c>
      <c r="AG707" s="7" t="n">
        <f aca="false">IF(AND(O707=0,I707&gt;Inputs!$B$4-Inputs!$B$8,I707&lt;=Inputs!$B$4),1,0)</f>
        <v>1</v>
      </c>
      <c r="AH707" s="7" t="n">
        <f aca="false">I707-H707</f>
        <v>73</v>
      </c>
    </row>
    <row r="708" customFormat="false" ht="15" hidden="false" customHeight="false" outlineLevel="0" collapsed="false">
      <c r="A708" s="16" t="s">
        <v>2105</v>
      </c>
      <c r="B708" s="16" t="s">
        <v>2106</v>
      </c>
      <c r="C708" s="16" t="s">
        <v>2107</v>
      </c>
      <c r="D708" s="16" t="s">
        <v>167</v>
      </c>
      <c r="E708" s="16" t="s">
        <v>530</v>
      </c>
      <c r="F708" s="26" t="n">
        <v>10899000</v>
      </c>
      <c r="G708" s="25" t="n">
        <v>100</v>
      </c>
      <c r="H708" s="22" t="n">
        <v>45945</v>
      </c>
      <c r="I708" s="22" t="n">
        <v>46085</v>
      </c>
      <c r="J708" s="22" t="n">
        <v>46085</v>
      </c>
      <c r="K708" s="16" t="s">
        <v>646</v>
      </c>
      <c r="L708" s="16" t="s">
        <v>584</v>
      </c>
      <c r="M708" s="16"/>
      <c r="N708" s="16"/>
      <c r="O708" s="7" t="n">
        <f aca="false">IF(OR(E708="Closed Won",E708="Closed Lost"),0,1)</f>
        <v>0</v>
      </c>
      <c r="P708" s="17" t="str">
        <f aca="false">INDEX(Accounts!$K$5:$K$336,MATCH(B708,Accounts!$A$5:$A$336,0))</f>
        <v>Technology, Media &amp; Telecom</v>
      </c>
      <c r="Q708" s="17" t="str">
        <f aca="false">INDEX(Accounts!$D$5:$D$336,MATCH(B708,Accounts!$A$5:$A$336,0))</f>
        <v>Standard</v>
      </c>
      <c r="R708" s="7" t="n">
        <f aca="false">INDEX(Inputs!$B$11:$B$16,MATCH(E708,Inputs!$A$11:$A$16,0))</f>
        <v>100</v>
      </c>
      <c r="S708" s="27" t="n">
        <f aca="false">IF(F708="",0,F708)*R708/100</f>
        <v>10899000</v>
      </c>
      <c r="T708" s="7" t="n">
        <f aca="false">Inputs!$B$4-J708</f>
        <v>229</v>
      </c>
      <c r="U708" s="7" t="n">
        <f aca="false">IF(OR(F708="",F708=0),1,0)</f>
        <v>0</v>
      </c>
      <c r="V708" s="7" t="n">
        <f aca="false">IF(K708="",1,0)</f>
        <v>0</v>
      </c>
      <c r="W708" s="7" t="n">
        <f aca="false">IF(AND(O708=1,K708&lt;&gt;"",COUNTIFS(Owners!$A$5:$A$32,K708,Owners!$E$5:$E$32,"No")&gt;0),1,0)</f>
        <v>0</v>
      </c>
      <c r="X708" s="7" t="n">
        <f aca="false">IF(AND(O708=1,I708&lt;Inputs!$B$4),1,0)</f>
        <v>0</v>
      </c>
      <c r="Y708" s="7" t="n">
        <f aca="false">IF(AND(O708=1,T708&gt;Inputs!$B$5),1,0)</f>
        <v>0</v>
      </c>
      <c r="Z708" s="7" t="n">
        <f aca="false">IF(AND(O708=1,G708&lt;&gt;R708),1,0)</f>
        <v>0</v>
      </c>
      <c r="AA708" s="7" t="n">
        <f aca="false">IF(AND(O708=1,M708=""),1,0)</f>
        <v>0</v>
      </c>
      <c r="AB708" s="7" t="n">
        <f aca="false">IF(AND(E708="Closed Lost",N708=""),1,0)</f>
        <v>0</v>
      </c>
      <c r="AC708" s="7" t="n">
        <f aca="false">SUM(U708:AB708)</f>
        <v>0</v>
      </c>
      <c r="AD708" s="7" t="n">
        <f aca="false">IF(AC708=0,1,0)</f>
        <v>1</v>
      </c>
      <c r="AE708" s="7" t="n">
        <f aca="false">IF(AND(O708=1,I708&gt;=Inputs!$B$6,I708&lt;=Inputs!$B$7),1,0)</f>
        <v>0</v>
      </c>
      <c r="AF708" s="7" t="n">
        <f aca="false">IF(AND(E708="Closed Won",I708&gt;=Inputs!$B$6,I708&lt;=Inputs!$B$4),1,0)</f>
        <v>0</v>
      </c>
      <c r="AG708" s="7" t="n">
        <f aca="false">IF(AND(O708=0,I708&gt;Inputs!$B$4-Inputs!$B$8,I708&lt;=Inputs!$B$4),1,0)</f>
        <v>1</v>
      </c>
      <c r="AH708" s="7" t="n">
        <f aca="false">I708-H708</f>
        <v>140</v>
      </c>
    </row>
    <row r="709" customFormat="false" ht="15" hidden="false" customHeight="false" outlineLevel="0" collapsed="false">
      <c r="A709" s="16" t="s">
        <v>2108</v>
      </c>
      <c r="B709" s="16" t="s">
        <v>59</v>
      </c>
      <c r="C709" s="16" t="s">
        <v>2109</v>
      </c>
      <c r="D709" s="16" t="s">
        <v>165</v>
      </c>
      <c r="E709" s="16" t="s">
        <v>531</v>
      </c>
      <c r="F709" s="26" t="n">
        <v>15449000</v>
      </c>
      <c r="G709" s="25" t="n">
        <v>0</v>
      </c>
      <c r="H709" s="22" t="n">
        <v>45937</v>
      </c>
      <c r="I709" s="22" t="n">
        <v>46083</v>
      </c>
      <c r="J709" s="22" t="n">
        <v>46083</v>
      </c>
      <c r="K709" s="16" t="s">
        <v>640</v>
      </c>
      <c r="L709" s="16" t="s">
        <v>584</v>
      </c>
      <c r="M709" s="16"/>
      <c r="N709" s="16" t="s">
        <v>579</v>
      </c>
      <c r="O709" s="7" t="n">
        <f aca="false">IF(OR(E709="Closed Won",E709="Closed Lost"),0,1)</f>
        <v>0</v>
      </c>
      <c r="P709" s="17" t="str">
        <f aca="false">INDEX(Accounts!$K$5:$K$336,MATCH(B709,Accounts!$A$5:$A$336,0))</f>
        <v>Financial Services</v>
      </c>
      <c r="Q709" s="17" t="str">
        <f aca="false">INDEX(Accounts!$D$5:$D$336,MATCH(B709,Accounts!$A$5:$A$336,0))</f>
        <v>Priority</v>
      </c>
      <c r="R709" s="7" t="n">
        <f aca="false">INDEX(Inputs!$B$11:$B$16,MATCH(E709,Inputs!$A$11:$A$16,0))</f>
        <v>0</v>
      </c>
      <c r="S709" s="27" t="n">
        <f aca="false">IF(F709="",0,F709)*R709/100</f>
        <v>0</v>
      </c>
      <c r="T709" s="7" t="n">
        <f aca="false">Inputs!$B$4-J709</f>
        <v>231</v>
      </c>
      <c r="U709" s="7" t="n">
        <f aca="false">IF(OR(F709="",F709=0),1,0)</f>
        <v>0</v>
      </c>
      <c r="V709" s="7" t="n">
        <f aca="false">IF(K709="",1,0)</f>
        <v>0</v>
      </c>
      <c r="W709" s="7" t="n">
        <f aca="false">IF(AND(O709=1,K709&lt;&gt;"",COUNTIFS(Owners!$A$5:$A$32,K709,Owners!$E$5:$E$32,"No")&gt;0),1,0)</f>
        <v>0</v>
      </c>
      <c r="X709" s="7" t="n">
        <f aca="false">IF(AND(O709=1,I709&lt;Inputs!$B$4),1,0)</f>
        <v>0</v>
      </c>
      <c r="Y709" s="7" t="n">
        <f aca="false">IF(AND(O709=1,T709&gt;Inputs!$B$5),1,0)</f>
        <v>0</v>
      </c>
      <c r="Z709" s="7" t="n">
        <f aca="false">IF(AND(O709=1,G709&lt;&gt;R709),1,0)</f>
        <v>0</v>
      </c>
      <c r="AA709" s="7" t="n">
        <f aca="false">IF(AND(O709=1,M709=""),1,0)</f>
        <v>0</v>
      </c>
      <c r="AB709" s="7" t="n">
        <f aca="false">IF(AND(E709="Closed Lost",N709=""),1,0)</f>
        <v>0</v>
      </c>
      <c r="AC709" s="7" t="n">
        <f aca="false">SUM(U709:AB709)</f>
        <v>0</v>
      </c>
      <c r="AD709" s="7" t="n">
        <f aca="false">IF(AC709=0,1,0)</f>
        <v>1</v>
      </c>
      <c r="AE709" s="7" t="n">
        <f aca="false">IF(AND(O709=1,I709&gt;=Inputs!$B$6,I709&lt;=Inputs!$B$7),1,0)</f>
        <v>0</v>
      </c>
      <c r="AF709" s="7" t="n">
        <f aca="false">IF(AND(E709="Closed Won",I709&gt;=Inputs!$B$6,I709&lt;=Inputs!$B$4),1,0)</f>
        <v>0</v>
      </c>
      <c r="AG709" s="7" t="n">
        <f aca="false">IF(AND(O709=0,I709&gt;Inputs!$B$4-Inputs!$B$8,I709&lt;=Inputs!$B$4),1,0)</f>
        <v>1</v>
      </c>
      <c r="AH709" s="7" t="n">
        <f aca="false">I709-H709</f>
        <v>146</v>
      </c>
    </row>
    <row r="710" customFormat="false" ht="15" hidden="false" customHeight="false" outlineLevel="0" collapsed="false">
      <c r="A710" s="16" t="s">
        <v>2110</v>
      </c>
      <c r="B710" s="16" t="s">
        <v>62</v>
      </c>
      <c r="C710" s="16" t="s">
        <v>2111</v>
      </c>
      <c r="D710" s="16" t="s">
        <v>167</v>
      </c>
      <c r="E710" s="16" t="s">
        <v>531</v>
      </c>
      <c r="F710" s="26"/>
      <c r="G710" s="25" t="n">
        <v>0</v>
      </c>
      <c r="H710" s="22" t="n">
        <v>46069</v>
      </c>
      <c r="I710" s="22" t="n">
        <v>46153</v>
      </c>
      <c r="J710" s="22" t="n">
        <v>46153</v>
      </c>
      <c r="K710" s="16" t="s">
        <v>604</v>
      </c>
      <c r="L710" s="16" t="s">
        <v>574</v>
      </c>
      <c r="M710" s="16"/>
      <c r="N710" s="16" t="s">
        <v>610</v>
      </c>
      <c r="O710" s="7" t="n">
        <f aca="false">IF(OR(E710="Closed Won",E710="Closed Lost"),0,1)</f>
        <v>0</v>
      </c>
      <c r="P710" s="17" t="str">
        <f aca="false">INDEX(Accounts!$K$5:$K$336,MATCH(B710,Accounts!$A$5:$A$336,0))</f>
        <v>Financial Services</v>
      </c>
      <c r="Q710" s="17" t="str">
        <f aca="false">INDEX(Accounts!$D$5:$D$336,MATCH(B710,Accounts!$A$5:$A$336,0))</f>
        <v>Priority</v>
      </c>
      <c r="R710" s="7" t="n">
        <f aca="false">INDEX(Inputs!$B$11:$B$16,MATCH(E710,Inputs!$A$11:$A$16,0))</f>
        <v>0</v>
      </c>
      <c r="S710" s="27" t="n">
        <f aca="false">IF(F710="",0,F710)*R710/100</f>
        <v>0</v>
      </c>
      <c r="T710" s="7" t="n">
        <f aca="false">Inputs!$B$4-J710</f>
        <v>161</v>
      </c>
      <c r="U710" s="7" t="n">
        <f aca="false">IF(OR(F710="",F710=0),1,0)</f>
        <v>1</v>
      </c>
      <c r="V710" s="7" t="n">
        <f aca="false">IF(K710="",1,0)</f>
        <v>0</v>
      </c>
      <c r="W710" s="7" t="n">
        <f aca="false">IF(AND(O710=1,K710&lt;&gt;"",COUNTIFS(Owners!$A$5:$A$32,K710,Owners!$E$5:$E$32,"No")&gt;0),1,0)</f>
        <v>0</v>
      </c>
      <c r="X710" s="7" t="n">
        <f aca="false">IF(AND(O710=1,I710&lt;Inputs!$B$4),1,0)</f>
        <v>0</v>
      </c>
      <c r="Y710" s="7" t="n">
        <f aca="false">IF(AND(O710=1,T710&gt;Inputs!$B$5),1,0)</f>
        <v>0</v>
      </c>
      <c r="Z710" s="7" t="n">
        <f aca="false">IF(AND(O710=1,G710&lt;&gt;R710),1,0)</f>
        <v>0</v>
      </c>
      <c r="AA710" s="7" t="n">
        <f aca="false">IF(AND(O710=1,M710=""),1,0)</f>
        <v>0</v>
      </c>
      <c r="AB710" s="7" t="n">
        <f aca="false">IF(AND(E710="Closed Lost",N710=""),1,0)</f>
        <v>0</v>
      </c>
      <c r="AC710" s="7" t="n">
        <f aca="false">SUM(U710:AB710)</f>
        <v>1</v>
      </c>
      <c r="AD710" s="7" t="n">
        <f aca="false">IF(AC710=0,1,0)</f>
        <v>0</v>
      </c>
      <c r="AE710" s="7" t="n">
        <f aca="false">IF(AND(O710=1,I710&gt;=Inputs!$B$6,I710&lt;=Inputs!$B$7),1,0)</f>
        <v>0</v>
      </c>
      <c r="AF710" s="7" t="n">
        <f aca="false">IF(AND(E710="Closed Won",I710&gt;=Inputs!$B$6,I710&lt;=Inputs!$B$4),1,0)</f>
        <v>0</v>
      </c>
      <c r="AG710" s="7" t="n">
        <f aca="false">IF(AND(O710=0,I710&gt;Inputs!$B$4-Inputs!$B$8,I710&lt;=Inputs!$B$4),1,0)</f>
        <v>1</v>
      </c>
      <c r="AH710" s="7" t="n">
        <f aca="false">I710-H710</f>
        <v>84</v>
      </c>
    </row>
    <row r="711" customFormat="false" ht="15" hidden="false" customHeight="false" outlineLevel="0" collapsed="false">
      <c r="A711" s="16" t="s">
        <v>2112</v>
      </c>
      <c r="B711" s="16" t="s">
        <v>389</v>
      </c>
      <c r="C711" s="16" t="s">
        <v>2113</v>
      </c>
      <c r="D711" s="16" t="s">
        <v>177</v>
      </c>
      <c r="E711" s="16" t="s">
        <v>529</v>
      </c>
      <c r="F711" s="26" t="n">
        <v>10337000</v>
      </c>
      <c r="G711" s="25" t="n">
        <v>75</v>
      </c>
      <c r="H711" s="22" t="n">
        <v>46133</v>
      </c>
      <c r="I711" s="22" t="n">
        <v>46322</v>
      </c>
      <c r="J711" s="22" t="n">
        <v>46215</v>
      </c>
      <c r="K711" s="16" t="s">
        <v>604</v>
      </c>
      <c r="L711" s="16" t="s">
        <v>584</v>
      </c>
      <c r="M711" s="16" t="s">
        <v>601</v>
      </c>
      <c r="N711" s="16"/>
      <c r="O711" s="7" t="n">
        <f aca="false">IF(OR(E711="Closed Won",E711="Closed Lost"),0,1)</f>
        <v>1</v>
      </c>
      <c r="P711" s="17" t="str">
        <f aca="false">INDEX(Accounts!$K$5:$K$336,MATCH(B711,Accounts!$A$5:$A$336,0))</f>
        <v>Health</v>
      </c>
      <c r="Q711" s="17" t="str">
        <f aca="false">INDEX(Accounts!$D$5:$D$336,MATCH(B711,Accounts!$A$5:$A$336,0))</f>
        <v>Standard</v>
      </c>
      <c r="R711" s="7" t="n">
        <f aca="false">INDEX(Inputs!$B$11:$B$16,MATCH(E711,Inputs!$A$11:$A$16,0))</f>
        <v>75</v>
      </c>
      <c r="S711" s="27" t="n">
        <f aca="false">IF(F711="",0,F711)*R711/100</f>
        <v>7752750</v>
      </c>
      <c r="T711" s="7" t="n">
        <f aca="false">Inputs!$B$4-J711</f>
        <v>99</v>
      </c>
      <c r="U711" s="7" t="n">
        <f aca="false">IF(OR(F711="",F711=0),1,0)</f>
        <v>0</v>
      </c>
      <c r="V711" s="7" t="n">
        <f aca="false">IF(K711="",1,0)</f>
        <v>0</v>
      </c>
      <c r="W711" s="7" t="n">
        <f aca="false">IF(AND(O711=1,K711&lt;&gt;"",COUNTIFS(Owners!$A$5:$A$32,K711,Owners!$E$5:$E$32,"No")&gt;0),1,0)</f>
        <v>0</v>
      </c>
      <c r="X711" s="7" t="n">
        <f aca="false">IF(AND(O711=1,I711&lt;Inputs!$B$4),1,0)</f>
        <v>0</v>
      </c>
      <c r="Y711" s="7" t="n">
        <f aca="false">IF(AND(O711=1,T711&gt;Inputs!$B$5),1,0)</f>
        <v>1</v>
      </c>
      <c r="Z711" s="7" t="n">
        <f aca="false">IF(AND(O711=1,G711&lt;&gt;R711),1,0)</f>
        <v>0</v>
      </c>
      <c r="AA711" s="7" t="n">
        <f aca="false">IF(AND(O711=1,M711=""),1,0)</f>
        <v>0</v>
      </c>
      <c r="AB711" s="7" t="n">
        <f aca="false">IF(AND(E711="Closed Lost",N711=""),1,0)</f>
        <v>0</v>
      </c>
      <c r="AC711" s="7" t="n">
        <f aca="false">SUM(U711:AB711)</f>
        <v>1</v>
      </c>
      <c r="AD711" s="7" t="n">
        <f aca="false">IF(AC711=0,1,0)</f>
        <v>0</v>
      </c>
      <c r="AE711" s="7" t="n">
        <f aca="false">IF(AND(O711=1,I711&gt;=Inputs!$B$6,I711&lt;=Inputs!$B$7),1,0)</f>
        <v>1</v>
      </c>
      <c r="AF711" s="7" t="n">
        <f aca="false">IF(AND(E711="Closed Won",I711&gt;=Inputs!$B$6,I711&lt;=Inputs!$B$4),1,0)</f>
        <v>0</v>
      </c>
      <c r="AG711" s="7" t="n">
        <f aca="false">IF(AND(O711=0,I711&gt;Inputs!$B$4-Inputs!$B$8,I711&lt;=Inputs!$B$4),1,0)</f>
        <v>0</v>
      </c>
      <c r="AH711" s="7" t="n">
        <f aca="false">I711-H711</f>
        <v>189</v>
      </c>
    </row>
    <row r="712" customFormat="false" ht="15" hidden="false" customHeight="false" outlineLevel="0" collapsed="false">
      <c r="A712" s="16" t="s">
        <v>2114</v>
      </c>
      <c r="B712" s="16" t="s">
        <v>1327</v>
      </c>
      <c r="C712" s="16" t="s">
        <v>2115</v>
      </c>
      <c r="D712" s="16" t="s">
        <v>165</v>
      </c>
      <c r="E712" s="16" t="s">
        <v>530</v>
      </c>
      <c r="F712" s="26" t="n">
        <v>35692000</v>
      </c>
      <c r="G712" s="25" t="n">
        <v>100</v>
      </c>
      <c r="H712" s="22" t="n">
        <v>45895</v>
      </c>
      <c r="I712" s="22" t="n">
        <v>46049</v>
      </c>
      <c r="J712" s="22" t="n">
        <v>46049</v>
      </c>
      <c r="K712" s="16" t="s">
        <v>578</v>
      </c>
      <c r="L712" s="16" t="s">
        <v>609</v>
      </c>
      <c r="M712" s="16"/>
      <c r="N712" s="16"/>
      <c r="O712" s="7" t="n">
        <f aca="false">IF(OR(E712="Closed Won",E712="Closed Lost"),0,1)</f>
        <v>0</v>
      </c>
      <c r="P712" s="17" t="str">
        <f aca="false">INDEX(Accounts!$K$5:$K$336,MATCH(B712,Accounts!$A$5:$A$336,0))</f>
        <v>Energy &amp; Resources</v>
      </c>
      <c r="Q712" s="17" t="str">
        <f aca="false">INDEX(Accounts!$D$5:$D$336,MATCH(B712,Accounts!$A$5:$A$336,0))</f>
        <v>Key</v>
      </c>
      <c r="R712" s="7" t="n">
        <f aca="false">INDEX(Inputs!$B$11:$B$16,MATCH(E712,Inputs!$A$11:$A$16,0))</f>
        <v>100</v>
      </c>
      <c r="S712" s="27" t="n">
        <f aca="false">IF(F712="",0,F712)*R712/100</f>
        <v>35692000</v>
      </c>
      <c r="T712" s="7" t="n">
        <f aca="false">Inputs!$B$4-J712</f>
        <v>265</v>
      </c>
      <c r="U712" s="7" t="n">
        <f aca="false">IF(OR(F712="",F712=0),1,0)</f>
        <v>0</v>
      </c>
      <c r="V712" s="7" t="n">
        <f aca="false">IF(K712="",1,0)</f>
        <v>0</v>
      </c>
      <c r="W712" s="7" t="n">
        <f aca="false">IF(AND(O712=1,K712&lt;&gt;"",COUNTIFS(Owners!$A$5:$A$32,K712,Owners!$E$5:$E$32,"No")&gt;0),1,0)</f>
        <v>0</v>
      </c>
      <c r="X712" s="7" t="n">
        <f aca="false">IF(AND(O712=1,I712&lt;Inputs!$B$4),1,0)</f>
        <v>0</v>
      </c>
      <c r="Y712" s="7" t="n">
        <f aca="false">IF(AND(O712=1,T712&gt;Inputs!$B$5),1,0)</f>
        <v>0</v>
      </c>
      <c r="Z712" s="7" t="n">
        <f aca="false">IF(AND(O712=1,G712&lt;&gt;R712),1,0)</f>
        <v>0</v>
      </c>
      <c r="AA712" s="7" t="n">
        <f aca="false">IF(AND(O712=1,M712=""),1,0)</f>
        <v>0</v>
      </c>
      <c r="AB712" s="7" t="n">
        <f aca="false">IF(AND(E712="Closed Lost",N712=""),1,0)</f>
        <v>0</v>
      </c>
      <c r="AC712" s="7" t="n">
        <f aca="false">SUM(U712:AB712)</f>
        <v>0</v>
      </c>
      <c r="AD712" s="7" t="n">
        <f aca="false">IF(AC712=0,1,0)</f>
        <v>1</v>
      </c>
      <c r="AE712" s="7" t="n">
        <f aca="false">IF(AND(O712=1,I712&gt;=Inputs!$B$6,I712&lt;=Inputs!$B$7),1,0)</f>
        <v>0</v>
      </c>
      <c r="AF712" s="7" t="n">
        <f aca="false">IF(AND(E712="Closed Won",I712&gt;=Inputs!$B$6,I712&lt;=Inputs!$B$4),1,0)</f>
        <v>0</v>
      </c>
      <c r="AG712" s="7" t="n">
        <f aca="false">IF(AND(O712=0,I712&gt;Inputs!$B$4-Inputs!$B$8,I712&lt;=Inputs!$B$4),1,0)</f>
        <v>1</v>
      </c>
      <c r="AH712" s="7" t="n">
        <f aca="false">I712-H712</f>
        <v>154</v>
      </c>
    </row>
    <row r="713" customFormat="false" ht="15" hidden="false" customHeight="false" outlineLevel="0" collapsed="false">
      <c r="A713" s="16" t="s">
        <v>2116</v>
      </c>
      <c r="B713" s="16" t="s">
        <v>404</v>
      </c>
      <c r="C713" s="16" t="s">
        <v>2117</v>
      </c>
      <c r="D713" s="16" t="s">
        <v>165</v>
      </c>
      <c r="E713" s="16" t="s">
        <v>526</v>
      </c>
      <c r="F713" s="26" t="n">
        <v>7659000</v>
      </c>
      <c r="G713" s="25" t="n">
        <v>10</v>
      </c>
      <c r="H713" s="22" t="n">
        <v>46276</v>
      </c>
      <c r="I713" s="22" t="n">
        <v>46476</v>
      </c>
      <c r="J713" s="22" t="n">
        <v>46294</v>
      </c>
      <c r="K713" s="16" t="s">
        <v>704</v>
      </c>
      <c r="L713" s="16" t="s">
        <v>584</v>
      </c>
      <c r="M713" s="16" t="s">
        <v>575</v>
      </c>
      <c r="N713" s="16"/>
      <c r="O713" s="7" t="n">
        <f aca="false">IF(OR(E713="Closed Won",E713="Closed Lost"),0,1)</f>
        <v>1</v>
      </c>
      <c r="P713" s="17" t="str">
        <f aca="false">INDEX(Accounts!$K$5:$K$336,MATCH(B713,Accounts!$A$5:$A$336,0))</f>
        <v>Consumer &amp; Retail</v>
      </c>
      <c r="Q713" s="17" t="str">
        <f aca="false">INDEX(Accounts!$D$5:$D$336,MATCH(B713,Accounts!$A$5:$A$336,0))</f>
        <v>Key</v>
      </c>
      <c r="R713" s="7" t="n">
        <f aca="false">INDEX(Inputs!$B$11:$B$16,MATCH(E713,Inputs!$A$11:$A$16,0))</f>
        <v>10</v>
      </c>
      <c r="S713" s="27" t="n">
        <f aca="false">IF(F713="",0,F713)*R713/100</f>
        <v>765900</v>
      </c>
      <c r="T713" s="7" t="n">
        <f aca="false">Inputs!$B$4-J713</f>
        <v>20</v>
      </c>
      <c r="U713" s="7" t="n">
        <f aca="false">IF(OR(F713="",F713=0),1,0)</f>
        <v>0</v>
      </c>
      <c r="V713" s="7" t="n">
        <f aca="false">IF(K713="",1,0)</f>
        <v>0</v>
      </c>
      <c r="W713" s="7" t="n">
        <f aca="false">IF(AND(O713=1,K713&lt;&gt;"",COUNTIFS(Owners!$A$5:$A$32,K713,Owners!$E$5:$E$32,"No")&gt;0),1,0)</f>
        <v>0</v>
      </c>
      <c r="X713" s="7" t="n">
        <f aca="false">IF(AND(O713=1,I713&lt;Inputs!$B$4),1,0)</f>
        <v>0</v>
      </c>
      <c r="Y713" s="7" t="n">
        <f aca="false">IF(AND(O713=1,T713&gt;Inputs!$B$5),1,0)</f>
        <v>0</v>
      </c>
      <c r="Z713" s="7" t="n">
        <f aca="false">IF(AND(O713=1,G713&lt;&gt;R713),1,0)</f>
        <v>0</v>
      </c>
      <c r="AA713" s="7" t="n">
        <f aca="false">IF(AND(O713=1,M713=""),1,0)</f>
        <v>0</v>
      </c>
      <c r="AB713" s="7" t="n">
        <f aca="false">IF(AND(E713="Closed Lost",N713=""),1,0)</f>
        <v>0</v>
      </c>
      <c r="AC713" s="7" t="n">
        <f aca="false">SUM(U713:AB713)</f>
        <v>0</v>
      </c>
      <c r="AD713" s="7" t="n">
        <f aca="false">IF(AC713=0,1,0)</f>
        <v>1</v>
      </c>
      <c r="AE713" s="7" t="n">
        <f aca="false">IF(AND(O713=1,I713&gt;=Inputs!$B$6,I713&lt;=Inputs!$B$7),1,0)</f>
        <v>1</v>
      </c>
      <c r="AF713" s="7" t="n">
        <f aca="false">IF(AND(E713="Closed Won",I713&gt;=Inputs!$B$6,I713&lt;=Inputs!$B$4),1,0)</f>
        <v>0</v>
      </c>
      <c r="AG713" s="7" t="n">
        <f aca="false">IF(AND(O713=0,I713&gt;Inputs!$B$4-Inputs!$B$8,I713&lt;=Inputs!$B$4),1,0)</f>
        <v>0</v>
      </c>
      <c r="AH713" s="7" t="n">
        <f aca="false">I713-H713</f>
        <v>200</v>
      </c>
    </row>
    <row r="714" customFormat="false" ht="15" hidden="false" customHeight="false" outlineLevel="0" collapsed="false">
      <c r="A714" s="16" t="s">
        <v>2118</v>
      </c>
      <c r="B714" s="16" t="s">
        <v>661</v>
      </c>
      <c r="C714" s="16" t="s">
        <v>2119</v>
      </c>
      <c r="D714" s="16" t="s">
        <v>165</v>
      </c>
      <c r="E714" s="16" t="s">
        <v>531</v>
      </c>
      <c r="F714" s="26" t="n">
        <v>17182000</v>
      </c>
      <c r="G714" s="25" t="n">
        <v>0</v>
      </c>
      <c r="H714" s="22" t="n">
        <v>46040</v>
      </c>
      <c r="I714" s="22" t="n">
        <v>46193</v>
      </c>
      <c r="J714" s="22" t="n">
        <v>46193</v>
      </c>
      <c r="K714" s="16" t="s">
        <v>663</v>
      </c>
      <c r="L714" s="16" t="s">
        <v>584</v>
      </c>
      <c r="M714" s="16"/>
      <c r="N714" s="16" t="s">
        <v>697</v>
      </c>
      <c r="O714" s="7" t="n">
        <f aca="false">IF(OR(E714="Closed Won",E714="Closed Lost"),0,1)</f>
        <v>0</v>
      </c>
      <c r="P714" s="17" t="str">
        <f aca="false">INDEX(Accounts!$K$5:$K$336,MATCH(B714,Accounts!$A$5:$A$336,0))</f>
        <v>Technology, Media &amp; Telecom</v>
      </c>
      <c r="Q714" s="17" t="str">
        <f aca="false">INDEX(Accounts!$D$5:$D$336,MATCH(B714,Accounts!$A$5:$A$336,0))</f>
        <v>Key</v>
      </c>
      <c r="R714" s="7" t="n">
        <f aca="false">INDEX(Inputs!$B$11:$B$16,MATCH(E714,Inputs!$A$11:$A$16,0))</f>
        <v>0</v>
      </c>
      <c r="S714" s="27" t="n">
        <f aca="false">IF(F714="",0,F714)*R714/100</f>
        <v>0</v>
      </c>
      <c r="T714" s="7" t="n">
        <f aca="false">Inputs!$B$4-J714</f>
        <v>121</v>
      </c>
      <c r="U714" s="7" t="n">
        <f aca="false">IF(OR(F714="",F714=0),1,0)</f>
        <v>0</v>
      </c>
      <c r="V714" s="7" t="n">
        <f aca="false">IF(K714="",1,0)</f>
        <v>0</v>
      </c>
      <c r="W714" s="7" t="n">
        <f aca="false">IF(AND(O714=1,K714&lt;&gt;"",COUNTIFS(Owners!$A$5:$A$32,K714,Owners!$E$5:$E$32,"No")&gt;0),1,0)</f>
        <v>0</v>
      </c>
      <c r="X714" s="7" t="n">
        <f aca="false">IF(AND(O714=1,I714&lt;Inputs!$B$4),1,0)</f>
        <v>0</v>
      </c>
      <c r="Y714" s="7" t="n">
        <f aca="false">IF(AND(O714=1,T714&gt;Inputs!$B$5),1,0)</f>
        <v>0</v>
      </c>
      <c r="Z714" s="7" t="n">
        <f aca="false">IF(AND(O714=1,G714&lt;&gt;R714),1,0)</f>
        <v>0</v>
      </c>
      <c r="AA714" s="7" t="n">
        <f aca="false">IF(AND(O714=1,M714=""),1,0)</f>
        <v>0</v>
      </c>
      <c r="AB714" s="7" t="n">
        <f aca="false">IF(AND(E714="Closed Lost",N714=""),1,0)</f>
        <v>0</v>
      </c>
      <c r="AC714" s="7" t="n">
        <f aca="false">SUM(U714:AB714)</f>
        <v>0</v>
      </c>
      <c r="AD714" s="7" t="n">
        <f aca="false">IF(AC714=0,1,0)</f>
        <v>1</v>
      </c>
      <c r="AE714" s="7" t="n">
        <f aca="false">IF(AND(O714=1,I714&gt;=Inputs!$B$6,I714&lt;=Inputs!$B$7),1,0)</f>
        <v>0</v>
      </c>
      <c r="AF714" s="7" t="n">
        <f aca="false">IF(AND(E714="Closed Won",I714&gt;=Inputs!$B$6,I714&lt;=Inputs!$B$4),1,0)</f>
        <v>0</v>
      </c>
      <c r="AG714" s="7" t="n">
        <f aca="false">IF(AND(O714=0,I714&gt;Inputs!$B$4-Inputs!$B$8,I714&lt;=Inputs!$B$4),1,0)</f>
        <v>1</v>
      </c>
      <c r="AH714" s="7" t="n">
        <f aca="false">I714-H714</f>
        <v>153</v>
      </c>
    </row>
    <row r="715" customFormat="false" ht="15" hidden="false" customHeight="false" outlineLevel="0" collapsed="false">
      <c r="A715" s="16" t="s">
        <v>2120</v>
      </c>
      <c r="B715" s="16" t="s">
        <v>60</v>
      </c>
      <c r="C715" s="16" t="s">
        <v>2121</v>
      </c>
      <c r="D715" s="16" t="s">
        <v>167</v>
      </c>
      <c r="E715" s="16" t="s">
        <v>531</v>
      </c>
      <c r="F715" s="26" t="n">
        <v>6468000</v>
      </c>
      <c r="G715" s="25" t="n">
        <v>0</v>
      </c>
      <c r="H715" s="22" t="n">
        <v>46175</v>
      </c>
      <c r="I715" s="22" t="n">
        <v>46292</v>
      </c>
      <c r="J715" s="22" t="n">
        <v>46292</v>
      </c>
      <c r="K715" s="16" t="s">
        <v>596</v>
      </c>
      <c r="L715" s="16" t="s">
        <v>574</v>
      </c>
      <c r="M715" s="16"/>
      <c r="N715" s="16" t="s">
        <v>697</v>
      </c>
      <c r="O715" s="7" t="n">
        <f aca="false">IF(OR(E715="Closed Won",E715="Closed Lost"),0,1)</f>
        <v>0</v>
      </c>
      <c r="P715" s="17" t="str">
        <f aca="false">INDEX(Accounts!$K$5:$K$336,MATCH(B715,Accounts!$A$5:$A$336,0))</f>
        <v>Financial Services</v>
      </c>
      <c r="Q715" s="17" t="str">
        <f aca="false">INDEX(Accounts!$D$5:$D$336,MATCH(B715,Accounts!$A$5:$A$336,0))</f>
        <v>Priority</v>
      </c>
      <c r="R715" s="7" t="n">
        <f aca="false">INDEX(Inputs!$B$11:$B$16,MATCH(E715,Inputs!$A$11:$A$16,0))</f>
        <v>0</v>
      </c>
      <c r="S715" s="27" t="n">
        <f aca="false">IF(F715="",0,F715)*R715/100</f>
        <v>0</v>
      </c>
      <c r="T715" s="7" t="n">
        <f aca="false">Inputs!$B$4-J715</f>
        <v>22</v>
      </c>
      <c r="U715" s="7" t="n">
        <f aca="false">IF(OR(F715="",F715=0),1,0)</f>
        <v>0</v>
      </c>
      <c r="V715" s="7" t="n">
        <f aca="false">IF(K715="",1,0)</f>
        <v>0</v>
      </c>
      <c r="W715" s="7" t="n">
        <f aca="false">IF(AND(O715=1,K715&lt;&gt;"",COUNTIFS(Owners!$A$5:$A$32,K715,Owners!$E$5:$E$32,"No")&gt;0),1,0)</f>
        <v>0</v>
      </c>
      <c r="X715" s="7" t="n">
        <f aca="false">IF(AND(O715=1,I715&lt;Inputs!$B$4),1,0)</f>
        <v>0</v>
      </c>
      <c r="Y715" s="7" t="n">
        <f aca="false">IF(AND(O715=1,T715&gt;Inputs!$B$5),1,0)</f>
        <v>0</v>
      </c>
      <c r="Z715" s="7" t="n">
        <f aca="false">IF(AND(O715=1,G715&lt;&gt;R715),1,0)</f>
        <v>0</v>
      </c>
      <c r="AA715" s="7" t="n">
        <f aca="false">IF(AND(O715=1,M715=""),1,0)</f>
        <v>0</v>
      </c>
      <c r="AB715" s="7" t="n">
        <f aca="false">IF(AND(E715="Closed Lost",N715=""),1,0)</f>
        <v>0</v>
      </c>
      <c r="AC715" s="7" t="n">
        <f aca="false">SUM(U715:AB715)</f>
        <v>0</v>
      </c>
      <c r="AD715" s="7" t="n">
        <f aca="false">IF(AC715=0,1,0)</f>
        <v>1</v>
      </c>
      <c r="AE715" s="7" t="n">
        <f aca="false">IF(AND(O715=1,I715&gt;=Inputs!$B$6,I715&lt;=Inputs!$B$7),1,0)</f>
        <v>0</v>
      </c>
      <c r="AF715" s="7" t="n">
        <f aca="false">IF(AND(E715="Closed Won",I715&gt;=Inputs!$B$6,I715&lt;=Inputs!$B$4),1,0)</f>
        <v>0</v>
      </c>
      <c r="AG715" s="7" t="n">
        <f aca="false">IF(AND(O715=0,I715&gt;Inputs!$B$4-Inputs!$B$8,I715&lt;=Inputs!$B$4),1,0)</f>
        <v>1</v>
      </c>
      <c r="AH715" s="7" t="n">
        <f aca="false">I715-H715</f>
        <v>117</v>
      </c>
    </row>
    <row r="716" customFormat="false" ht="15" hidden="false" customHeight="false" outlineLevel="0" collapsed="false">
      <c r="A716" s="16" t="s">
        <v>2122</v>
      </c>
      <c r="B716" s="16" t="s">
        <v>411</v>
      </c>
      <c r="C716" s="16" t="s">
        <v>2123</v>
      </c>
      <c r="D716" s="16" t="s">
        <v>162</v>
      </c>
      <c r="E716" s="16" t="s">
        <v>531</v>
      </c>
      <c r="F716" s="26" t="n">
        <v>22130000</v>
      </c>
      <c r="G716" s="25" t="n">
        <v>0</v>
      </c>
      <c r="H716" s="22" t="n">
        <v>46124</v>
      </c>
      <c r="I716" s="22" t="n">
        <v>46229</v>
      </c>
      <c r="J716" s="22" t="n">
        <v>46229</v>
      </c>
      <c r="K716" s="16" t="s">
        <v>622</v>
      </c>
      <c r="L716" s="16" t="s">
        <v>574</v>
      </c>
      <c r="M716" s="16"/>
      <c r="N716" s="16" t="s">
        <v>713</v>
      </c>
      <c r="O716" s="7" t="n">
        <f aca="false">IF(OR(E716="Closed Won",E716="Closed Lost"),0,1)</f>
        <v>0</v>
      </c>
      <c r="P716" s="17" t="str">
        <f aca="false">INDEX(Accounts!$K$5:$K$336,MATCH(B716,Accounts!$A$5:$A$336,0))</f>
        <v>Public Sector &amp; Development</v>
      </c>
      <c r="Q716" s="17" t="str">
        <f aca="false">INDEX(Accounts!$D$5:$D$336,MATCH(B716,Accounts!$A$5:$A$336,0))</f>
        <v>Key</v>
      </c>
      <c r="R716" s="7" t="n">
        <f aca="false">INDEX(Inputs!$B$11:$B$16,MATCH(E716,Inputs!$A$11:$A$16,0))</f>
        <v>0</v>
      </c>
      <c r="S716" s="27" t="n">
        <f aca="false">IF(F716="",0,F716)*R716/100</f>
        <v>0</v>
      </c>
      <c r="T716" s="7" t="n">
        <f aca="false">Inputs!$B$4-J716</f>
        <v>85</v>
      </c>
      <c r="U716" s="7" t="n">
        <f aca="false">IF(OR(F716="",F716=0),1,0)</f>
        <v>0</v>
      </c>
      <c r="V716" s="7" t="n">
        <f aca="false">IF(K716="",1,0)</f>
        <v>0</v>
      </c>
      <c r="W716" s="7" t="n">
        <f aca="false">IF(AND(O716=1,K716&lt;&gt;"",COUNTIFS(Owners!$A$5:$A$32,K716,Owners!$E$5:$E$32,"No")&gt;0),1,0)</f>
        <v>0</v>
      </c>
      <c r="X716" s="7" t="n">
        <f aca="false">IF(AND(O716=1,I716&lt;Inputs!$B$4),1,0)</f>
        <v>0</v>
      </c>
      <c r="Y716" s="7" t="n">
        <f aca="false">IF(AND(O716=1,T716&gt;Inputs!$B$5),1,0)</f>
        <v>0</v>
      </c>
      <c r="Z716" s="7" t="n">
        <f aca="false">IF(AND(O716=1,G716&lt;&gt;R716),1,0)</f>
        <v>0</v>
      </c>
      <c r="AA716" s="7" t="n">
        <f aca="false">IF(AND(O716=1,M716=""),1,0)</f>
        <v>0</v>
      </c>
      <c r="AB716" s="7" t="n">
        <f aca="false">IF(AND(E716="Closed Lost",N716=""),1,0)</f>
        <v>0</v>
      </c>
      <c r="AC716" s="7" t="n">
        <f aca="false">SUM(U716:AB716)</f>
        <v>0</v>
      </c>
      <c r="AD716" s="7" t="n">
        <f aca="false">IF(AC716=0,1,0)</f>
        <v>1</v>
      </c>
      <c r="AE716" s="7" t="n">
        <f aca="false">IF(AND(O716=1,I716&gt;=Inputs!$B$6,I716&lt;=Inputs!$B$7),1,0)</f>
        <v>0</v>
      </c>
      <c r="AF716" s="7" t="n">
        <f aca="false">IF(AND(E716="Closed Won",I716&gt;=Inputs!$B$6,I716&lt;=Inputs!$B$4),1,0)</f>
        <v>0</v>
      </c>
      <c r="AG716" s="7" t="n">
        <f aca="false">IF(AND(O716=0,I716&gt;Inputs!$B$4-Inputs!$B$8,I716&lt;=Inputs!$B$4),1,0)</f>
        <v>1</v>
      </c>
      <c r="AH716" s="7" t="n">
        <f aca="false">I716-H716</f>
        <v>105</v>
      </c>
    </row>
    <row r="717" customFormat="false" ht="15" hidden="false" customHeight="false" outlineLevel="0" collapsed="false">
      <c r="A717" s="16" t="s">
        <v>2124</v>
      </c>
      <c r="B717" s="16" t="s">
        <v>2125</v>
      </c>
      <c r="C717" s="16" t="s">
        <v>2126</v>
      </c>
      <c r="D717" s="16" t="s">
        <v>162</v>
      </c>
      <c r="E717" s="16" t="s">
        <v>528</v>
      </c>
      <c r="F717" s="26" t="n">
        <v>6503000</v>
      </c>
      <c r="G717" s="25" t="n">
        <v>50</v>
      </c>
      <c r="H717" s="22" t="n">
        <v>46072</v>
      </c>
      <c r="I717" s="22" t="n">
        <v>46287</v>
      </c>
      <c r="J717" s="22" t="n">
        <v>46308</v>
      </c>
      <c r="K717" s="16" t="s">
        <v>591</v>
      </c>
      <c r="L717" s="16" t="s">
        <v>574</v>
      </c>
      <c r="M717" s="16"/>
      <c r="N717" s="16"/>
      <c r="O717" s="7" t="n">
        <f aca="false">IF(OR(E717="Closed Won",E717="Closed Lost"),0,1)</f>
        <v>1</v>
      </c>
      <c r="P717" s="17" t="str">
        <f aca="false">INDEX(Accounts!$K$5:$K$336,MATCH(B717,Accounts!$A$5:$A$336,0))</f>
        <v>Public Sector &amp; Development</v>
      </c>
      <c r="Q717" s="17" t="str">
        <f aca="false">INDEX(Accounts!$D$5:$D$336,MATCH(B717,Accounts!$A$5:$A$336,0))</f>
        <v>Standard</v>
      </c>
      <c r="R717" s="7" t="n">
        <f aca="false">INDEX(Inputs!$B$11:$B$16,MATCH(E717,Inputs!$A$11:$A$16,0))</f>
        <v>50</v>
      </c>
      <c r="S717" s="27" t="n">
        <f aca="false">IF(F717="",0,F717)*R717/100</f>
        <v>3251500</v>
      </c>
      <c r="T717" s="7" t="n">
        <f aca="false">Inputs!$B$4-J717</f>
        <v>6</v>
      </c>
      <c r="U717" s="7" t="n">
        <f aca="false">IF(OR(F717="",F717=0),1,0)</f>
        <v>0</v>
      </c>
      <c r="V717" s="7" t="n">
        <f aca="false">IF(K717="",1,0)</f>
        <v>0</v>
      </c>
      <c r="W717" s="7" t="n">
        <f aca="false">IF(AND(O717=1,K717&lt;&gt;"",COUNTIFS(Owners!$A$5:$A$32,K717,Owners!$E$5:$E$32,"No")&gt;0),1,0)</f>
        <v>0</v>
      </c>
      <c r="X717" s="7" t="n">
        <f aca="false">IF(AND(O717=1,I717&lt;Inputs!$B$4),1,0)</f>
        <v>1</v>
      </c>
      <c r="Y717" s="7" t="n">
        <f aca="false">IF(AND(O717=1,T717&gt;Inputs!$B$5),1,0)</f>
        <v>0</v>
      </c>
      <c r="Z717" s="7" t="n">
        <f aca="false">IF(AND(O717=1,G717&lt;&gt;R717),1,0)</f>
        <v>0</v>
      </c>
      <c r="AA717" s="7" t="n">
        <f aca="false">IF(AND(O717=1,M717=""),1,0)</f>
        <v>1</v>
      </c>
      <c r="AB717" s="7" t="n">
        <f aca="false">IF(AND(E717="Closed Lost",N717=""),1,0)</f>
        <v>0</v>
      </c>
      <c r="AC717" s="7" t="n">
        <f aca="false">SUM(U717:AB717)</f>
        <v>2</v>
      </c>
      <c r="AD717" s="7" t="n">
        <f aca="false">IF(AC717=0,1,0)</f>
        <v>0</v>
      </c>
      <c r="AE717" s="7" t="n">
        <f aca="false">IF(AND(O717=1,I717&gt;=Inputs!$B$6,I717&lt;=Inputs!$B$7),1,0)</f>
        <v>1</v>
      </c>
      <c r="AF717" s="7" t="n">
        <f aca="false">IF(AND(E717="Closed Won",I717&gt;=Inputs!$B$6,I717&lt;=Inputs!$B$4),1,0)</f>
        <v>0</v>
      </c>
      <c r="AG717" s="7" t="n">
        <f aca="false">IF(AND(O717=0,I717&gt;Inputs!$B$4-Inputs!$B$8,I717&lt;=Inputs!$B$4),1,0)</f>
        <v>0</v>
      </c>
      <c r="AH717" s="7" t="n">
        <f aca="false">I717-H717</f>
        <v>215</v>
      </c>
    </row>
    <row r="718" customFormat="false" ht="15" hidden="false" customHeight="false" outlineLevel="0" collapsed="false">
      <c r="A718" s="16" t="s">
        <v>2127</v>
      </c>
      <c r="B718" s="16" t="s">
        <v>365</v>
      </c>
      <c r="C718" s="16" t="s">
        <v>2128</v>
      </c>
      <c r="D718" s="16" t="s">
        <v>158</v>
      </c>
      <c r="E718" s="16" t="s">
        <v>528</v>
      </c>
      <c r="F718" s="26" t="n">
        <v>22576000</v>
      </c>
      <c r="G718" s="25" t="n">
        <v>100</v>
      </c>
      <c r="H718" s="22" t="n">
        <v>46261</v>
      </c>
      <c r="I718" s="22" t="n">
        <v>46524</v>
      </c>
      <c r="J718" s="22" t="n">
        <v>46311</v>
      </c>
      <c r="K718" s="16" t="s">
        <v>567</v>
      </c>
      <c r="L718" s="16" t="s">
        <v>568</v>
      </c>
      <c r="M718" s="16" t="s">
        <v>575</v>
      </c>
      <c r="N718" s="16"/>
      <c r="O718" s="7" t="n">
        <f aca="false">IF(OR(E718="Closed Won",E718="Closed Lost"),0,1)</f>
        <v>1</v>
      </c>
      <c r="P718" s="17" t="str">
        <f aca="false">INDEX(Accounts!$K$5:$K$336,MATCH(B718,Accounts!$A$5:$A$336,0))</f>
        <v>Energy &amp; Resources</v>
      </c>
      <c r="Q718" s="17" t="str">
        <f aca="false">INDEX(Accounts!$D$5:$D$336,MATCH(B718,Accounts!$A$5:$A$336,0))</f>
        <v>Key</v>
      </c>
      <c r="R718" s="7" t="n">
        <f aca="false">INDEX(Inputs!$B$11:$B$16,MATCH(E718,Inputs!$A$11:$A$16,0))</f>
        <v>50</v>
      </c>
      <c r="S718" s="27" t="n">
        <f aca="false">IF(F718="",0,F718)*R718/100</f>
        <v>11288000</v>
      </c>
      <c r="T718" s="7" t="n">
        <f aca="false">Inputs!$B$4-J718</f>
        <v>3</v>
      </c>
      <c r="U718" s="7" t="n">
        <f aca="false">IF(OR(F718="",F718=0),1,0)</f>
        <v>0</v>
      </c>
      <c r="V718" s="7" t="n">
        <f aca="false">IF(K718="",1,0)</f>
        <v>0</v>
      </c>
      <c r="W718" s="7" t="n">
        <f aca="false">IF(AND(O718=1,K718&lt;&gt;"",COUNTIFS(Owners!$A$5:$A$32,K718,Owners!$E$5:$E$32,"No")&gt;0),1,0)</f>
        <v>0</v>
      </c>
      <c r="X718" s="7" t="n">
        <f aca="false">IF(AND(O718=1,I718&lt;Inputs!$B$4),1,0)</f>
        <v>0</v>
      </c>
      <c r="Y718" s="7" t="n">
        <f aca="false">IF(AND(O718=1,T718&gt;Inputs!$B$5),1,0)</f>
        <v>0</v>
      </c>
      <c r="Z718" s="7" t="n">
        <f aca="false">IF(AND(O718=1,G718&lt;&gt;R718),1,0)</f>
        <v>1</v>
      </c>
      <c r="AA718" s="7" t="n">
        <f aca="false">IF(AND(O718=1,M718=""),1,0)</f>
        <v>0</v>
      </c>
      <c r="AB718" s="7" t="n">
        <f aca="false">IF(AND(E718="Closed Lost",N718=""),1,0)</f>
        <v>0</v>
      </c>
      <c r="AC718" s="7" t="n">
        <f aca="false">SUM(U718:AB718)</f>
        <v>1</v>
      </c>
      <c r="AD718" s="7" t="n">
        <f aca="false">IF(AC718=0,1,0)</f>
        <v>0</v>
      </c>
      <c r="AE718" s="7" t="n">
        <f aca="false">IF(AND(O718=1,I718&gt;=Inputs!$B$6,I718&lt;=Inputs!$B$7),1,0)</f>
        <v>1</v>
      </c>
      <c r="AF718" s="7" t="n">
        <f aca="false">IF(AND(E718="Closed Won",I718&gt;=Inputs!$B$6,I718&lt;=Inputs!$B$4),1,0)</f>
        <v>0</v>
      </c>
      <c r="AG718" s="7" t="n">
        <f aca="false">IF(AND(O718=0,I718&gt;Inputs!$B$4-Inputs!$B$8,I718&lt;=Inputs!$B$4),1,0)</f>
        <v>0</v>
      </c>
      <c r="AH718" s="7" t="n">
        <f aca="false">I718-H718</f>
        <v>263</v>
      </c>
    </row>
    <row r="719" customFormat="false" ht="15" hidden="false" customHeight="false" outlineLevel="0" collapsed="false">
      <c r="A719" s="16" t="s">
        <v>2129</v>
      </c>
      <c r="B719" s="16" t="s">
        <v>1025</v>
      </c>
      <c r="C719" s="16" t="s">
        <v>2130</v>
      </c>
      <c r="D719" s="16" t="s">
        <v>165</v>
      </c>
      <c r="E719" s="16" t="s">
        <v>531</v>
      </c>
      <c r="F719" s="26" t="n">
        <v>49999000</v>
      </c>
      <c r="G719" s="25" t="n">
        <v>0</v>
      </c>
      <c r="H719" s="22" t="n">
        <v>46223</v>
      </c>
      <c r="I719" s="22" t="n">
        <v>46313</v>
      </c>
      <c r="J719" s="22" t="n">
        <v>46313</v>
      </c>
      <c r="K719" s="16" t="s">
        <v>651</v>
      </c>
      <c r="L719" s="16" t="s">
        <v>574</v>
      </c>
      <c r="M719" s="16"/>
      <c r="N719" s="16" t="s">
        <v>579</v>
      </c>
      <c r="O719" s="7" t="n">
        <f aca="false">IF(OR(E719="Closed Won",E719="Closed Lost"),0,1)</f>
        <v>0</v>
      </c>
      <c r="P719" s="17" t="str">
        <f aca="false">INDEX(Accounts!$K$5:$K$336,MATCH(B719,Accounts!$A$5:$A$336,0))</f>
        <v>Public Sector &amp; Development</v>
      </c>
      <c r="Q719" s="17" t="str">
        <f aca="false">INDEX(Accounts!$D$5:$D$336,MATCH(B719,Accounts!$A$5:$A$336,0))</f>
        <v>Key</v>
      </c>
      <c r="R719" s="7" t="n">
        <f aca="false">INDEX(Inputs!$B$11:$B$16,MATCH(E719,Inputs!$A$11:$A$16,0))</f>
        <v>0</v>
      </c>
      <c r="S719" s="27" t="n">
        <f aca="false">IF(F719="",0,F719)*R719/100</f>
        <v>0</v>
      </c>
      <c r="T719" s="7" t="n">
        <f aca="false">Inputs!$B$4-J719</f>
        <v>1</v>
      </c>
      <c r="U719" s="7" t="n">
        <f aca="false">IF(OR(F719="",F719=0),1,0)</f>
        <v>0</v>
      </c>
      <c r="V719" s="7" t="n">
        <f aca="false">IF(K719="",1,0)</f>
        <v>0</v>
      </c>
      <c r="W719" s="7" t="n">
        <f aca="false">IF(AND(O719=1,K719&lt;&gt;"",COUNTIFS(Owners!$A$5:$A$32,K719,Owners!$E$5:$E$32,"No")&gt;0),1,0)</f>
        <v>0</v>
      </c>
      <c r="X719" s="7" t="n">
        <f aca="false">IF(AND(O719=1,I719&lt;Inputs!$B$4),1,0)</f>
        <v>0</v>
      </c>
      <c r="Y719" s="7" t="n">
        <f aca="false">IF(AND(O719=1,T719&gt;Inputs!$B$5),1,0)</f>
        <v>0</v>
      </c>
      <c r="Z719" s="7" t="n">
        <f aca="false">IF(AND(O719=1,G719&lt;&gt;R719),1,0)</f>
        <v>0</v>
      </c>
      <c r="AA719" s="7" t="n">
        <f aca="false">IF(AND(O719=1,M719=""),1,0)</f>
        <v>0</v>
      </c>
      <c r="AB719" s="7" t="n">
        <f aca="false">IF(AND(E719="Closed Lost",N719=""),1,0)</f>
        <v>0</v>
      </c>
      <c r="AC719" s="7" t="n">
        <f aca="false">SUM(U719:AB719)</f>
        <v>0</v>
      </c>
      <c r="AD719" s="7" t="n">
        <f aca="false">IF(AC719=0,1,0)</f>
        <v>1</v>
      </c>
      <c r="AE719" s="7" t="n">
        <f aca="false">IF(AND(O719=1,I719&gt;=Inputs!$B$6,I719&lt;=Inputs!$B$7),1,0)</f>
        <v>0</v>
      </c>
      <c r="AF719" s="7" t="n">
        <f aca="false">IF(AND(E719="Closed Won",I719&gt;=Inputs!$B$6,I719&lt;=Inputs!$B$4),1,0)</f>
        <v>0</v>
      </c>
      <c r="AG719" s="7" t="n">
        <f aca="false">IF(AND(O719=0,I719&gt;Inputs!$B$4-Inputs!$B$8,I719&lt;=Inputs!$B$4),1,0)</f>
        <v>1</v>
      </c>
      <c r="AH719" s="7" t="n">
        <f aca="false">I719-H719</f>
        <v>90</v>
      </c>
    </row>
    <row r="720" customFormat="false" ht="15" hidden="false" customHeight="false" outlineLevel="0" collapsed="false">
      <c r="A720" s="16" t="s">
        <v>2131</v>
      </c>
      <c r="B720" s="16" t="s">
        <v>182</v>
      </c>
      <c r="C720" s="16" t="s">
        <v>2132</v>
      </c>
      <c r="D720" s="16" t="s">
        <v>162</v>
      </c>
      <c r="E720" s="16" t="s">
        <v>527</v>
      </c>
      <c r="F720" s="26" t="n">
        <v>10428000</v>
      </c>
      <c r="G720" s="25" t="n">
        <v>25</v>
      </c>
      <c r="H720" s="22" t="n">
        <v>46260</v>
      </c>
      <c r="I720" s="22" t="n">
        <v>46551</v>
      </c>
      <c r="J720" s="22" t="n">
        <v>46280</v>
      </c>
      <c r="K720" s="16" t="s">
        <v>591</v>
      </c>
      <c r="L720" s="16" t="s">
        <v>609</v>
      </c>
      <c r="M720" s="16" t="s">
        <v>619</v>
      </c>
      <c r="N720" s="16"/>
      <c r="O720" s="7" t="n">
        <f aca="false">IF(OR(E720="Closed Won",E720="Closed Lost"),0,1)</f>
        <v>1</v>
      </c>
      <c r="P720" s="17" t="str">
        <f aca="false">INDEX(Accounts!$K$5:$K$336,MATCH(B720,Accounts!$A$5:$A$336,0))</f>
        <v>Public Sector &amp; Development</v>
      </c>
      <c r="Q720" s="17" t="str">
        <f aca="false">INDEX(Accounts!$D$5:$D$336,MATCH(B720,Accounts!$A$5:$A$336,0))</f>
        <v>Key</v>
      </c>
      <c r="R720" s="7" t="n">
        <f aca="false">INDEX(Inputs!$B$11:$B$16,MATCH(E720,Inputs!$A$11:$A$16,0))</f>
        <v>25</v>
      </c>
      <c r="S720" s="27" t="n">
        <f aca="false">IF(F720="",0,F720)*R720/100</f>
        <v>2607000</v>
      </c>
      <c r="T720" s="7" t="n">
        <f aca="false">Inputs!$B$4-J720</f>
        <v>34</v>
      </c>
      <c r="U720" s="7" t="n">
        <f aca="false">IF(OR(F720="",F720=0),1,0)</f>
        <v>0</v>
      </c>
      <c r="V720" s="7" t="n">
        <f aca="false">IF(K720="",1,0)</f>
        <v>0</v>
      </c>
      <c r="W720" s="7" t="n">
        <f aca="false">IF(AND(O720=1,K720&lt;&gt;"",COUNTIFS(Owners!$A$5:$A$32,K720,Owners!$E$5:$E$32,"No")&gt;0),1,0)</f>
        <v>0</v>
      </c>
      <c r="X720" s="7" t="n">
        <f aca="false">IF(AND(O720=1,I720&lt;Inputs!$B$4),1,0)</f>
        <v>0</v>
      </c>
      <c r="Y720" s="7" t="n">
        <f aca="false">IF(AND(O720=1,T720&gt;Inputs!$B$5),1,0)</f>
        <v>0</v>
      </c>
      <c r="Z720" s="7" t="n">
        <f aca="false">IF(AND(O720=1,G720&lt;&gt;R720),1,0)</f>
        <v>0</v>
      </c>
      <c r="AA720" s="7" t="n">
        <f aca="false">IF(AND(O720=1,M720=""),1,0)</f>
        <v>0</v>
      </c>
      <c r="AB720" s="7" t="n">
        <f aca="false">IF(AND(E720="Closed Lost",N720=""),1,0)</f>
        <v>0</v>
      </c>
      <c r="AC720" s="7" t="n">
        <f aca="false">SUM(U720:AB720)</f>
        <v>0</v>
      </c>
      <c r="AD720" s="7" t="n">
        <f aca="false">IF(AC720=0,1,0)</f>
        <v>1</v>
      </c>
      <c r="AE720" s="7" t="n">
        <f aca="false">IF(AND(O720=1,I720&gt;=Inputs!$B$6,I720&lt;=Inputs!$B$7),1,0)</f>
        <v>1</v>
      </c>
      <c r="AF720" s="7" t="n">
        <f aca="false">IF(AND(E720="Closed Won",I720&gt;=Inputs!$B$6,I720&lt;=Inputs!$B$4),1,0)</f>
        <v>0</v>
      </c>
      <c r="AG720" s="7" t="n">
        <f aca="false">IF(AND(O720=0,I720&gt;Inputs!$B$4-Inputs!$B$8,I720&lt;=Inputs!$B$4),1,0)</f>
        <v>0</v>
      </c>
      <c r="AH720" s="7" t="n">
        <f aca="false">I720-H720</f>
        <v>291</v>
      </c>
    </row>
    <row r="721" customFormat="false" ht="15" hidden="false" customHeight="false" outlineLevel="0" collapsed="false">
      <c r="A721" s="16" t="s">
        <v>2133</v>
      </c>
      <c r="B721" s="16" t="s">
        <v>2134</v>
      </c>
      <c r="C721" s="16" t="s">
        <v>2135</v>
      </c>
      <c r="D721" s="16" t="s">
        <v>167</v>
      </c>
      <c r="E721" s="16" t="s">
        <v>531</v>
      </c>
      <c r="F721" s="26" t="n">
        <v>5452000</v>
      </c>
      <c r="G721" s="25" t="n">
        <v>0</v>
      </c>
      <c r="H721" s="22" t="n">
        <v>45943</v>
      </c>
      <c r="I721" s="22" t="n">
        <v>46229</v>
      </c>
      <c r="J721" s="22" t="n">
        <v>46229</v>
      </c>
      <c r="K721" s="16" t="s">
        <v>637</v>
      </c>
      <c r="L721" s="16" t="s">
        <v>584</v>
      </c>
      <c r="M721" s="16"/>
      <c r="N721" s="16" t="s">
        <v>722</v>
      </c>
      <c r="O721" s="7" t="n">
        <f aca="false">IF(OR(E721="Closed Won",E721="Closed Lost"),0,1)</f>
        <v>0</v>
      </c>
      <c r="P721" s="17" t="str">
        <f aca="false">INDEX(Accounts!$K$5:$K$336,MATCH(B721,Accounts!$A$5:$A$336,0))</f>
        <v>Real Estate &amp; Infrastructure</v>
      </c>
      <c r="Q721" s="17" t="str">
        <f aca="false">INDEX(Accounts!$D$5:$D$336,MATCH(B721,Accounts!$A$5:$A$336,0))</f>
        <v>Standard</v>
      </c>
      <c r="R721" s="7" t="n">
        <f aca="false">INDEX(Inputs!$B$11:$B$16,MATCH(E721,Inputs!$A$11:$A$16,0))</f>
        <v>0</v>
      </c>
      <c r="S721" s="27" t="n">
        <f aca="false">IF(F721="",0,F721)*R721/100</f>
        <v>0</v>
      </c>
      <c r="T721" s="7" t="n">
        <f aca="false">Inputs!$B$4-J721</f>
        <v>85</v>
      </c>
      <c r="U721" s="7" t="n">
        <f aca="false">IF(OR(F721="",F721=0),1,0)</f>
        <v>0</v>
      </c>
      <c r="V721" s="7" t="n">
        <f aca="false">IF(K721="",1,0)</f>
        <v>0</v>
      </c>
      <c r="W721" s="7" t="n">
        <f aca="false">IF(AND(O721=1,K721&lt;&gt;"",COUNTIFS(Owners!$A$5:$A$32,K721,Owners!$E$5:$E$32,"No")&gt;0),1,0)</f>
        <v>0</v>
      </c>
      <c r="X721" s="7" t="n">
        <f aca="false">IF(AND(O721=1,I721&lt;Inputs!$B$4),1,0)</f>
        <v>0</v>
      </c>
      <c r="Y721" s="7" t="n">
        <f aca="false">IF(AND(O721=1,T721&gt;Inputs!$B$5),1,0)</f>
        <v>0</v>
      </c>
      <c r="Z721" s="7" t="n">
        <f aca="false">IF(AND(O721=1,G721&lt;&gt;R721),1,0)</f>
        <v>0</v>
      </c>
      <c r="AA721" s="7" t="n">
        <f aca="false">IF(AND(O721=1,M721=""),1,0)</f>
        <v>0</v>
      </c>
      <c r="AB721" s="7" t="n">
        <f aca="false">IF(AND(E721="Closed Lost",N721=""),1,0)</f>
        <v>0</v>
      </c>
      <c r="AC721" s="7" t="n">
        <f aca="false">SUM(U721:AB721)</f>
        <v>0</v>
      </c>
      <c r="AD721" s="7" t="n">
        <f aca="false">IF(AC721=0,1,0)</f>
        <v>1</v>
      </c>
      <c r="AE721" s="7" t="n">
        <f aca="false">IF(AND(O721=1,I721&gt;=Inputs!$B$6,I721&lt;=Inputs!$B$7),1,0)</f>
        <v>0</v>
      </c>
      <c r="AF721" s="7" t="n">
        <f aca="false">IF(AND(E721="Closed Won",I721&gt;=Inputs!$B$6,I721&lt;=Inputs!$B$4),1,0)</f>
        <v>0</v>
      </c>
      <c r="AG721" s="7" t="n">
        <f aca="false">IF(AND(O721=0,I721&gt;Inputs!$B$4-Inputs!$B$8,I721&lt;=Inputs!$B$4),1,0)</f>
        <v>1</v>
      </c>
      <c r="AH721" s="7" t="n">
        <f aca="false">I721-H721</f>
        <v>286</v>
      </c>
    </row>
    <row r="722" customFormat="false" ht="15" hidden="false" customHeight="false" outlineLevel="0" collapsed="false">
      <c r="A722" s="16" t="s">
        <v>2136</v>
      </c>
      <c r="B722" s="16" t="s">
        <v>72</v>
      </c>
      <c r="C722" s="16" t="s">
        <v>2137</v>
      </c>
      <c r="D722" s="16" t="s">
        <v>165</v>
      </c>
      <c r="E722" s="16" t="s">
        <v>530</v>
      </c>
      <c r="F722" s="26" t="n">
        <v>136024000</v>
      </c>
      <c r="G722" s="25" t="n">
        <v>100</v>
      </c>
      <c r="H722" s="22" t="n">
        <v>45963</v>
      </c>
      <c r="I722" s="22" t="n">
        <v>46087</v>
      </c>
      <c r="J722" s="22" t="n">
        <v>46087</v>
      </c>
      <c r="K722" s="16" t="s">
        <v>765</v>
      </c>
      <c r="L722" s="16" t="s">
        <v>500</v>
      </c>
      <c r="M722" s="16"/>
      <c r="N722" s="16"/>
      <c r="O722" s="7" t="n">
        <f aca="false">IF(OR(E722="Closed Won",E722="Closed Lost"),0,1)</f>
        <v>0</v>
      </c>
      <c r="P722" s="17" t="str">
        <f aca="false">INDEX(Accounts!$K$5:$K$336,MATCH(B722,Accounts!$A$5:$A$336,0))</f>
        <v>Consumer &amp; Retail</v>
      </c>
      <c r="Q722" s="17" t="str">
        <f aca="false">INDEX(Accounts!$D$5:$D$336,MATCH(B722,Accounts!$A$5:$A$336,0))</f>
        <v>Priority</v>
      </c>
      <c r="R722" s="7" t="n">
        <f aca="false">INDEX(Inputs!$B$11:$B$16,MATCH(E722,Inputs!$A$11:$A$16,0))</f>
        <v>100</v>
      </c>
      <c r="S722" s="27" t="n">
        <f aca="false">IF(F722="",0,F722)*R722/100</f>
        <v>136024000</v>
      </c>
      <c r="T722" s="7" t="n">
        <f aca="false">Inputs!$B$4-J722</f>
        <v>227</v>
      </c>
      <c r="U722" s="7" t="n">
        <f aca="false">IF(OR(F722="",F722=0),1,0)</f>
        <v>0</v>
      </c>
      <c r="V722" s="7" t="n">
        <f aca="false">IF(K722="",1,0)</f>
        <v>0</v>
      </c>
      <c r="W722" s="7" t="n">
        <f aca="false">IF(AND(O722=1,K722&lt;&gt;"",COUNTIFS(Owners!$A$5:$A$32,K722,Owners!$E$5:$E$32,"No")&gt;0),1,0)</f>
        <v>0</v>
      </c>
      <c r="X722" s="7" t="n">
        <f aca="false">IF(AND(O722=1,I722&lt;Inputs!$B$4),1,0)</f>
        <v>0</v>
      </c>
      <c r="Y722" s="7" t="n">
        <f aca="false">IF(AND(O722=1,T722&gt;Inputs!$B$5),1,0)</f>
        <v>0</v>
      </c>
      <c r="Z722" s="7" t="n">
        <f aca="false">IF(AND(O722=1,G722&lt;&gt;R722),1,0)</f>
        <v>0</v>
      </c>
      <c r="AA722" s="7" t="n">
        <f aca="false">IF(AND(O722=1,M722=""),1,0)</f>
        <v>0</v>
      </c>
      <c r="AB722" s="7" t="n">
        <f aca="false">IF(AND(E722="Closed Lost",N722=""),1,0)</f>
        <v>0</v>
      </c>
      <c r="AC722" s="7" t="n">
        <f aca="false">SUM(U722:AB722)</f>
        <v>0</v>
      </c>
      <c r="AD722" s="7" t="n">
        <f aca="false">IF(AC722=0,1,0)</f>
        <v>1</v>
      </c>
      <c r="AE722" s="7" t="n">
        <f aca="false">IF(AND(O722=1,I722&gt;=Inputs!$B$6,I722&lt;=Inputs!$B$7),1,0)</f>
        <v>0</v>
      </c>
      <c r="AF722" s="7" t="n">
        <f aca="false">IF(AND(E722="Closed Won",I722&gt;=Inputs!$B$6,I722&lt;=Inputs!$B$4),1,0)</f>
        <v>0</v>
      </c>
      <c r="AG722" s="7" t="n">
        <f aca="false">IF(AND(O722=0,I722&gt;Inputs!$B$4-Inputs!$B$8,I722&lt;=Inputs!$B$4),1,0)</f>
        <v>1</v>
      </c>
      <c r="AH722" s="7" t="n">
        <f aca="false">I722-H722</f>
        <v>124</v>
      </c>
    </row>
    <row r="723" customFormat="false" ht="15" hidden="false" customHeight="false" outlineLevel="0" collapsed="false">
      <c r="A723" s="16" t="s">
        <v>2138</v>
      </c>
      <c r="B723" s="16" t="s">
        <v>1184</v>
      </c>
      <c r="C723" s="16" t="s">
        <v>2139</v>
      </c>
      <c r="D723" s="16" t="s">
        <v>165</v>
      </c>
      <c r="E723" s="16" t="s">
        <v>531</v>
      </c>
      <c r="F723" s="26" t="n">
        <v>8979000</v>
      </c>
      <c r="G723" s="25" t="n">
        <v>0</v>
      </c>
      <c r="H723" s="22" t="n">
        <v>46069</v>
      </c>
      <c r="I723" s="22" t="n">
        <v>46231</v>
      </c>
      <c r="J723" s="22" t="n">
        <v>46231</v>
      </c>
      <c r="K723" s="16" t="s">
        <v>646</v>
      </c>
      <c r="L723" s="16" t="s">
        <v>584</v>
      </c>
      <c r="M723" s="16"/>
      <c r="N723" s="16" t="s">
        <v>697</v>
      </c>
      <c r="O723" s="7" t="n">
        <f aca="false">IF(OR(E723="Closed Won",E723="Closed Lost"),0,1)</f>
        <v>0</v>
      </c>
      <c r="P723" s="17" t="str">
        <f aca="false">INDEX(Accounts!$K$5:$K$336,MATCH(B723,Accounts!$A$5:$A$336,0))</f>
        <v>Consumer &amp; Retail</v>
      </c>
      <c r="Q723" s="17" t="str">
        <f aca="false">INDEX(Accounts!$D$5:$D$336,MATCH(B723,Accounts!$A$5:$A$336,0))</f>
        <v>Key</v>
      </c>
      <c r="R723" s="7" t="n">
        <f aca="false">INDEX(Inputs!$B$11:$B$16,MATCH(E723,Inputs!$A$11:$A$16,0))</f>
        <v>0</v>
      </c>
      <c r="S723" s="27" t="n">
        <f aca="false">IF(F723="",0,F723)*R723/100</f>
        <v>0</v>
      </c>
      <c r="T723" s="7" t="n">
        <f aca="false">Inputs!$B$4-J723</f>
        <v>83</v>
      </c>
      <c r="U723" s="7" t="n">
        <f aca="false">IF(OR(F723="",F723=0),1,0)</f>
        <v>0</v>
      </c>
      <c r="V723" s="7" t="n">
        <f aca="false">IF(K723="",1,0)</f>
        <v>0</v>
      </c>
      <c r="W723" s="7" t="n">
        <f aca="false">IF(AND(O723=1,K723&lt;&gt;"",COUNTIFS(Owners!$A$5:$A$32,K723,Owners!$E$5:$E$32,"No")&gt;0),1,0)</f>
        <v>0</v>
      </c>
      <c r="X723" s="7" t="n">
        <f aca="false">IF(AND(O723=1,I723&lt;Inputs!$B$4),1,0)</f>
        <v>0</v>
      </c>
      <c r="Y723" s="7" t="n">
        <f aca="false">IF(AND(O723=1,T723&gt;Inputs!$B$5),1,0)</f>
        <v>0</v>
      </c>
      <c r="Z723" s="7" t="n">
        <f aca="false">IF(AND(O723=1,G723&lt;&gt;R723),1,0)</f>
        <v>0</v>
      </c>
      <c r="AA723" s="7" t="n">
        <f aca="false">IF(AND(O723=1,M723=""),1,0)</f>
        <v>0</v>
      </c>
      <c r="AB723" s="7" t="n">
        <f aca="false">IF(AND(E723="Closed Lost",N723=""),1,0)</f>
        <v>0</v>
      </c>
      <c r="AC723" s="7" t="n">
        <f aca="false">SUM(U723:AB723)</f>
        <v>0</v>
      </c>
      <c r="AD723" s="7" t="n">
        <f aca="false">IF(AC723=0,1,0)</f>
        <v>1</v>
      </c>
      <c r="AE723" s="7" t="n">
        <f aca="false">IF(AND(O723=1,I723&gt;=Inputs!$B$6,I723&lt;=Inputs!$B$7),1,0)</f>
        <v>0</v>
      </c>
      <c r="AF723" s="7" t="n">
        <f aca="false">IF(AND(E723="Closed Won",I723&gt;=Inputs!$B$6,I723&lt;=Inputs!$B$4),1,0)</f>
        <v>0</v>
      </c>
      <c r="AG723" s="7" t="n">
        <f aca="false">IF(AND(O723=0,I723&gt;Inputs!$B$4-Inputs!$B$8,I723&lt;=Inputs!$B$4),1,0)</f>
        <v>1</v>
      </c>
      <c r="AH723" s="7" t="n">
        <f aca="false">I723-H723</f>
        <v>162</v>
      </c>
    </row>
    <row r="724" customFormat="false" ht="15" hidden="false" customHeight="false" outlineLevel="0" collapsed="false">
      <c r="A724" s="16" t="s">
        <v>2140</v>
      </c>
      <c r="B724" s="16" t="s">
        <v>581</v>
      </c>
      <c r="C724" s="16" t="s">
        <v>2141</v>
      </c>
      <c r="D724" s="16" t="s">
        <v>165</v>
      </c>
      <c r="E724" s="16" t="s">
        <v>531</v>
      </c>
      <c r="F724" s="26" t="n">
        <v>21497000</v>
      </c>
      <c r="G724" s="25" t="n">
        <v>0</v>
      </c>
      <c r="H724" s="22" t="n">
        <v>45994</v>
      </c>
      <c r="I724" s="22" t="n">
        <v>46241</v>
      </c>
      <c r="J724" s="22" t="n">
        <v>46241</v>
      </c>
      <c r="K724" s="16" t="s">
        <v>567</v>
      </c>
      <c r="L724" s="16" t="s">
        <v>584</v>
      </c>
      <c r="M724" s="16"/>
      <c r="N724" s="16"/>
      <c r="O724" s="7" t="n">
        <f aca="false">IF(OR(E724="Closed Won",E724="Closed Lost"),0,1)</f>
        <v>0</v>
      </c>
      <c r="P724" s="17" t="str">
        <f aca="false">INDEX(Accounts!$K$5:$K$336,MATCH(B724,Accounts!$A$5:$A$336,0))</f>
        <v>Financial Services</v>
      </c>
      <c r="Q724" s="17" t="str">
        <f aca="false">INDEX(Accounts!$D$5:$D$336,MATCH(B724,Accounts!$A$5:$A$336,0))</f>
        <v>Standard</v>
      </c>
      <c r="R724" s="7" t="n">
        <f aca="false">INDEX(Inputs!$B$11:$B$16,MATCH(E724,Inputs!$A$11:$A$16,0))</f>
        <v>0</v>
      </c>
      <c r="S724" s="27" t="n">
        <f aca="false">IF(F724="",0,F724)*R724/100</f>
        <v>0</v>
      </c>
      <c r="T724" s="7" t="n">
        <f aca="false">Inputs!$B$4-J724</f>
        <v>73</v>
      </c>
      <c r="U724" s="7" t="n">
        <f aca="false">IF(OR(F724="",F724=0),1,0)</f>
        <v>0</v>
      </c>
      <c r="V724" s="7" t="n">
        <f aca="false">IF(K724="",1,0)</f>
        <v>0</v>
      </c>
      <c r="W724" s="7" t="n">
        <f aca="false">IF(AND(O724=1,K724&lt;&gt;"",COUNTIFS(Owners!$A$5:$A$32,K724,Owners!$E$5:$E$32,"No")&gt;0),1,0)</f>
        <v>0</v>
      </c>
      <c r="X724" s="7" t="n">
        <f aca="false">IF(AND(O724=1,I724&lt;Inputs!$B$4),1,0)</f>
        <v>0</v>
      </c>
      <c r="Y724" s="7" t="n">
        <f aca="false">IF(AND(O724=1,T724&gt;Inputs!$B$5),1,0)</f>
        <v>0</v>
      </c>
      <c r="Z724" s="7" t="n">
        <f aca="false">IF(AND(O724=1,G724&lt;&gt;R724),1,0)</f>
        <v>0</v>
      </c>
      <c r="AA724" s="7" t="n">
        <f aca="false">IF(AND(O724=1,M724=""),1,0)</f>
        <v>0</v>
      </c>
      <c r="AB724" s="7" t="n">
        <f aca="false">IF(AND(E724="Closed Lost",N724=""),1,0)</f>
        <v>1</v>
      </c>
      <c r="AC724" s="7" t="n">
        <f aca="false">SUM(U724:AB724)</f>
        <v>1</v>
      </c>
      <c r="AD724" s="7" t="n">
        <f aca="false">IF(AC724=0,1,0)</f>
        <v>0</v>
      </c>
      <c r="AE724" s="7" t="n">
        <f aca="false">IF(AND(O724=1,I724&gt;=Inputs!$B$6,I724&lt;=Inputs!$B$7),1,0)</f>
        <v>0</v>
      </c>
      <c r="AF724" s="7" t="n">
        <f aca="false">IF(AND(E724="Closed Won",I724&gt;=Inputs!$B$6,I724&lt;=Inputs!$B$4),1,0)</f>
        <v>0</v>
      </c>
      <c r="AG724" s="7" t="n">
        <f aca="false">IF(AND(O724=0,I724&gt;Inputs!$B$4-Inputs!$B$8,I724&lt;=Inputs!$B$4),1,0)</f>
        <v>1</v>
      </c>
      <c r="AH724" s="7" t="n">
        <f aca="false">I724-H724</f>
        <v>247</v>
      </c>
    </row>
    <row r="725" customFormat="false" ht="15" hidden="false" customHeight="false" outlineLevel="0" collapsed="false">
      <c r="A725" s="16" t="s">
        <v>2142</v>
      </c>
      <c r="B725" s="16" t="s">
        <v>773</v>
      </c>
      <c r="C725" s="16" t="s">
        <v>2143</v>
      </c>
      <c r="D725" s="16" t="s">
        <v>167</v>
      </c>
      <c r="E725" s="16" t="s">
        <v>531</v>
      </c>
      <c r="F725" s="26" t="n">
        <v>19745000</v>
      </c>
      <c r="G725" s="25" t="n">
        <v>0</v>
      </c>
      <c r="H725" s="22" t="n">
        <v>46005</v>
      </c>
      <c r="I725" s="22" t="n">
        <v>46069</v>
      </c>
      <c r="J725" s="22" t="n">
        <v>46069</v>
      </c>
      <c r="K725" s="16" t="s">
        <v>880</v>
      </c>
      <c r="L725" s="16" t="s">
        <v>568</v>
      </c>
      <c r="M725" s="16"/>
      <c r="N725" s="16" t="s">
        <v>597</v>
      </c>
      <c r="O725" s="7" t="n">
        <f aca="false">IF(OR(E725="Closed Won",E725="Closed Lost"),0,1)</f>
        <v>0</v>
      </c>
      <c r="P725" s="17" t="str">
        <f aca="false">INDEX(Accounts!$K$5:$K$336,MATCH(B725,Accounts!$A$5:$A$336,0))</f>
        <v>Financial Services</v>
      </c>
      <c r="Q725" s="17" t="str">
        <f aca="false">INDEX(Accounts!$D$5:$D$336,MATCH(B725,Accounts!$A$5:$A$336,0))</f>
        <v>Key</v>
      </c>
      <c r="R725" s="7" t="n">
        <f aca="false">INDEX(Inputs!$B$11:$B$16,MATCH(E725,Inputs!$A$11:$A$16,0))</f>
        <v>0</v>
      </c>
      <c r="S725" s="27" t="n">
        <f aca="false">IF(F725="",0,F725)*R725/100</f>
        <v>0</v>
      </c>
      <c r="T725" s="7" t="n">
        <f aca="false">Inputs!$B$4-J725</f>
        <v>245</v>
      </c>
      <c r="U725" s="7" t="n">
        <f aca="false">IF(OR(F725="",F725=0),1,0)</f>
        <v>0</v>
      </c>
      <c r="V725" s="7" t="n">
        <f aca="false">IF(K725="",1,0)</f>
        <v>0</v>
      </c>
      <c r="W725" s="7" t="n">
        <f aca="false">IF(AND(O725=1,K725&lt;&gt;"",COUNTIFS(Owners!$A$5:$A$32,K725,Owners!$E$5:$E$32,"No")&gt;0),1,0)</f>
        <v>0</v>
      </c>
      <c r="X725" s="7" t="n">
        <f aca="false">IF(AND(O725=1,I725&lt;Inputs!$B$4),1,0)</f>
        <v>0</v>
      </c>
      <c r="Y725" s="7" t="n">
        <f aca="false">IF(AND(O725=1,T725&gt;Inputs!$B$5),1,0)</f>
        <v>0</v>
      </c>
      <c r="Z725" s="7" t="n">
        <f aca="false">IF(AND(O725=1,G725&lt;&gt;R725),1,0)</f>
        <v>0</v>
      </c>
      <c r="AA725" s="7" t="n">
        <f aca="false">IF(AND(O725=1,M725=""),1,0)</f>
        <v>0</v>
      </c>
      <c r="AB725" s="7" t="n">
        <f aca="false">IF(AND(E725="Closed Lost",N725=""),1,0)</f>
        <v>0</v>
      </c>
      <c r="AC725" s="7" t="n">
        <f aca="false">SUM(U725:AB725)</f>
        <v>0</v>
      </c>
      <c r="AD725" s="7" t="n">
        <f aca="false">IF(AC725=0,1,0)</f>
        <v>1</v>
      </c>
      <c r="AE725" s="7" t="n">
        <f aca="false">IF(AND(O725=1,I725&gt;=Inputs!$B$6,I725&lt;=Inputs!$B$7),1,0)</f>
        <v>0</v>
      </c>
      <c r="AF725" s="7" t="n">
        <f aca="false">IF(AND(E725="Closed Won",I725&gt;=Inputs!$B$6,I725&lt;=Inputs!$B$4),1,0)</f>
        <v>0</v>
      </c>
      <c r="AG725" s="7" t="n">
        <f aca="false">IF(AND(O725=0,I725&gt;Inputs!$B$4-Inputs!$B$8,I725&lt;=Inputs!$B$4),1,0)</f>
        <v>1</v>
      </c>
      <c r="AH725" s="7" t="n">
        <f aca="false">I725-H725</f>
        <v>64</v>
      </c>
    </row>
    <row r="726" customFormat="false" ht="15" hidden="false" customHeight="false" outlineLevel="0" collapsed="false">
      <c r="A726" s="16" t="s">
        <v>2144</v>
      </c>
      <c r="B726" s="16" t="s">
        <v>763</v>
      </c>
      <c r="C726" s="16" t="s">
        <v>2145</v>
      </c>
      <c r="D726" s="16" t="s">
        <v>162</v>
      </c>
      <c r="E726" s="16" t="s">
        <v>530</v>
      </c>
      <c r="F726" s="26" t="n">
        <v>11105000</v>
      </c>
      <c r="G726" s="25" t="n">
        <v>100</v>
      </c>
      <c r="H726" s="22" t="n">
        <v>46071</v>
      </c>
      <c r="I726" s="22" t="n">
        <v>46261</v>
      </c>
      <c r="J726" s="22" t="n">
        <v>46261</v>
      </c>
      <c r="K726" s="16" t="s">
        <v>860</v>
      </c>
      <c r="L726" s="16" t="s">
        <v>584</v>
      </c>
      <c r="M726" s="16"/>
      <c r="N726" s="16"/>
      <c r="O726" s="7" t="n">
        <f aca="false">IF(OR(E726="Closed Won",E726="Closed Lost"),0,1)</f>
        <v>0</v>
      </c>
      <c r="P726" s="17" t="str">
        <f aca="false">INDEX(Accounts!$K$5:$K$336,MATCH(B726,Accounts!$A$5:$A$336,0))</f>
        <v>Health</v>
      </c>
      <c r="Q726" s="17" t="str">
        <f aca="false">INDEX(Accounts!$D$5:$D$336,MATCH(B726,Accounts!$A$5:$A$336,0))</f>
        <v>Standard</v>
      </c>
      <c r="R726" s="7" t="n">
        <f aca="false">INDEX(Inputs!$B$11:$B$16,MATCH(E726,Inputs!$A$11:$A$16,0))</f>
        <v>100</v>
      </c>
      <c r="S726" s="27" t="n">
        <f aca="false">IF(F726="",0,F726)*R726/100</f>
        <v>11105000</v>
      </c>
      <c r="T726" s="7" t="n">
        <f aca="false">Inputs!$B$4-J726</f>
        <v>53</v>
      </c>
      <c r="U726" s="7" t="n">
        <f aca="false">IF(OR(F726="",F726=0),1,0)</f>
        <v>0</v>
      </c>
      <c r="V726" s="7" t="n">
        <f aca="false">IF(K726="",1,0)</f>
        <v>0</v>
      </c>
      <c r="W726" s="7" t="n">
        <f aca="false">IF(AND(O726=1,K726&lt;&gt;"",COUNTIFS(Owners!$A$5:$A$32,K726,Owners!$E$5:$E$32,"No")&gt;0),1,0)</f>
        <v>0</v>
      </c>
      <c r="X726" s="7" t="n">
        <f aca="false">IF(AND(O726=1,I726&lt;Inputs!$B$4),1,0)</f>
        <v>0</v>
      </c>
      <c r="Y726" s="7" t="n">
        <f aca="false">IF(AND(O726=1,T726&gt;Inputs!$B$5),1,0)</f>
        <v>0</v>
      </c>
      <c r="Z726" s="7" t="n">
        <f aca="false">IF(AND(O726=1,G726&lt;&gt;R726),1,0)</f>
        <v>0</v>
      </c>
      <c r="AA726" s="7" t="n">
        <f aca="false">IF(AND(O726=1,M726=""),1,0)</f>
        <v>0</v>
      </c>
      <c r="AB726" s="7" t="n">
        <f aca="false">IF(AND(E726="Closed Lost",N726=""),1,0)</f>
        <v>0</v>
      </c>
      <c r="AC726" s="7" t="n">
        <f aca="false">SUM(U726:AB726)</f>
        <v>0</v>
      </c>
      <c r="AD726" s="7" t="n">
        <f aca="false">IF(AC726=0,1,0)</f>
        <v>1</v>
      </c>
      <c r="AE726" s="7" t="n">
        <f aca="false">IF(AND(O726=1,I726&gt;=Inputs!$B$6,I726&lt;=Inputs!$B$7),1,0)</f>
        <v>0</v>
      </c>
      <c r="AF726" s="7" t="n">
        <f aca="false">IF(AND(E726="Closed Won",I726&gt;=Inputs!$B$6,I726&lt;=Inputs!$B$4),1,0)</f>
        <v>1</v>
      </c>
      <c r="AG726" s="7" t="n">
        <f aca="false">IF(AND(O726=0,I726&gt;Inputs!$B$4-Inputs!$B$8,I726&lt;=Inputs!$B$4),1,0)</f>
        <v>1</v>
      </c>
      <c r="AH726" s="7" t="n">
        <f aca="false">I726-H726</f>
        <v>190</v>
      </c>
    </row>
    <row r="727" customFormat="false" ht="15" hidden="false" customHeight="false" outlineLevel="0" collapsed="false">
      <c r="A727" s="16" t="s">
        <v>2146</v>
      </c>
      <c r="B727" s="16" t="s">
        <v>1831</v>
      </c>
      <c r="C727" s="16" t="s">
        <v>2147</v>
      </c>
      <c r="D727" s="16" t="s">
        <v>158</v>
      </c>
      <c r="E727" s="16" t="s">
        <v>529</v>
      </c>
      <c r="F727" s="26" t="n">
        <v>21141000</v>
      </c>
      <c r="G727" s="25" t="n">
        <v>75</v>
      </c>
      <c r="H727" s="22" t="n">
        <v>46297</v>
      </c>
      <c r="I727" s="22" t="n">
        <v>46362</v>
      </c>
      <c r="J727" s="22" t="n">
        <v>46314</v>
      </c>
      <c r="K727" s="16" t="s">
        <v>646</v>
      </c>
      <c r="L727" s="16" t="s">
        <v>609</v>
      </c>
      <c r="M727" s="16" t="s">
        <v>613</v>
      </c>
      <c r="N727" s="16"/>
      <c r="O727" s="7" t="n">
        <f aca="false">IF(OR(E727="Closed Won",E727="Closed Lost"),0,1)</f>
        <v>1</v>
      </c>
      <c r="P727" s="17" t="str">
        <f aca="false">INDEX(Accounts!$K$5:$K$336,MATCH(B727,Accounts!$A$5:$A$336,0))</f>
        <v>Technology, Media &amp; Telecom</v>
      </c>
      <c r="Q727" s="17" t="str">
        <f aca="false">INDEX(Accounts!$D$5:$D$336,MATCH(B727,Accounts!$A$5:$A$336,0))</f>
        <v>Standard</v>
      </c>
      <c r="R727" s="7" t="n">
        <f aca="false">INDEX(Inputs!$B$11:$B$16,MATCH(E727,Inputs!$A$11:$A$16,0))</f>
        <v>75</v>
      </c>
      <c r="S727" s="27" t="n">
        <f aca="false">IF(F727="",0,F727)*R727/100</f>
        <v>15855750</v>
      </c>
      <c r="T727" s="7" t="n">
        <f aca="false">Inputs!$B$4-J727</f>
        <v>0</v>
      </c>
      <c r="U727" s="7" t="n">
        <f aca="false">IF(OR(F727="",F727=0),1,0)</f>
        <v>0</v>
      </c>
      <c r="V727" s="7" t="n">
        <f aca="false">IF(K727="",1,0)</f>
        <v>0</v>
      </c>
      <c r="W727" s="7" t="n">
        <f aca="false">IF(AND(O727=1,K727&lt;&gt;"",COUNTIFS(Owners!$A$5:$A$32,K727,Owners!$E$5:$E$32,"No")&gt;0),1,0)</f>
        <v>0</v>
      </c>
      <c r="X727" s="7" t="n">
        <f aca="false">IF(AND(O727=1,I727&lt;Inputs!$B$4),1,0)</f>
        <v>0</v>
      </c>
      <c r="Y727" s="7" t="n">
        <f aca="false">IF(AND(O727=1,T727&gt;Inputs!$B$5),1,0)</f>
        <v>0</v>
      </c>
      <c r="Z727" s="7" t="n">
        <f aca="false">IF(AND(O727=1,G727&lt;&gt;R727),1,0)</f>
        <v>0</v>
      </c>
      <c r="AA727" s="7" t="n">
        <f aca="false">IF(AND(O727=1,M727=""),1,0)</f>
        <v>0</v>
      </c>
      <c r="AB727" s="7" t="n">
        <f aca="false">IF(AND(E727="Closed Lost",N727=""),1,0)</f>
        <v>0</v>
      </c>
      <c r="AC727" s="7" t="n">
        <f aca="false">SUM(U727:AB727)</f>
        <v>0</v>
      </c>
      <c r="AD727" s="7" t="n">
        <f aca="false">IF(AC727=0,1,0)</f>
        <v>1</v>
      </c>
      <c r="AE727" s="7" t="n">
        <f aca="false">IF(AND(O727=1,I727&gt;=Inputs!$B$6,I727&lt;=Inputs!$B$7),1,0)</f>
        <v>1</v>
      </c>
      <c r="AF727" s="7" t="n">
        <f aca="false">IF(AND(E727="Closed Won",I727&gt;=Inputs!$B$6,I727&lt;=Inputs!$B$4),1,0)</f>
        <v>0</v>
      </c>
      <c r="AG727" s="7" t="n">
        <f aca="false">IF(AND(O727=0,I727&gt;Inputs!$B$4-Inputs!$B$8,I727&lt;=Inputs!$B$4),1,0)</f>
        <v>0</v>
      </c>
      <c r="AH727" s="7" t="n">
        <f aca="false">I727-H727</f>
        <v>65</v>
      </c>
    </row>
    <row r="728" customFormat="false" ht="15" hidden="false" customHeight="false" outlineLevel="0" collapsed="false">
      <c r="A728" s="16" t="s">
        <v>2148</v>
      </c>
      <c r="B728" s="16" t="s">
        <v>81</v>
      </c>
      <c r="C728" s="16" t="s">
        <v>2149</v>
      </c>
      <c r="D728" s="16" t="s">
        <v>158</v>
      </c>
      <c r="E728" s="16" t="s">
        <v>531</v>
      </c>
      <c r="F728" s="26" t="n">
        <v>27419000</v>
      </c>
      <c r="G728" s="25" t="n">
        <v>0</v>
      </c>
      <c r="H728" s="22" t="n">
        <v>46021</v>
      </c>
      <c r="I728" s="22" t="n">
        <v>46296</v>
      </c>
      <c r="J728" s="22" t="n">
        <v>46296</v>
      </c>
      <c r="K728" s="16" t="s">
        <v>596</v>
      </c>
      <c r="L728" s="16" t="s">
        <v>584</v>
      </c>
      <c r="M728" s="16"/>
      <c r="N728" s="16"/>
      <c r="O728" s="7" t="n">
        <f aca="false">IF(OR(E728="Closed Won",E728="Closed Lost"),0,1)</f>
        <v>0</v>
      </c>
      <c r="P728" s="17" t="str">
        <f aca="false">INDEX(Accounts!$K$5:$K$336,MATCH(B728,Accounts!$A$5:$A$336,0))</f>
        <v>Financial Services</v>
      </c>
      <c r="Q728" s="17" t="str">
        <f aca="false">INDEX(Accounts!$D$5:$D$336,MATCH(B728,Accounts!$A$5:$A$336,0))</f>
        <v>Priority</v>
      </c>
      <c r="R728" s="7" t="n">
        <f aca="false">INDEX(Inputs!$B$11:$B$16,MATCH(E728,Inputs!$A$11:$A$16,0))</f>
        <v>0</v>
      </c>
      <c r="S728" s="27" t="n">
        <f aca="false">IF(F728="",0,F728)*R728/100</f>
        <v>0</v>
      </c>
      <c r="T728" s="7" t="n">
        <f aca="false">Inputs!$B$4-J728</f>
        <v>18</v>
      </c>
      <c r="U728" s="7" t="n">
        <f aca="false">IF(OR(F728="",F728=0),1,0)</f>
        <v>0</v>
      </c>
      <c r="V728" s="7" t="n">
        <f aca="false">IF(K728="",1,0)</f>
        <v>0</v>
      </c>
      <c r="W728" s="7" t="n">
        <f aca="false">IF(AND(O728=1,K728&lt;&gt;"",COUNTIFS(Owners!$A$5:$A$32,K728,Owners!$E$5:$E$32,"No")&gt;0),1,0)</f>
        <v>0</v>
      </c>
      <c r="X728" s="7" t="n">
        <f aca="false">IF(AND(O728=1,I728&lt;Inputs!$B$4),1,0)</f>
        <v>0</v>
      </c>
      <c r="Y728" s="7" t="n">
        <f aca="false">IF(AND(O728=1,T728&gt;Inputs!$B$5),1,0)</f>
        <v>0</v>
      </c>
      <c r="Z728" s="7" t="n">
        <f aca="false">IF(AND(O728=1,G728&lt;&gt;R728),1,0)</f>
        <v>0</v>
      </c>
      <c r="AA728" s="7" t="n">
        <f aca="false">IF(AND(O728=1,M728=""),1,0)</f>
        <v>0</v>
      </c>
      <c r="AB728" s="7" t="n">
        <f aca="false">IF(AND(E728="Closed Lost",N728=""),1,0)</f>
        <v>1</v>
      </c>
      <c r="AC728" s="7" t="n">
        <f aca="false">SUM(U728:AB728)</f>
        <v>1</v>
      </c>
      <c r="AD728" s="7" t="n">
        <f aca="false">IF(AC728=0,1,0)</f>
        <v>0</v>
      </c>
      <c r="AE728" s="7" t="n">
        <f aca="false">IF(AND(O728=1,I728&gt;=Inputs!$B$6,I728&lt;=Inputs!$B$7),1,0)</f>
        <v>0</v>
      </c>
      <c r="AF728" s="7" t="n">
        <f aca="false">IF(AND(E728="Closed Won",I728&gt;=Inputs!$B$6,I728&lt;=Inputs!$B$4),1,0)</f>
        <v>0</v>
      </c>
      <c r="AG728" s="7" t="n">
        <f aca="false">IF(AND(O728=0,I728&gt;Inputs!$B$4-Inputs!$B$8,I728&lt;=Inputs!$B$4),1,0)</f>
        <v>1</v>
      </c>
      <c r="AH728" s="7" t="n">
        <f aca="false">I728-H728</f>
        <v>275</v>
      </c>
    </row>
    <row r="729" customFormat="false" ht="15" hidden="false" customHeight="false" outlineLevel="0" collapsed="false">
      <c r="A729" s="16" t="s">
        <v>2150</v>
      </c>
      <c r="B729" s="16" t="s">
        <v>963</v>
      </c>
      <c r="C729" s="16" t="s">
        <v>2151</v>
      </c>
      <c r="D729" s="16" t="s">
        <v>162</v>
      </c>
      <c r="E729" s="16" t="s">
        <v>527</v>
      </c>
      <c r="F729" s="26" t="n">
        <v>10322000</v>
      </c>
      <c r="G729" s="25" t="n">
        <v>25</v>
      </c>
      <c r="H729" s="22" t="n">
        <v>46305</v>
      </c>
      <c r="I729" s="22" t="n">
        <v>46320</v>
      </c>
      <c r="J729" s="22" t="n">
        <v>46291</v>
      </c>
      <c r="K729" s="16" t="s">
        <v>654</v>
      </c>
      <c r="L729" s="16" t="s">
        <v>592</v>
      </c>
      <c r="M729" s="16" t="s">
        <v>569</v>
      </c>
      <c r="N729" s="16"/>
      <c r="O729" s="7" t="n">
        <f aca="false">IF(OR(E729="Closed Won",E729="Closed Lost"),0,1)</f>
        <v>1</v>
      </c>
      <c r="P729" s="17" t="str">
        <f aca="false">INDEX(Accounts!$K$5:$K$336,MATCH(B729,Accounts!$A$5:$A$336,0))</f>
        <v>Financial Services</v>
      </c>
      <c r="Q729" s="17" t="str">
        <f aca="false">INDEX(Accounts!$D$5:$D$336,MATCH(B729,Accounts!$A$5:$A$336,0))</f>
        <v>Key</v>
      </c>
      <c r="R729" s="7" t="n">
        <f aca="false">INDEX(Inputs!$B$11:$B$16,MATCH(E729,Inputs!$A$11:$A$16,0))</f>
        <v>25</v>
      </c>
      <c r="S729" s="27" t="n">
        <f aca="false">IF(F729="",0,F729)*R729/100</f>
        <v>2580500</v>
      </c>
      <c r="T729" s="7" t="n">
        <f aca="false">Inputs!$B$4-J729</f>
        <v>23</v>
      </c>
      <c r="U729" s="7" t="n">
        <f aca="false">IF(OR(F729="",F729=0),1,0)</f>
        <v>0</v>
      </c>
      <c r="V729" s="7" t="n">
        <f aca="false">IF(K729="",1,0)</f>
        <v>0</v>
      </c>
      <c r="W729" s="7" t="n">
        <f aca="false">IF(AND(O729=1,K729&lt;&gt;"",COUNTIFS(Owners!$A$5:$A$32,K729,Owners!$E$5:$E$32,"No")&gt;0),1,0)</f>
        <v>0</v>
      </c>
      <c r="X729" s="7" t="n">
        <f aca="false">IF(AND(O729=1,I729&lt;Inputs!$B$4),1,0)</f>
        <v>0</v>
      </c>
      <c r="Y729" s="7" t="n">
        <f aca="false">IF(AND(O729=1,T729&gt;Inputs!$B$5),1,0)</f>
        <v>0</v>
      </c>
      <c r="Z729" s="7" t="n">
        <f aca="false">IF(AND(O729=1,G729&lt;&gt;R729),1,0)</f>
        <v>0</v>
      </c>
      <c r="AA729" s="7" t="n">
        <f aca="false">IF(AND(O729=1,M729=""),1,0)</f>
        <v>0</v>
      </c>
      <c r="AB729" s="7" t="n">
        <f aca="false">IF(AND(E729="Closed Lost",N729=""),1,0)</f>
        <v>0</v>
      </c>
      <c r="AC729" s="7" t="n">
        <f aca="false">SUM(U729:AB729)</f>
        <v>0</v>
      </c>
      <c r="AD729" s="7" t="n">
        <f aca="false">IF(AC729=0,1,0)</f>
        <v>1</v>
      </c>
      <c r="AE729" s="7" t="n">
        <f aca="false">IF(AND(O729=1,I729&gt;=Inputs!$B$6,I729&lt;=Inputs!$B$7),1,0)</f>
        <v>1</v>
      </c>
      <c r="AF729" s="7" t="n">
        <f aca="false">IF(AND(E729="Closed Won",I729&gt;=Inputs!$B$6,I729&lt;=Inputs!$B$4),1,0)</f>
        <v>0</v>
      </c>
      <c r="AG729" s="7" t="n">
        <f aca="false">IF(AND(O729=0,I729&gt;Inputs!$B$4-Inputs!$B$8,I729&lt;=Inputs!$B$4),1,0)</f>
        <v>0</v>
      </c>
      <c r="AH729" s="7" t="n">
        <f aca="false">I729-H729</f>
        <v>15</v>
      </c>
    </row>
    <row r="730" customFormat="false" ht="15" hidden="false" customHeight="false" outlineLevel="0" collapsed="false">
      <c r="A730" s="16" t="s">
        <v>2152</v>
      </c>
      <c r="B730" s="16" t="s">
        <v>292</v>
      </c>
      <c r="C730" s="16" t="s">
        <v>2153</v>
      </c>
      <c r="D730" s="16" t="s">
        <v>162</v>
      </c>
      <c r="E730" s="16" t="s">
        <v>530</v>
      </c>
      <c r="F730" s="26" t="n">
        <v>7886000</v>
      </c>
      <c r="G730" s="25" t="n">
        <v>100</v>
      </c>
      <c r="H730" s="22" t="n">
        <v>46036</v>
      </c>
      <c r="I730" s="22" t="n">
        <v>46185</v>
      </c>
      <c r="J730" s="22" t="n">
        <v>46185</v>
      </c>
      <c r="K730" s="16" t="s">
        <v>691</v>
      </c>
      <c r="L730" s="16" t="s">
        <v>568</v>
      </c>
      <c r="M730" s="16"/>
      <c r="N730" s="16"/>
      <c r="O730" s="7" t="n">
        <f aca="false">IF(OR(E730="Closed Won",E730="Closed Lost"),0,1)</f>
        <v>0</v>
      </c>
      <c r="P730" s="17" t="str">
        <f aca="false">INDEX(Accounts!$K$5:$K$336,MATCH(B730,Accounts!$A$5:$A$336,0))</f>
        <v>Health</v>
      </c>
      <c r="Q730" s="17" t="str">
        <f aca="false">INDEX(Accounts!$D$5:$D$336,MATCH(B730,Accounts!$A$5:$A$336,0))</f>
        <v>Standard</v>
      </c>
      <c r="R730" s="7" t="n">
        <f aca="false">INDEX(Inputs!$B$11:$B$16,MATCH(E730,Inputs!$A$11:$A$16,0))</f>
        <v>100</v>
      </c>
      <c r="S730" s="27" t="n">
        <f aca="false">IF(F730="",0,F730)*R730/100</f>
        <v>7886000</v>
      </c>
      <c r="T730" s="7" t="n">
        <f aca="false">Inputs!$B$4-J730</f>
        <v>129</v>
      </c>
      <c r="U730" s="7" t="n">
        <f aca="false">IF(OR(F730="",F730=0),1,0)</f>
        <v>0</v>
      </c>
      <c r="V730" s="7" t="n">
        <f aca="false">IF(K730="",1,0)</f>
        <v>0</v>
      </c>
      <c r="W730" s="7" t="n">
        <f aca="false">IF(AND(O730=1,K730&lt;&gt;"",COUNTIFS(Owners!$A$5:$A$32,K730,Owners!$E$5:$E$32,"No")&gt;0),1,0)</f>
        <v>0</v>
      </c>
      <c r="X730" s="7" t="n">
        <f aca="false">IF(AND(O730=1,I730&lt;Inputs!$B$4),1,0)</f>
        <v>0</v>
      </c>
      <c r="Y730" s="7" t="n">
        <f aca="false">IF(AND(O730=1,T730&gt;Inputs!$B$5),1,0)</f>
        <v>0</v>
      </c>
      <c r="Z730" s="7" t="n">
        <f aca="false">IF(AND(O730=1,G730&lt;&gt;R730),1,0)</f>
        <v>0</v>
      </c>
      <c r="AA730" s="7" t="n">
        <f aca="false">IF(AND(O730=1,M730=""),1,0)</f>
        <v>0</v>
      </c>
      <c r="AB730" s="7" t="n">
        <f aca="false">IF(AND(E730="Closed Lost",N730=""),1,0)</f>
        <v>0</v>
      </c>
      <c r="AC730" s="7" t="n">
        <f aca="false">SUM(U730:AB730)</f>
        <v>0</v>
      </c>
      <c r="AD730" s="7" t="n">
        <f aca="false">IF(AC730=0,1,0)</f>
        <v>1</v>
      </c>
      <c r="AE730" s="7" t="n">
        <f aca="false">IF(AND(O730=1,I730&gt;=Inputs!$B$6,I730&lt;=Inputs!$B$7),1,0)</f>
        <v>0</v>
      </c>
      <c r="AF730" s="7" t="n">
        <f aca="false">IF(AND(E730="Closed Won",I730&gt;=Inputs!$B$6,I730&lt;=Inputs!$B$4),1,0)</f>
        <v>0</v>
      </c>
      <c r="AG730" s="7" t="n">
        <f aca="false">IF(AND(O730=0,I730&gt;Inputs!$B$4-Inputs!$B$8,I730&lt;=Inputs!$B$4),1,0)</f>
        <v>1</v>
      </c>
      <c r="AH730" s="7" t="n">
        <f aca="false">I730-H730</f>
        <v>149</v>
      </c>
    </row>
    <row r="731" customFormat="false" ht="15" hidden="false" customHeight="false" outlineLevel="0" collapsed="false">
      <c r="A731" s="16" t="s">
        <v>2154</v>
      </c>
      <c r="B731" s="16" t="s">
        <v>2155</v>
      </c>
      <c r="C731" s="16" t="s">
        <v>2156</v>
      </c>
      <c r="D731" s="16" t="s">
        <v>165</v>
      </c>
      <c r="E731" s="16" t="s">
        <v>531</v>
      </c>
      <c r="F731" s="26" t="n">
        <v>7589000</v>
      </c>
      <c r="G731" s="25" t="n">
        <v>0</v>
      </c>
      <c r="H731" s="22" t="n">
        <v>46069</v>
      </c>
      <c r="I731" s="22" t="n">
        <v>46145</v>
      </c>
      <c r="J731" s="22" t="n">
        <v>46145</v>
      </c>
      <c r="K731" s="16" t="s">
        <v>831</v>
      </c>
      <c r="L731" s="16" t="s">
        <v>584</v>
      </c>
      <c r="M731" s="16"/>
      <c r="N731" s="16" t="s">
        <v>697</v>
      </c>
      <c r="O731" s="7" t="n">
        <f aca="false">IF(OR(E731="Closed Won",E731="Closed Lost"),0,1)</f>
        <v>0</v>
      </c>
      <c r="P731" s="17" t="str">
        <f aca="false">INDEX(Accounts!$K$5:$K$336,MATCH(B731,Accounts!$A$5:$A$336,0))</f>
        <v>Energy &amp; Resources</v>
      </c>
      <c r="Q731" s="17" t="str">
        <f aca="false">INDEX(Accounts!$D$5:$D$336,MATCH(B731,Accounts!$A$5:$A$336,0))</f>
        <v>Standard</v>
      </c>
      <c r="R731" s="7" t="n">
        <f aca="false">INDEX(Inputs!$B$11:$B$16,MATCH(E731,Inputs!$A$11:$A$16,0))</f>
        <v>0</v>
      </c>
      <c r="S731" s="27" t="n">
        <f aca="false">IF(F731="",0,F731)*R731/100</f>
        <v>0</v>
      </c>
      <c r="T731" s="7" t="n">
        <f aca="false">Inputs!$B$4-J731</f>
        <v>169</v>
      </c>
      <c r="U731" s="7" t="n">
        <f aca="false">IF(OR(F731="",F731=0),1,0)</f>
        <v>0</v>
      </c>
      <c r="V731" s="7" t="n">
        <f aca="false">IF(K731="",1,0)</f>
        <v>0</v>
      </c>
      <c r="W731" s="7" t="n">
        <f aca="false">IF(AND(O731=1,K731&lt;&gt;"",COUNTIFS(Owners!$A$5:$A$32,K731,Owners!$E$5:$E$32,"No")&gt;0),1,0)</f>
        <v>0</v>
      </c>
      <c r="X731" s="7" t="n">
        <f aca="false">IF(AND(O731=1,I731&lt;Inputs!$B$4),1,0)</f>
        <v>0</v>
      </c>
      <c r="Y731" s="7" t="n">
        <f aca="false">IF(AND(O731=1,T731&gt;Inputs!$B$5),1,0)</f>
        <v>0</v>
      </c>
      <c r="Z731" s="7" t="n">
        <f aca="false">IF(AND(O731=1,G731&lt;&gt;R731),1,0)</f>
        <v>0</v>
      </c>
      <c r="AA731" s="7" t="n">
        <f aca="false">IF(AND(O731=1,M731=""),1,0)</f>
        <v>0</v>
      </c>
      <c r="AB731" s="7" t="n">
        <f aca="false">IF(AND(E731="Closed Lost",N731=""),1,0)</f>
        <v>0</v>
      </c>
      <c r="AC731" s="7" t="n">
        <f aca="false">SUM(U731:AB731)</f>
        <v>0</v>
      </c>
      <c r="AD731" s="7" t="n">
        <f aca="false">IF(AC731=0,1,0)</f>
        <v>1</v>
      </c>
      <c r="AE731" s="7" t="n">
        <f aca="false">IF(AND(O731=1,I731&gt;=Inputs!$B$6,I731&lt;=Inputs!$B$7),1,0)</f>
        <v>0</v>
      </c>
      <c r="AF731" s="7" t="n">
        <f aca="false">IF(AND(E731="Closed Won",I731&gt;=Inputs!$B$6,I731&lt;=Inputs!$B$4),1,0)</f>
        <v>0</v>
      </c>
      <c r="AG731" s="7" t="n">
        <f aca="false">IF(AND(O731=0,I731&gt;Inputs!$B$4-Inputs!$B$8,I731&lt;=Inputs!$B$4),1,0)</f>
        <v>1</v>
      </c>
      <c r="AH731" s="7" t="n">
        <f aca="false">I731-H731</f>
        <v>76</v>
      </c>
    </row>
    <row r="732" customFormat="false" ht="15" hidden="false" customHeight="false" outlineLevel="0" collapsed="false">
      <c r="A732" s="16" t="s">
        <v>2157</v>
      </c>
      <c r="B732" s="16" t="s">
        <v>960</v>
      </c>
      <c r="C732" s="16" t="s">
        <v>2158</v>
      </c>
      <c r="D732" s="16" t="s">
        <v>162</v>
      </c>
      <c r="E732" s="16" t="s">
        <v>528</v>
      </c>
      <c r="F732" s="26" t="n">
        <v>17697000</v>
      </c>
      <c r="G732" s="25" t="n">
        <v>50</v>
      </c>
      <c r="H732" s="22" t="n">
        <v>46190</v>
      </c>
      <c r="I732" s="22" t="n">
        <v>46281</v>
      </c>
      <c r="J732" s="22" t="n">
        <v>46296</v>
      </c>
      <c r="K732" s="16" t="s">
        <v>691</v>
      </c>
      <c r="L732" s="16" t="s">
        <v>592</v>
      </c>
      <c r="M732" s="16" t="s">
        <v>613</v>
      </c>
      <c r="N732" s="16"/>
      <c r="O732" s="7" t="n">
        <f aca="false">IF(OR(E732="Closed Won",E732="Closed Lost"),0,1)</f>
        <v>1</v>
      </c>
      <c r="P732" s="17" t="str">
        <f aca="false">INDEX(Accounts!$K$5:$K$336,MATCH(B732,Accounts!$A$5:$A$336,0))</f>
        <v>Energy &amp; Resources</v>
      </c>
      <c r="Q732" s="17" t="str">
        <f aca="false">INDEX(Accounts!$D$5:$D$336,MATCH(B732,Accounts!$A$5:$A$336,0))</f>
        <v>Key</v>
      </c>
      <c r="R732" s="7" t="n">
        <f aca="false">INDEX(Inputs!$B$11:$B$16,MATCH(E732,Inputs!$A$11:$A$16,0))</f>
        <v>50</v>
      </c>
      <c r="S732" s="27" t="n">
        <f aca="false">IF(F732="",0,F732)*R732/100</f>
        <v>8848500</v>
      </c>
      <c r="T732" s="7" t="n">
        <f aca="false">Inputs!$B$4-J732</f>
        <v>18</v>
      </c>
      <c r="U732" s="7" t="n">
        <f aca="false">IF(OR(F732="",F732=0),1,0)</f>
        <v>0</v>
      </c>
      <c r="V732" s="7" t="n">
        <f aca="false">IF(K732="",1,0)</f>
        <v>0</v>
      </c>
      <c r="W732" s="7" t="n">
        <f aca="false">IF(AND(O732=1,K732&lt;&gt;"",COUNTIFS(Owners!$A$5:$A$32,K732,Owners!$E$5:$E$32,"No")&gt;0),1,0)</f>
        <v>0</v>
      </c>
      <c r="X732" s="7" t="n">
        <f aca="false">IF(AND(O732=1,I732&lt;Inputs!$B$4),1,0)</f>
        <v>1</v>
      </c>
      <c r="Y732" s="7" t="n">
        <f aca="false">IF(AND(O732=1,T732&gt;Inputs!$B$5),1,0)</f>
        <v>0</v>
      </c>
      <c r="Z732" s="7" t="n">
        <f aca="false">IF(AND(O732=1,G732&lt;&gt;R732),1,0)</f>
        <v>0</v>
      </c>
      <c r="AA732" s="7" t="n">
        <f aca="false">IF(AND(O732=1,M732=""),1,0)</f>
        <v>0</v>
      </c>
      <c r="AB732" s="7" t="n">
        <f aca="false">IF(AND(E732="Closed Lost",N732=""),1,0)</f>
        <v>0</v>
      </c>
      <c r="AC732" s="7" t="n">
        <f aca="false">SUM(U732:AB732)</f>
        <v>1</v>
      </c>
      <c r="AD732" s="7" t="n">
        <f aca="false">IF(AC732=0,1,0)</f>
        <v>0</v>
      </c>
      <c r="AE732" s="7" t="n">
        <f aca="false">IF(AND(O732=1,I732&gt;=Inputs!$B$6,I732&lt;=Inputs!$B$7),1,0)</f>
        <v>1</v>
      </c>
      <c r="AF732" s="7" t="n">
        <f aca="false">IF(AND(E732="Closed Won",I732&gt;=Inputs!$B$6,I732&lt;=Inputs!$B$4),1,0)</f>
        <v>0</v>
      </c>
      <c r="AG732" s="7" t="n">
        <f aca="false">IF(AND(O732=0,I732&gt;Inputs!$B$4-Inputs!$B$8,I732&lt;=Inputs!$B$4),1,0)</f>
        <v>0</v>
      </c>
      <c r="AH732" s="7" t="n">
        <f aca="false">I732-H732</f>
        <v>91</v>
      </c>
    </row>
    <row r="733" customFormat="false" ht="15" hidden="false" customHeight="false" outlineLevel="0" collapsed="false">
      <c r="A733" s="16" t="s">
        <v>2159</v>
      </c>
      <c r="B733" s="16" t="s">
        <v>60</v>
      </c>
      <c r="C733" s="16" t="s">
        <v>2160</v>
      </c>
      <c r="D733" s="16" t="s">
        <v>165</v>
      </c>
      <c r="E733" s="16" t="s">
        <v>528</v>
      </c>
      <c r="F733" s="26" t="n">
        <v>10507000</v>
      </c>
      <c r="G733" s="25" t="n">
        <v>100</v>
      </c>
      <c r="H733" s="22" t="n">
        <v>46149</v>
      </c>
      <c r="I733" s="22" t="n">
        <v>46434</v>
      </c>
      <c r="J733" s="22" t="n">
        <v>46283</v>
      </c>
      <c r="K733" s="16"/>
      <c r="L733" s="16" t="s">
        <v>592</v>
      </c>
      <c r="M733" s="16" t="s">
        <v>575</v>
      </c>
      <c r="N733" s="16"/>
      <c r="O733" s="7" t="n">
        <f aca="false">IF(OR(E733="Closed Won",E733="Closed Lost"),0,1)</f>
        <v>1</v>
      </c>
      <c r="P733" s="17" t="str">
        <f aca="false">INDEX(Accounts!$K$5:$K$336,MATCH(B733,Accounts!$A$5:$A$336,0))</f>
        <v>Financial Services</v>
      </c>
      <c r="Q733" s="17" t="str">
        <f aca="false">INDEX(Accounts!$D$5:$D$336,MATCH(B733,Accounts!$A$5:$A$336,0))</f>
        <v>Priority</v>
      </c>
      <c r="R733" s="7" t="n">
        <f aca="false">INDEX(Inputs!$B$11:$B$16,MATCH(E733,Inputs!$A$11:$A$16,0))</f>
        <v>50</v>
      </c>
      <c r="S733" s="27" t="n">
        <f aca="false">IF(F733="",0,F733)*R733/100</f>
        <v>5253500</v>
      </c>
      <c r="T733" s="7" t="n">
        <f aca="false">Inputs!$B$4-J733</f>
        <v>31</v>
      </c>
      <c r="U733" s="7" t="n">
        <f aca="false">IF(OR(F733="",F733=0),1,0)</f>
        <v>0</v>
      </c>
      <c r="V733" s="7" t="n">
        <f aca="false">IF(K733="",1,0)</f>
        <v>1</v>
      </c>
      <c r="W733" s="7" t="n">
        <f aca="false">IF(AND(O733=1,K733&lt;&gt;"",COUNTIFS(Owners!$A$5:$A$32,K733,Owners!$E$5:$E$32,"No")&gt;0),1,0)</f>
        <v>0</v>
      </c>
      <c r="X733" s="7" t="n">
        <f aca="false">IF(AND(O733=1,I733&lt;Inputs!$B$4),1,0)</f>
        <v>0</v>
      </c>
      <c r="Y733" s="7" t="n">
        <f aca="false">IF(AND(O733=1,T733&gt;Inputs!$B$5),1,0)</f>
        <v>0</v>
      </c>
      <c r="Z733" s="7" t="n">
        <f aca="false">IF(AND(O733=1,G733&lt;&gt;R733),1,0)</f>
        <v>1</v>
      </c>
      <c r="AA733" s="7" t="n">
        <f aca="false">IF(AND(O733=1,M733=""),1,0)</f>
        <v>0</v>
      </c>
      <c r="AB733" s="7" t="n">
        <f aca="false">IF(AND(E733="Closed Lost",N733=""),1,0)</f>
        <v>0</v>
      </c>
      <c r="AC733" s="7" t="n">
        <f aca="false">SUM(U733:AB733)</f>
        <v>2</v>
      </c>
      <c r="AD733" s="7" t="n">
        <f aca="false">IF(AC733=0,1,0)</f>
        <v>0</v>
      </c>
      <c r="AE733" s="7" t="n">
        <f aca="false">IF(AND(O733=1,I733&gt;=Inputs!$B$6,I733&lt;=Inputs!$B$7),1,0)</f>
        <v>1</v>
      </c>
      <c r="AF733" s="7" t="n">
        <f aca="false">IF(AND(E733="Closed Won",I733&gt;=Inputs!$B$6,I733&lt;=Inputs!$B$4),1,0)</f>
        <v>0</v>
      </c>
      <c r="AG733" s="7" t="n">
        <f aca="false">IF(AND(O733=0,I733&gt;Inputs!$B$4-Inputs!$B$8,I733&lt;=Inputs!$B$4),1,0)</f>
        <v>0</v>
      </c>
      <c r="AH733" s="7" t="n">
        <f aca="false">I733-H733</f>
        <v>285</v>
      </c>
    </row>
    <row r="734" customFormat="false" ht="15" hidden="false" customHeight="false" outlineLevel="0" collapsed="false">
      <c r="A734" s="16" t="s">
        <v>2161</v>
      </c>
      <c r="B734" s="16" t="s">
        <v>493</v>
      </c>
      <c r="C734" s="16" t="s">
        <v>2162</v>
      </c>
      <c r="D734" s="16" t="s">
        <v>167</v>
      </c>
      <c r="E734" s="16" t="s">
        <v>528</v>
      </c>
      <c r="F734" s="26" t="n">
        <v>2750000</v>
      </c>
      <c r="G734" s="25" t="n">
        <v>50</v>
      </c>
      <c r="H734" s="22" t="n">
        <v>46217</v>
      </c>
      <c r="I734" s="22" t="n">
        <v>46329</v>
      </c>
      <c r="J734" s="22" t="n">
        <v>46298</v>
      </c>
      <c r="K734" s="16" t="s">
        <v>691</v>
      </c>
      <c r="L734" s="16" t="s">
        <v>609</v>
      </c>
      <c r="M734" s="16" t="s">
        <v>593</v>
      </c>
      <c r="N734" s="16"/>
      <c r="O734" s="7" t="n">
        <f aca="false">IF(OR(E734="Closed Won",E734="Closed Lost"),0,1)</f>
        <v>1</v>
      </c>
      <c r="P734" s="17" t="str">
        <f aca="false">INDEX(Accounts!$K$5:$K$336,MATCH(B734,Accounts!$A$5:$A$336,0))</f>
        <v>Technology, Media &amp; Telecom</v>
      </c>
      <c r="Q734" s="17" t="str">
        <f aca="false">INDEX(Accounts!$D$5:$D$336,MATCH(B734,Accounts!$A$5:$A$336,0))</f>
        <v>Standard</v>
      </c>
      <c r="R734" s="7" t="n">
        <f aca="false">INDEX(Inputs!$B$11:$B$16,MATCH(E734,Inputs!$A$11:$A$16,0))</f>
        <v>50</v>
      </c>
      <c r="S734" s="27" t="n">
        <f aca="false">IF(F734="",0,F734)*R734/100</f>
        <v>1375000</v>
      </c>
      <c r="T734" s="7" t="n">
        <f aca="false">Inputs!$B$4-J734</f>
        <v>16</v>
      </c>
      <c r="U734" s="7" t="n">
        <f aca="false">IF(OR(F734="",F734=0),1,0)</f>
        <v>0</v>
      </c>
      <c r="V734" s="7" t="n">
        <f aca="false">IF(K734="",1,0)</f>
        <v>0</v>
      </c>
      <c r="W734" s="7" t="n">
        <f aca="false">IF(AND(O734=1,K734&lt;&gt;"",COUNTIFS(Owners!$A$5:$A$32,K734,Owners!$E$5:$E$32,"No")&gt;0),1,0)</f>
        <v>0</v>
      </c>
      <c r="X734" s="7" t="n">
        <f aca="false">IF(AND(O734=1,I734&lt;Inputs!$B$4),1,0)</f>
        <v>0</v>
      </c>
      <c r="Y734" s="7" t="n">
        <f aca="false">IF(AND(O734=1,T734&gt;Inputs!$B$5),1,0)</f>
        <v>0</v>
      </c>
      <c r="Z734" s="7" t="n">
        <f aca="false">IF(AND(O734=1,G734&lt;&gt;R734),1,0)</f>
        <v>0</v>
      </c>
      <c r="AA734" s="7" t="n">
        <f aca="false">IF(AND(O734=1,M734=""),1,0)</f>
        <v>0</v>
      </c>
      <c r="AB734" s="7" t="n">
        <f aca="false">IF(AND(E734="Closed Lost",N734=""),1,0)</f>
        <v>0</v>
      </c>
      <c r="AC734" s="7" t="n">
        <f aca="false">SUM(U734:AB734)</f>
        <v>0</v>
      </c>
      <c r="AD734" s="7" t="n">
        <f aca="false">IF(AC734=0,1,0)</f>
        <v>1</v>
      </c>
      <c r="AE734" s="7" t="n">
        <f aca="false">IF(AND(O734=1,I734&gt;=Inputs!$B$6,I734&lt;=Inputs!$B$7),1,0)</f>
        <v>1</v>
      </c>
      <c r="AF734" s="7" t="n">
        <f aca="false">IF(AND(E734="Closed Won",I734&gt;=Inputs!$B$6,I734&lt;=Inputs!$B$4),1,0)</f>
        <v>0</v>
      </c>
      <c r="AG734" s="7" t="n">
        <f aca="false">IF(AND(O734=0,I734&gt;Inputs!$B$4-Inputs!$B$8,I734&lt;=Inputs!$B$4),1,0)</f>
        <v>0</v>
      </c>
      <c r="AH734" s="7" t="n">
        <f aca="false">I734-H734</f>
        <v>112</v>
      </c>
    </row>
    <row r="735" customFormat="false" ht="15" hidden="false" customHeight="false" outlineLevel="0" collapsed="false">
      <c r="A735" s="16" t="s">
        <v>2163</v>
      </c>
      <c r="B735" s="16" t="s">
        <v>334</v>
      </c>
      <c r="C735" s="16" t="s">
        <v>2164</v>
      </c>
      <c r="D735" s="16" t="s">
        <v>158</v>
      </c>
      <c r="E735" s="16" t="s">
        <v>529</v>
      </c>
      <c r="F735" s="26" t="n">
        <v>90885000</v>
      </c>
      <c r="G735" s="25" t="n">
        <v>75</v>
      </c>
      <c r="H735" s="22" t="n">
        <v>46287</v>
      </c>
      <c r="I735" s="22" t="n">
        <v>46562</v>
      </c>
      <c r="J735" s="22" t="n">
        <v>46269</v>
      </c>
      <c r="K735" s="16" t="s">
        <v>765</v>
      </c>
      <c r="L735" s="16" t="s">
        <v>568</v>
      </c>
      <c r="M735" s="16" t="s">
        <v>613</v>
      </c>
      <c r="N735" s="16"/>
      <c r="O735" s="7" t="n">
        <f aca="false">IF(OR(E735="Closed Won",E735="Closed Lost"),0,1)</f>
        <v>1</v>
      </c>
      <c r="P735" s="17" t="str">
        <f aca="false">INDEX(Accounts!$K$5:$K$336,MATCH(B735,Accounts!$A$5:$A$336,0))</f>
        <v>Energy &amp; Resources</v>
      </c>
      <c r="Q735" s="17" t="str">
        <f aca="false">INDEX(Accounts!$D$5:$D$336,MATCH(B735,Accounts!$A$5:$A$336,0))</f>
        <v>Standard</v>
      </c>
      <c r="R735" s="7" t="n">
        <f aca="false">INDEX(Inputs!$B$11:$B$16,MATCH(E735,Inputs!$A$11:$A$16,0))</f>
        <v>75</v>
      </c>
      <c r="S735" s="27" t="n">
        <f aca="false">IF(F735="",0,F735)*R735/100</f>
        <v>68163750</v>
      </c>
      <c r="T735" s="7" t="n">
        <f aca="false">Inputs!$B$4-J735</f>
        <v>45</v>
      </c>
      <c r="U735" s="7" t="n">
        <f aca="false">IF(OR(F735="",F735=0),1,0)</f>
        <v>0</v>
      </c>
      <c r="V735" s="7" t="n">
        <f aca="false">IF(K735="",1,0)</f>
        <v>0</v>
      </c>
      <c r="W735" s="7" t="n">
        <f aca="false">IF(AND(O735=1,K735&lt;&gt;"",COUNTIFS(Owners!$A$5:$A$32,K735,Owners!$E$5:$E$32,"No")&gt;0),1,0)</f>
        <v>0</v>
      </c>
      <c r="X735" s="7" t="n">
        <f aca="false">IF(AND(O735=1,I735&lt;Inputs!$B$4),1,0)</f>
        <v>0</v>
      </c>
      <c r="Y735" s="7" t="n">
        <f aca="false">IF(AND(O735=1,T735&gt;Inputs!$B$5),1,0)</f>
        <v>0</v>
      </c>
      <c r="Z735" s="7" t="n">
        <f aca="false">IF(AND(O735=1,G735&lt;&gt;R735),1,0)</f>
        <v>0</v>
      </c>
      <c r="AA735" s="7" t="n">
        <f aca="false">IF(AND(O735=1,M735=""),1,0)</f>
        <v>0</v>
      </c>
      <c r="AB735" s="7" t="n">
        <f aca="false">IF(AND(E735="Closed Lost",N735=""),1,0)</f>
        <v>0</v>
      </c>
      <c r="AC735" s="7" t="n">
        <f aca="false">SUM(U735:AB735)</f>
        <v>0</v>
      </c>
      <c r="AD735" s="7" t="n">
        <f aca="false">IF(AC735=0,1,0)</f>
        <v>1</v>
      </c>
      <c r="AE735" s="7" t="n">
        <f aca="false">IF(AND(O735=1,I735&gt;=Inputs!$B$6,I735&lt;=Inputs!$B$7),1,0)</f>
        <v>1</v>
      </c>
      <c r="AF735" s="7" t="n">
        <f aca="false">IF(AND(E735="Closed Won",I735&gt;=Inputs!$B$6,I735&lt;=Inputs!$B$4),1,0)</f>
        <v>0</v>
      </c>
      <c r="AG735" s="7" t="n">
        <f aca="false">IF(AND(O735=0,I735&gt;Inputs!$B$4-Inputs!$B$8,I735&lt;=Inputs!$B$4),1,0)</f>
        <v>0</v>
      </c>
      <c r="AH735" s="7" t="n">
        <f aca="false">I735-H735</f>
        <v>275</v>
      </c>
    </row>
    <row r="736" customFormat="false" ht="15" hidden="false" customHeight="false" outlineLevel="0" collapsed="false">
      <c r="A736" s="16" t="s">
        <v>2165</v>
      </c>
      <c r="B736" s="16" t="s">
        <v>199</v>
      </c>
      <c r="C736" s="16" t="s">
        <v>2166</v>
      </c>
      <c r="D736" s="16" t="s">
        <v>165</v>
      </c>
      <c r="E736" s="16" t="s">
        <v>529</v>
      </c>
      <c r="F736" s="26"/>
      <c r="G736" s="25" t="n">
        <v>75</v>
      </c>
      <c r="H736" s="22" t="n">
        <v>46205</v>
      </c>
      <c r="I736" s="22" t="n">
        <v>46573</v>
      </c>
      <c r="J736" s="22" t="n">
        <v>46303</v>
      </c>
      <c r="K736" s="16" t="s">
        <v>591</v>
      </c>
      <c r="L736" s="16" t="s">
        <v>609</v>
      </c>
      <c r="M736" s="16" t="s">
        <v>569</v>
      </c>
      <c r="N736" s="16"/>
      <c r="O736" s="7" t="n">
        <f aca="false">IF(OR(E736="Closed Won",E736="Closed Lost"),0,1)</f>
        <v>1</v>
      </c>
      <c r="P736" s="17" t="str">
        <f aca="false">INDEX(Accounts!$K$5:$K$336,MATCH(B736,Accounts!$A$5:$A$336,0))</f>
        <v>Public Sector &amp; Development</v>
      </c>
      <c r="Q736" s="17" t="str">
        <f aca="false">INDEX(Accounts!$D$5:$D$336,MATCH(B736,Accounts!$A$5:$A$336,0))</f>
        <v>Standard</v>
      </c>
      <c r="R736" s="7" t="n">
        <f aca="false">INDEX(Inputs!$B$11:$B$16,MATCH(E736,Inputs!$A$11:$A$16,0))</f>
        <v>75</v>
      </c>
      <c r="S736" s="27" t="n">
        <f aca="false">IF(F736="",0,F736)*R736/100</f>
        <v>0</v>
      </c>
      <c r="T736" s="7" t="n">
        <f aca="false">Inputs!$B$4-J736</f>
        <v>11</v>
      </c>
      <c r="U736" s="7" t="n">
        <f aca="false">IF(OR(F736="",F736=0),1,0)</f>
        <v>1</v>
      </c>
      <c r="V736" s="7" t="n">
        <f aca="false">IF(K736="",1,0)</f>
        <v>0</v>
      </c>
      <c r="W736" s="7" t="n">
        <f aca="false">IF(AND(O736=1,K736&lt;&gt;"",COUNTIFS(Owners!$A$5:$A$32,K736,Owners!$E$5:$E$32,"No")&gt;0),1,0)</f>
        <v>0</v>
      </c>
      <c r="X736" s="7" t="n">
        <f aca="false">IF(AND(O736=1,I736&lt;Inputs!$B$4),1,0)</f>
        <v>0</v>
      </c>
      <c r="Y736" s="7" t="n">
        <f aca="false">IF(AND(O736=1,T736&gt;Inputs!$B$5),1,0)</f>
        <v>0</v>
      </c>
      <c r="Z736" s="7" t="n">
        <f aca="false">IF(AND(O736=1,G736&lt;&gt;R736),1,0)</f>
        <v>0</v>
      </c>
      <c r="AA736" s="7" t="n">
        <f aca="false">IF(AND(O736=1,M736=""),1,0)</f>
        <v>0</v>
      </c>
      <c r="AB736" s="7" t="n">
        <f aca="false">IF(AND(E736="Closed Lost",N736=""),1,0)</f>
        <v>0</v>
      </c>
      <c r="AC736" s="7" t="n">
        <f aca="false">SUM(U736:AB736)</f>
        <v>1</v>
      </c>
      <c r="AD736" s="7" t="n">
        <f aca="false">IF(AC736=0,1,0)</f>
        <v>0</v>
      </c>
      <c r="AE736" s="7" t="n">
        <f aca="false">IF(AND(O736=1,I736&gt;=Inputs!$B$6,I736&lt;=Inputs!$B$7),1,0)</f>
        <v>0</v>
      </c>
      <c r="AF736" s="7" t="n">
        <f aca="false">IF(AND(E736="Closed Won",I736&gt;=Inputs!$B$6,I736&lt;=Inputs!$B$4),1,0)</f>
        <v>0</v>
      </c>
      <c r="AG736" s="7" t="n">
        <f aca="false">IF(AND(O736=0,I736&gt;Inputs!$B$4-Inputs!$B$8,I736&lt;=Inputs!$B$4),1,0)</f>
        <v>0</v>
      </c>
      <c r="AH736" s="7" t="n">
        <f aca="false">I736-H736</f>
        <v>368</v>
      </c>
    </row>
    <row r="737" customFormat="false" ht="15" hidden="false" customHeight="false" outlineLevel="0" collapsed="false">
      <c r="A737" s="16" t="s">
        <v>2167</v>
      </c>
      <c r="B737" s="16" t="s">
        <v>248</v>
      </c>
      <c r="C737" s="16" t="s">
        <v>2168</v>
      </c>
      <c r="D737" s="16" t="s">
        <v>165</v>
      </c>
      <c r="E737" s="16" t="s">
        <v>530</v>
      </c>
      <c r="F737" s="26" t="n">
        <v>50665000</v>
      </c>
      <c r="G737" s="25" t="n">
        <v>100</v>
      </c>
      <c r="H737" s="22" t="n">
        <v>46097</v>
      </c>
      <c r="I737" s="22" t="n">
        <v>46251</v>
      </c>
      <c r="J737" s="22" t="n">
        <v>46251</v>
      </c>
      <c r="K737" s="16" t="s">
        <v>666</v>
      </c>
      <c r="L737" s="16" t="s">
        <v>584</v>
      </c>
      <c r="M737" s="16"/>
      <c r="N737" s="16"/>
      <c r="O737" s="7" t="n">
        <f aca="false">IF(OR(E737="Closed Won",E737="Closed Lost"),0,1)</f>
        <v>0</v>
      </c>
      <c r="P737" s="17" t="str">
        <f aca="false">INDEX(Accounts!$K$5:$K$336,MATCH(B737,Accounts!$A$5:$A$336,0))</f>
        <v>Energy &amp; Resources</v>
      </c>
      <c r="Q737" s="17" t="str">
        <f aca="false">INDEX(Accounts!$D$5:$D$336,MATCH(B737,Accounts!$A$5:$A$336,0))</f>
        <v>Key</v>
      </c>
      <c r="R737" s="7" t="n">
        <f aca="false">INDEX(Inputs!$B$11:$B$16,MATCH(E737,Inputs!$A$11:$A$16,0))</f>
        <v>100</v>
      </c>
      <c r="S737" s="27" t="n">
        <f aca="false">IF(F737="",0,F737)*R737/100</f>
        <v>50665000</v>
      </c>
      <c r="T737" s="7" t="n">
        <f aca="false">Inputs!$B$4-J737</f>
        <v>63</v>
      </c>
      <c r="U737" s="7" t="n">
        <f aca="false">IF(OR(F737="",F737=0),1,0)</f>
        <v>0</v>
      </c>
      <c r="V737" s="7" t="n">
        <f aca="false">IF(K737="",1,0)</f>
        <v>0</v>
      </c>
      <c r="W737" s="7" t="n">
        <f aca="false">IF(AND(O737=1,K737&lt;&gt;"",COUNTIFS(Owners!$A$5:$A$32,K737,Owners!$E$5:$E$32,"No")&gt;0),1,0)</f>
        <v>0</v>
      </c>
      <c r="X737" s="7" t="n">
        <f aca="false">IF(AND(O737=1,I737&lt;Inputs!$B$4),1,0)</f>
        <v>0</v>
      </c>
      <c r="Y737" s="7" t="n">
        <f aca="false">IF(AND(O737=1,T737&gt;Inputs!$B$5),1,0)</f>
        <v>0</v>
      </c>
      <c r="Z737" s="7" t="n">
        <f aca="false">IF(AND(O737=1,G737&lt;&gt;R737),1,0)</f>
        <v>0</v>
      </c>
      <c r="AA737" s="7" t="n">
        <f aca="false">IF(AND(O737=1,M737=""),1,0)</f>
        <v>0</v>
      </c>
      <c r="AB737" s="7" t="n">
        <f aca="false">IF(AND(E737="Closed Lost",N737=""),1,0)</f>
        <v>0</v>
      </c>
      <c r="AC737" s="7" t="n">
        <f aca="false">SUM(U737:AB737)</f>
        <v>0</v>
      </c>
      <c r="AD737" s="7" t="n">
        <f aca="false">IF(AC737=0,1,0)</f>
        <v>1</v>
      </c>
      <c r="AE737" s="7" t="n">
        <f aca="false">IF(AND(O737=1,I737&gt;=Inputs!$B$6,I737&lt;=Inputs!$B$7),1,0)</f>
        <v>0</v>
      </c>
      <c r="AF737" s="7" t="n">
        <f aca="false">IF(AND(E737="Closed Won",I737&gt;=Inputs!$B$6,I737&lt;=Inputs!$B$4),1,0)</f>
        <v>1</v>
      </c>
      <c r="AG737" s="7" t="n">
        <f aca="false">IF(AND(O737=0,I737&gt;Inputs!$B$4-Inputs!$B$8,I737&lt;=Inputs!$B$4),1,0)</f>
        <v>1</v>
      </c>
      <c r="AH737" s="7" t="n">
        <f aca="false">I737-H737</f>
        <v>154</v>
      </c>
    </row>
    <row r="738" customFormat="false" ht="15" hidden="false" customHeight="false" outlineLevel="0" collapsed="false">
      <c r="A738" s="16" t="s">
        <v>2169</v>
      </c>
      <c r="B738" s="16" t="s">
        <v>973</v>
      </c>
      <c r="C738" s="16" t="s">
        <v>2170</v>
      </c>
      <c r="D738" s="16" t="s">
        <v>167</v>
      </c>
      <c r="E738" s="16" t="s">
        <v>531</v>
      </c>
      <c r="F738" s="26" t="n">
        <v>6220000</v>
      </c>
      <c r="G738" s="25" t="n">
        <v>0</v>
      </c>
      <c r="H738" s="22" t="n">
        <v>45999</v>
      </c>
      <c r="I738" s="22" t="n">
        <v>46191</v>
      </c>
      <c r="J738" s="22" t="n">
        <v>46191</v>
      </c>
      <c r="K738" s="16" t="s">
        <v>654</v>
      </c>
      <c r="L738" s="16" t="s">
        <v>568</v>
      </c>
      <c r="M738" s="16"/>
      <c r="N738" s="16" t="s">
        <v>697</v>
      </c>
      <c r="O738" s="7" t="n">
        <f aca="false">IF(OR(E738="Closed Won",E738="Closed Lost"),0,1)</f>
        <v>0</v>
      </c>
      <c r="P738" s="17" t="str">
        <f aca="false">INDEX(Accounts!$K$5:$K$336,MATCH(B738,Accounts!$A$5:$A$336,0))</f>
        <v>Consumer &amp; Retail</v>
      </c>
      <c r="Q738" s="17" t="str">
        <f aca="false">INDEX(Accounts!$D$5:$D$336,MATCH(B738,Accounts!$A$5:$A$336,0))</f>
        <v>Standard</v>
      </c>
      <c r="R738" s="7" t="n">
        <f aca="false">INDEX(Inputs!$B$11:$B$16,MATCH(E738,Inputs!$A$11:$A$16,0))</f>
        <v>0</v>
      </c>
      <c r="S738" s="27" t="n">
        <f aca="false">IF(F738="",0,F738)*R738/100</f>
        <v>0</v>
      </c>
      <c r="T738" s="7" t="n">
        <f aca="false">Inputs!$B$4-J738</f>
        <v>123</v>
      </c>
      <c r="U738" s="7" t="n">
        <f aca="false">IF(OR(F738="",F738=0),1,0)</f>
        <v>0</v>
      </c>
      <c r="V738" s="7" t="n">
        <f aca="false">IF(K738="",1,0)</f>
        <v>0</v>
      </c>
      <c r="W738" s="7" t="n">
        <f aca="false">IF(AND(O738=1,K738&lt;&gt;"",COUNTIFS(Owners!$A$5:$A$32,K738,Owners!$E$5:$E$32,"No")&gt;0),1,0)</f>
        <v>0</v>
      </c>
      <c r="X738" s="7" t="n">
        <f aca="false">IF(AND(O738=1,I738&lt;Inputs!$B$4),1,0)</f>
        <v>0</v>
      </c>
      <c r="Y738" s="7" t="n">
        <f aca="false">IF(AND(O738=1,T738&gt;Inputs!$B$5),1,0)</f>
        <v>0</v>
      </c>
      <c r="Z738" s="7" t="n">
        <f aca="false">IF(AND(O738=1,G738&lt;&gt;R738),1,0)</f>
        <v>0</v>
      </c>
      <c r="AA738" s="7" t="n">
        <f aca="false">IF(AND(O738=1,M738=""),1,0)</f>
        <v>0</v>
      </c>
      <c r="AB738" s="7" t="n">
        <f aca="false">IF(AND(E738="Closed Lost",N738=""),1,0)</f>
        <v>0</v>
      </c>
      <c r="AC738" s="7" t="n">
        <f aca="false">SUM(U738:AB738)</f>
        <v>0</v>
      </c>
      <c r="AD738" s="7" t="n">
        <f aca="false">IF(AC738=0,1,0)</f>
        <v>1</v>
      </c>
      <c r="AE738" s="7" t="n">
        <f aca="false">IF(AND(O738=1,I738&gt;=Inputs!$B$6,I738&lt;=Inputs!$B$7),1,0)</f>
        <v>0</v>
      </c>
      <c r="AF738" s="7" t="n">
        <f aca="false">IF(AND(E738="Closed Won",I738&gt;=Inputs!$B$6,I738&lt;=Inputs!$B$4),1,0)</f>
        <v>0</v>
      </c>
      <c r="AG738" s="7" t="n">
        <f aca="false">IF(AND(O738=0,I738&gt;Inputs!$B$4-Inputs!$B$8,I738&lt;=Inputs!$B$4),1,0)</f>
        <v>1</v>
      </c>
      <c r="AH738" s="7" t="n">
        <f aca="false">I738-H738</f>
        <v>192</v>
      </c>
    </row>
    <row r="739" customFormat="false" ht="15" hidden="false" customHeight="false" outlineLevel="0" collapsed="false">
      <c r="A739" s="16" t="s">
        <v>2171</v>
      </c>
      <c r="B739" s="16" t="s">
        <v>2172</v>
      </c>
      <c r="C739" s="16" t="s">
        <v>2173</v>
      </c>
      <c r="D739" s="16" t="s">
        <v>167</v>
      </c>
      <c r="E739" s="16" t="s">
        <v>529</v>
      </c>
      <c r="F739" s="26" t="n">
        <v>2760000</v>
      </c>
      <c r="G739" s="25" t="n">
        <v>75</v>
      </c>
      <c r="H739" s="22" t="n">
        <v>46079</v>
      </c>
      <c r="I739" s="22" t="n">
        <v>46288</v>
      </c>
      <c r="J739" s="22" t="n">
        <v>46278</v>
      </c>
      <c r="K739" s="16" t="s">
        <v>637</v>
      </c>
      <c r="L739" s="16" t="s">
        <v>500</v>
      </c>
      <c r="M739" s="16" t="s">
        <v>593</v>
      </c>
      <c r="N739" s="16"/>
      <c r="O739" s="7" t="n">
        <f aca="false">IF(OR(E739="Closed Won",E739="Closed Lost"),0,1)</f>
        <v>1</v>
      </c>
      <c r="P739" s="17" t="str">
        <f aca="false">INDEX(Accounts!$K$5:$K$336,MATCH(B739,Accounts!$A$5:$A$336,0))</f>
        <v>Public Sector &amp; Development</v>
      </c>
      <c r="Q739" s="17" t="str">
        <f aca="false">INDEX(Accounts!$D$5:$D$336,MATCH(B739,Accounts!$A$5:$A$336,0))</f>
        <v>Standard</v>
      </c>
      <c r="R739" s="7" t="n">
        <f aca="false">INDEX(Inputs!$B$11:$B$16,MATCH(E739,Inputs!$A$11:$A$16,0))</f>
        <v>75</v>
      </c>
      <c r="S739" s="27" t="n">
        <f aca="false">IF(F739="",0,F739)*R739/100</f>
        <v>2070000</v>
      </c>
      <c r="T739" s="7" t="n">
        <f aca="false">Inputs!$B$4-J739</f>
        <v>36</v>
      </c>
      <c r="U739" s="7" t="n">
        <f aca="false">IF(OR(F739="",F739=0),1,0)</f>
        <v>0</v>
      </c>
      <c r="V739" s="7" t="n">
        <f aca="false">IF(K739="",1,0)</f>
        <v>0</v>
      </c>
      <c r="W739" s="7" t="n">
        <f aca="false">IF(AND(O739=1,K739&lt;&gt;"",COUNTIFS(Owners!$A$5:$A$32,K739,Owners!$E$5:$E$32,"No")&gt;0),1,0)</f>
        <v>0</v>
      </c>
      <c r="X739" s="7" t="n">
        <f aca="false">IF(AND(O739=1,I739&lt;Inputs!$B$4),1,0)</f>
        <v>1</v>
      </c>
      <c r="Y739" s="7" t="n">
        <f aca="false">IF(AND(O739=1,T739&gt;Inputs!$B$5),1,0)</f>
        <v>0</v>
      </c>
      <c r="Z739" s="7" t="n">
        <f aca="false">IF(AND(O739=1,G739&lt;&gt;R739),1,0)</f>
        <v>0</v>
      </c>
      <c r="AA739" s="7" t="n">
        <f aca="false">IF(AND(O739=1,M739=""),1,0)</f>
        <v>0</v>
      </c>
      <c r="AB739" s="7" t="n">
        <f aca="false">IF(AND(E739="Closed Lost",N739=""),1,0)</f>
        <v>0</v>
      </c>
      <c r="AC739" s="7" t="n">
        <f aca="false">SUM(U739:AB739)</f>
        <v>1</v>
      </c>
      <c r="AD739" s="7" t="n">
        <f aca="false">IF(AC739=0,1,0)</f>
        <v>0</v>
      </c>
      <c r="AE739" s="7" t="n">
        <f aca="false">IF(AND(O739=1,I739&gt;=Inputs!$B$6,I739&lt;=Inputs!$B$7),1,0)</f>
        <v>1</v>
      </c>
      <c r="AF739" s="7" t="n">
        <f aca="false">IF(AND(E739="Closed Won",I739&gt;=Inputs!$B$6,I739&lt;=Inputs!$B$4),1,0)</f>
        <v>0</v>
      </c>
      <c r="AG739" s="7" t="n">
        <f aca="false">IF(AND(O739=0,I739&gt;Inputs!$B$4-Inputs!$B$8,I739&lt;=Inputs!$B$4),1,0)</f>
        <v>0</v>
      </c>
      <c r="AH739" s="7" t="n">
        <f aca="false">I739-H739</f>
        <v>209</v>
      </c>
    </row>
    <row r="740" customFormat="false" ht="15" hidden="false" customHeight="false" outlineLevel="0" collapsed="false">
      <c r="A740" s="16" t="s">
        <v>2174</v>
      </c>
      <c r="B740" s="16" t="s">
        <v>87</v>
      </c>
      <c r="C740" s="16" t="s">
        <v>2175</v>
      </c>
      <c r="D740" s="16" t="s">
        <v>167</v>
      </c>
      <c r="E740" s="16" t="s">
        <v>531</v>
      </c>
      <c r="F740" s="26" t="n">
        <v>35116000</v>
      </c>
      <c r="G740" s="25" t="n">
        <v>0</v>
      </c>
      <c r="H740" s="22" t="n">
        <v>46026</v>
      </c>
      <c r="I740" s="22" t="n">
        <v>46302</v>
      </c>
      <c r="J740" s="22" t="n">
        <v>46302</v>
      </c>
      <c r="K740" s="16" t="s">
        <v>640</v>
      </c>
      <c r="L740" s="16" t="s">
        <v>568</v>
      </c>
      <c r="M740" s="16"/>
      <c r="N740" s="16" t="s">
        <v>610</v>
      </c>
      <c r="O740" s="7" t="n">
        <f aca="false">IF(OR(E740="Closed Won",E740="Closed Lost"),0,1)</f>
        <v>0</v>
      </c>
      <c r="P740" s="17" t="str">
        <f aca="false">INDEX(Accounts!$K$5:$K$336,MATCH(B740,Accounts!$A$5:$A$336,0))</f>
        <v>Unassigned</v>
      </c>
      <c r="Q740" s="17" t="str">
        <f aca="false">INDEX(Accounts!$D$5:$D$336,MATCH(B740,Accounts!$A$5:$A$336,0))</f>
        <v>Priority</v>
      </c>
      <c r="R740" s="7" t="n">
        <f aca="false">INDEX(Inputs!$B$11:$B$16,MATCH(E740,Inputs!$A$11:$A$16,0))</f>
        <v>0</v>
      </c>
      <c r="S740" s="27" t="n">
        <f aca="false">IF(F740="",0,F740)*R740/100</f>
        <v>0</v>
      </c>
      <c r="T740" s="7" t="n">
        <f aca="false">Inputs!$B$4-J740</f>
        <v>12</v>
      </c>
      <c r="U740" s="7" t="n">
        <f aca="false">IF(OR(F740="",F740=0),1,0)</f>
        <v>0</v>
      </c>
      <c r="V740" s="7" t="n">
        <f aca="false">IF(K740="",1,0)</f>
        <v>0</v>
      </c>
      <c r="W740" s="7" t="n">
        <f aca="false">IF(AND(O740=1,K740&lt;&gt;"",COUNTIFS(Owners!$A$5:$A$32,K740,Owners!$E$5:$E$32,"No")&gt;0),1,0)</f>
        <v>0</v>
      </c>
      <c r="X740" s="7" t="n">
        <f aca="false">IF(AND(O740=1,I740&lt;Inputs!$B$4),1,0)</f>
        <v>0</v>
      </c>
      <c r="Y740" s="7" t="n">
        <f aca="false">IF(AND(O740=1,T740&gt;Inputs!$B$5),1,0)</f>
        <v>0</v>
      </c>
      <c r="Z740" s="7" t="n">
        <f aca="false">IF(AND(O740=1,G740&lt;&gt;R740),1,0)</f>
        <v>0</v>
      </c>
      <c r="AA740" s="7" t="n">
        <f aca="false">IF(AND(O740=1,M740=""),1,0)</f>
        <v>0</v>
      </c>
      <c r="AB740" s="7" t="n">
        <f aca="false">IF(AND(E740="Closed Lost",N740=""),1,0)</f>
        <v>0</v>
      </c>
      <c r="AC740" s="7" t="n">
        <f aca="false">SUM(U740:AB740)</f>
        <v>0</v>
      </c>
      <c r="AD740" s="7" t="n">
        <f aca="false">IF(AC740=0,1,0)</f>
        <v>1</v>
      </c>
      <c r="AE740" s="7" t="n">
        <f aca="false">IF(AND(O740=1,I740&gt;=Inputs!$B$6,I740&lt;=Inputs!$B$7),1,0)</f>
        <v>0</v>
      </c>
      <c r="AF740" s="7" t="n">
        <f aca="false">IF(AND(E740="Closed Won",I740&gt;=Inputs!$B$6,I740&lt;=Inputs!$B$4),1,0)</f>
        <v>0</v>
      </c>
      <c r="AG740" s="7" t="n">
        <f aca="false">IF(AND(O740=0,I740&gt;Inputs!$B$4-Inputs!$B$8,I740&lt;=Inputs!$B$4),1,0)</f>
        <v>1</v>
      </c>
      <c r="AH740" s="7" t="n">
        <f aca="false">I740-H740</f>
        <v>276</v>
      </c>
    </row>
    <row r="741" customFormat="false" ht="15" hidden="false" customHeight="false" outlineLevel="0" collapsed="false">
      <c r="A741" s="16" t="s">
        <v>2176</v>
      </c>
      <c r="B741" s="16" t="s">
        <v>411</v>
      </c>
      <c r="C741" s="16" t="s">
        <v>2177</v>
      </c>
      <c r="D741" s="16" t="s">
        <v>165</v>
      </c>
      <c r="E741" s="16" t="s">
        <v>526</v>
      </c>
      <c r="F741" s="26"/>
      <c r="G741" s="25" t="n">
        <v>10</v>
      </c>
      <c r="H741" s="22" t="n">
        <v>46229</v>
      </c>
      <c r="I741" s="22" t="n">
        <v>46421</v>
      </c>
      <c r="J741" s="22" t="n">
        <v>46176</v>
      </c>
      <c r="K741" s="16" t="s">
        <v>622</v>
      </c>
      <c r="L741" s="16" t="s">
        <v>609</v>
      </c>
      <c r="M741" s="16" t="s">
        <v>575</v>
      </c>
      <c r="N741" s="16"/>
      <c r="O741" s="7" t="n">
        <f aca="false">IF(OR(E741="Closed Won",E741="Closed Lost"),0,1)</f>
        <v>1</v>
      </c>
      <c r="P741" s="17" t="str">
        <f aca="false">INDEX(Accounts!$K$5:$K$336,MATCH(B741,Accounts!$A$5:$A$336,0))</f>
        <v>Public Sector &amp; Development</v>
      </c>
      <c r="Q741" s="17" t="str">
        <f aca="false">INDEX(Accounts!$D$5:$D$336,MATCH(B741,Accounts!$A$5:$A$336,0))</f>
        <v>Key</v>
      </c>
      <c r="R741" s="7" t="n">
        <f aca="false">INDEX(Inputs!$B$11:$B$16,MATCH(E741,Inputs!$A$11:$A$16,0))</f>
        <v>10</v>
      </c>
      <c r="S741" s="27" t="n">
        <f aca="false">IF(F741="",0,F741)*R741/100</f>
        <v>0</v>
      </c>
      <c r="T741" s="7" t="n">
        <f aca="false">Inputs!$B$4-J741</f>
        <v>138</v>
      </c>
      <c r="U741" s="7" t="n">
        <f aca="false">IF(OR(F741="",F741=0),1,0)</f>
        <v>1</v>
      </c>
      <c r="V741" s="7" t="n">
        <f aca="false">IF(K741="",1,0)</f>
        <v>0</v>
      </c>
      <c r="W741" s="7" t="n">
        <f aca="false">IF(AND(O741=1,K741&lt;&gt;"",COUNTIFS(Owners!$A$5:$A$32,K741,Owners!$E$5:$E$32,"No")&gt;0),1,0)</f>
        <v>0</v>
      </c>
      <c r="X741" s="7" t="n">
        <f aca="false">IF(AND(O741=1,I741&lt;Inputs!$B$4),1,0)</f>
        <v>0</v>
      </c>
      <c r="Y741" s="7" t="n">
        <f aca="false">IF(AND(O741=1,T741&gt;Inputs!$B$5),1,0)</f>
        <v>1</v>
      </c>
      <c r="Z741" s="7" t="n">
        <f aca="false">IF(AND(O741=1,G741&lt;&gt;R741),1,0)</f>
        <v>0</v>
      </c>
      <c r="AA741" s="7" t="n">
        <f aca="false">IF(AND(O741=1,M741=""),1,0)</f>
        <v>0</v>
      </c>
      <c r="AB741" s="7" t="n">
        <f aca="false">IF(AND(E741="Closed Lost",N741=""),1,0)</f>
        <v>0</v>
      </c>
      <c r="AC741" s="7" t="n">
        <f aca="false">SUM(U741:AB741)</f>
        <v>2</v>
      </c>
      <c r="AD741" s="7" t="n">
        <f aca="false">IF(AC741=0,1,0)</f>
        <v>0</v>
      </c>
      <c r="AE741" s="7" t="n">
        <f aca="false">IF(AND(O741=1,I741&gt;=Inputs!$B$6,I741&lt;=Inputs!$B$7),1,0)</f>
        <v>1</v>
      </c>
      <c r="AF741" s="7" t="n">
        <f aca="false">IF(AND(E741="Closed Won",I741&gt;=Inputs!$B$6,I741&lt;=Inputs!$B$4),1,0)</f>
        <v>0</v>
      </c>
      <c r="AG741" s="7" t="n">
        <f aca="false">IF(AND(O741=0,I741&gt;Inputs!$B$4-Inputs!$B$8,I741&lt;=Inputs!$B$4),1,0)</f>
        <v>0</v>
      </c>
      <c r="AH741" s="7" t="n">
        <f aca="false">I741-H741</f>
        <v>192</v>
      </c>
    </row>
    <row r="742" customFormat="false" ht="15" hidden="false" customHeight="false" outlineLevel="0" collapsed="false">
      <c r="A742" s="16" t="s">
        <v>2178</v>
      </c>
      <c r="B742" s="16" t="s">
        <v>193</v>
      </c>
      <c r="C742" s="16" t="s">
        <v>2179</v>
      </c>
      <c r="D742" s="16" t="s">
        <v>167</v>
      </c>
      <c r="E742" s="16" t="s">
        <v>531</v>
      </c>
      <c r="F742" s="26" t="n">
        <v>6047000</v>
      </c>
      <c r="G742" s="25" t="n">
        <v>0</v>
      </c>
      <c r="H742" s="22" t="n">
        <v>46022</v>
      </c>
      <c r="I742" s="22" t="n">
        <v>46206</v>
      </c>
      <c r="J742" s="22" t="n">
        <v>46206</v>
      </c>
      <c r="K742" s="16" t="s">
        <v>640</v>
      </c>
      <c r="L742" s="16" t="s">
        <v>609</v>
      </c>
      <c r="M742" s="16"/>
      <c r="N742" s="16" t="s">
        <v>610</v>
      </c>
      <c r="O742" s="7" t="n">
        <f aca="false">IF(OR(E742="Closed Won",E742="Closed Lost"),0,1)</f>
        <v>0</v>
      </c>
      <c r="P742" s="17" t="str">
        <f aca="false">INDEX(Accounts!$K$5:$K$336,MATCH(B742,Accounts!$A$5:$A$336,0))</f>
        <v>Unassigned</v>
      </c>
      <c r="Q742" s="17" t="str">
        <f aca="false">INDEX(Accounts!$D$5:$D$336,MATCH(B742,Accounts!$A$5:$A$336,0))</f>
        <v>Key</v>
      </c>
      <c r="R742" s="7" t="n">
        <f aca="false">INDEX(Inputs!$B$11:$B$16,MATCH(E742,Inputs!$A$11:$A$16,0))</f>
        <v>0</v>
      </c>
      <c r="S742" s="27" t="n">
        <f aca="false">IF(F742="",0,F742)*R742/100</f>
        <v>0</v>
      </c>
      <c r="T742" s="7" t="n">
        <f aca="false">Inputs!$B$4-J742</f>
        <v>108</v>
      </c>
      <c r="U742" s="7" t="n">
        <f aca="false">IF(OR(F742="",F742=0),1,0)</f>
        <v>0</v>
      </c>
      <c r="V742" s="7" t="n">
        <f aca="false">IF(K742="",1,0)</f>
        <v>0</v>
      </c>
      <c r="W742" s="7" t="n">
        <f aca="false">IF(AND(O742=1,K742&lt;&gt;"",COUNTIFS(Owners!$A$5:$A$32,K742,Owners!$E$5:$E$32,"No")&gt;0),1,0)</f>
        <v>0</v>
      </c>
      <c r="X742" s="7" t="n">
        <f aca="false">IF(AND(O742=1,I742&lt;Inputs!$B$4),1,0)</f>
        <v>0</v>
      </c>
      <c r="Y742" s="7" t="n">
        <f aca="false">IF(AND(O742=1,T742&gt;Inputs!$B$5),1,0)</f>
        <v>0</v>
      </c>
      <c r="Z742" s="7" t="n">
        <f aca="false">IF(AND(O742=1,G742&lt;&gt;R742),1,0)</f>
        <v>0</v>
      </c>
      <c r="AA742" s="7" t="n">
        <f aca="false">IF(AND(O742=1,M742=""),1,0)</f>
        <v>0</v>
      </c>
      <c r="AB742" s="7" t="n">
        <f aca="false">IF(AND(E742="Closed Lost",N742=""),1,0)</f>
        <v>0</v>
      </c>
      <c r="AC742" s="7" t="n">
        <f aca="false">SUM(U742:AB742)</f>
        <v>0</v>
      </c>
      <c r="AD742" s="7" t="n">
        <f aca="false">IF(AC742=0,1,0)</f>
        <v>1</v>
      </c>
      <c r="AE742" s="7" t="n">
        <f aca="false">IF(AND(O742=1,I742&gt;=Inputs!$B$6,I742&lt;=Inputs!$B$7),1,0)</f>
        <v>0</v>
      </c>
      <c r="AF742" s="7" t="n">
        <f aca="false">IF(AND(E742="Closed Won",I742&gt;=Inputs!$B$6,I742&lt;=Inputs!$B$4),1,0)</f>
        <v>0</v>
      </c>
      <c r="AG742" s="7" t="n">
        <f aca="false">IF(AND(O742=0,I742&gt;Inputs!$B$4-Inputs!$B$8,I742&lt;=Inputs!$B$4),1,0)</f>
        <v>1</v>
      </c>
      <c r="AH742" s="7" t="n">
        <f aca="false">I742-H742</f>
        <v>184</v>
      </c>
    </row>
    <row r="743" customFormat="false" ht="15" hidden="false" customHeight="false" outlineLevel="0" collapsed="false">
      <c r="A743" s="16" t="s">
        <v>2180</v>
      </c>
      <c r="B743" s="16" t="s">
        <v>804</v>
      </c>
      <c r="C743" s="16" t="s">
        <v>2181</v>
      </c>
      <c r="D743" s="16" t="s">
        <v>177</v>
      </c>
      <c r="E743" s="16" t="s">
        <v>531</v>
      </c>
      <c r="F743" s="26" t="n">
        <v>6078000</v>
      </c>
      <c r="G743" s="25" t="n">
        <v>0</v>
      </c>
      <c r="H743" s="22" t="n">
        <v>45941</v>
      </c>
      <c r="I743" s="22" t="n">
        <v>46112</v>
      </c>
      <c r="J743" s="22" t="n">
        <v>46112</v>
      </c>
      <c r="K743" s="16" t="s">
        <v>646</v>
      </c>
      <c r="L743" s="16" t="s">
        <v>568</v>
      </c>
      <c r="M743" s="16"/>
      <c r="N743" s="16" t="s">
        <v>722</v>
      </c>
      <c r="O743" s="7" t="n">
        <f aca="false">IF(OR(E743="Closed Won",E743="Closed Lost"),0,1)</f>
        <v>0</v>
      </c>
      <c r="P743" s="17" t="str">
        <f aca="false">INDEX(Accounts!$K$5:$K$336,MATCH(B743,Accounts!$A$5:$A$336,0))</f>
        <v>Health</v>
      </c>
      <c r="Q743" s="17" t="str">
        <f aca="false">INDEX(Accounts!$D$5:$D$336,MATCH(B743,Accounts!$A$5:$A$336,0))</f>
        <v>Key</v>
      </c>
      <c r="R743" s="7" t="n">
        <f aca="false">INDEX(Inputs!$B$11:$B$16,MATCH(E743,Inputs!$A$11:$A$16,0))</f>
        <v>0</v>
      </c>
      <c r="S743" s="27" t="n">
        <f aca="false">IF(F743="",0,F743)*R743/100</f>
        <v>0</v>
      </c>
      <c r="T743" s="7" t="n">
        <f aca="false">Inputs!$B$4-J743</f>
        <v>202</v>
      </c>
      <c r="U743" s="7" t="n">
        <f aca="false">IF(OR(F743="",F743=0),1,0)</f>
        <v>0</v>
      </c>
      <c r="V743" s="7" t="n">
        <f aca="false">IF(K743="",1,0)</f>
        <v>0</v>
      </c>
      <c r="W743" s="7" t="n">
        <f aca="false">IF(AND(O743=1,K743&lt;&gt;"",COUNTIFS(Owners!$A$5:$A$32,K743,Owners!$E$5:$E$32,"No")&gt;0),1,0)</f>
        <v>0</v>
      </c>
      <c r="X743" s="7" t="n">
        <f aca="false">IF(AND(O743=1,I743&lt;Inputs!$B$4),1,0)</f>
        <v>0</v>
      </c>
      <c r="Y743" s="7" t="n">
        <f aca="false">IF(AND(O743=1,T743&gt;Inputs!$B$5),1,0)</f>
        <v>0</v>
      </c>
      <c r="Z743" s="7" t="n">
        <f aca="false">IF(AND(O743=1,G743&lt;&gt;R743),1,0)</f>
        <v>0</v>
      </c>
      <c r="AA743" s="7" t="n">
        <f aca="false">IF(AND(O743=1,M743=""),1,0)</f>
        <v>0</v>
      </c>
      <c r="AB743" s="7" t="n">
        <f aca="false">IF(AND(E743="Closed Lost",N743=""),1,0)</f>
        <v>0</v>
      </c>
      <c r="AC743" s="7" t="n">
        <f aca="false">SUM(U743:AB743)</f>
        <v>0</v>
      </c>
      <c r="AD743" s="7" t="n">
        <f aca="false">IF(AC743=0,1,0)</f>
        <v>1</v>
      </c>
      <c r="AE743" s="7" t="n">
        <f aca="false">IF(AND(O743=1,I743&gt;=Inputs!$B$6,I743&lt;=Inputs!$B$7),1,0)</f>
        <v>0</v>
      </c>
      <c r="AF743" s="7" t="n">
        <f aca="false">IF(AND(E743="Closed Won",I743&gt;=Inputs!$B$6,I743&lt;=Inputs!$B$4),1,0)</f>
        <v>0</v>
      </c>
      <c r="AG743" s="7" t="n">
        <f aca="false">IF(AND(O743=0,I743&gt;Inputs!$B$4-Inputs!$B$8,I743&lt;=Inputs!$B$4),1,0)</f>
        <v>1</v>
      </c>
      <c r="AH743" s="7" t="n">
        <f aca="false">I743-H743</f>
        <v>171</v>
      </c>
    </row>
    <row r="744" customFormat="false" ht="15" hidden="false" customHeight="false" outlineLevel="0" collapsed="false">
      <c r="A744" s="16" t="s">
        <v>2182</v>
      </c>
      <c r="B744" s="16" t="s">
        <v>656</v>
      </c>
      <c r="C744" s="16" t="s">
        <v>2183</v>
      </c>
      <c r="D744" s="16" t="s">
        <v>158</v>
      </c>
      <c r="E744" s="16" t="s">
        <v>531</v>
      </c>
      <c r="F744" s="26" t="n">
        <v>95645000</v>
      </c>
      <c r="G744" s="25" t="n">
        <v>0</v>
      </c>
      <c r="H744" s="22" t="n">
        <v>45972</v>
      </c>
      <c r="I744" s="22" t="n">
        <v>46232</v>
      </c>
      <c r="J744" s="22" t="n">
        <v>46232</v>
      </c>
      <c r="K744" s="16" t="s">
        <v>578</v>
      </c>
      <c r="L744" s="16" t="s">
        <v>609</v>
      </c>
      <c r="M744" s="16"/>
      <c r="N744" s="16" t="s">
        <v>579</v>
      </c>
      <c r="O744" s="7" t="n">
        <f aca="false">IF(OR(E744="Closed Won",E744="Closed Lost"),0,1)</f>
        <v>0</v>
      </c>
      <c r="P744" s="17" t="str">
        <f aca="false">INDEX(Accounts!$K$5:$K$336,MATCH(B744,Accounts!$A$5:$A$336,0))</f>
        <v>Unassigned</v>
      </c>
      <c r="Q744" s="17" t="str">
        <f aca="false">INDEX(Accounts!$D$5:$D$336,MATCH(B744,Accounts!$A$5:$A$336,0))</f>
        <v>Standard</v>
      </c>
      <c r="R744" s="7" t="n">
        <f aca="false">INDEX(Inputs!$B$11:$B$16,MATCH(E744,Inputs!$A$11:$A$16,0))</f>
        <v>0</v>
      </c>
      <c r="S744" s="27" t="n">
        <f aca="false">IF(F744="",0,F744)*R744/100</f>
        <v>0</v>
      </c>
      <c r="T744" s="7" t="n">
        <f aca="false">Inputs!$B$4-J744</f>
        <v>82</v>
      </c>
      <c r="U744" s="7" t="n">
        <f aca="false">IF(OR(F744="",F744=0),1,0)</f>
        <v>0</v>
      </c>
      <c r="V744" s="7" t="n">
        <f aca="false">IF(K744="",1,0)</f>
        <v>0</v>
      </c>
      <c r="W744" s="7" t="n">
        <f aca="false">IF(AND(O744=1,K744&lt;&gt;"",COUNTIFS(Owners!$A$5:$A$32,K744,Owners!$E$5:$E$32,"No")&gt;0),1,0)</f>
        <v>0</v>
      </c>
      <c r="X744" s="7" t="n">
        <f aca="false">IF(AND(O744=1,I744&lt;Inputs!$B$4),1,0)</f>
        <v>0</v>
      </c>
      <c r="Y744" s="7" t="n">
        <f aca="false">IF(AND(O744=1,T744&gt;Inputs!$B$5),1,0)</f>
        <v>0</v>
      </c>
      <c r="Z744" s="7" t="n">
        <f aca="false">IF(AND(O744=1,G744&lt;&gt;R744),1,0)</f>
        <v>0</v>
      </c>
      <c r="AA744" s="7" t="n">
        <f aca="false">IF(AND(O744=1,M744=""),1,0)</f>
        <v>0</v>
      </c>
      <c r="AB744" s="7" t="n">
        <f aca="false">IF(AND(E744="Closed Lost",N744=""),1,0)</f>
        <v>0</v>
      </c>
      <c r="AC744" s="7" t="n">
        <f aca="false">SUM(U744:AB744)</f>
        <v>0</v>
      </c>
      <c r="AD744" s="7" t="n">
        <f aca="false">IF(AC744=0,1,0)</f>
        <v>1</v>
      </c>
      <c r="AE744" s="7" t="n">
        <f aca="false">IF(AND(O744=1,I744&gt;=Inputs!$B$6,I744&lt;=Inputs!$B$7),1,0)</f>
        <v>0</v>
      </c>
      <c r="AF744" s="7" t="n">
        <f aca="false">IF(AND(E744="Closed Won",I744&gt;=Inputs!$B$6,I744&lt;=Inputs!$B$4),1,0)</f>
        <v>0</v>
      </c>
      <c r="AG744" s="7" t="n">
        <f aca="false">IF(AND(O744=0,I744&gt;Inputs!$B$4-Inputs!$B$8,I744&lt;=Inputs!$B$4),1,0)</f>
        <v>1</v>
      </c>
      <c r="AH744" s="7" t="n">
        <f aca="false">I744-H744</f>
        <v>260</v>
      </c>
    </row>
    <row r="745" customFormat="false" ht="15" hidden="false" customHeight="false" outlineLevel="0" collapsed="false">
      <c r="A745" s="16" t="s">
        <v>2184</v>
      </c>
      <c r="B745" s="16" t="s">
        <v>244</v>
      </c>
      <c r="C745" s="16" t="s">
        <v>2185</v>
      </c>
      <c r="D745" s="16" t="s">
        <v>167</v>
      </c>
      <c r="E745" s="16" t="s">
        <v>530</v>
      </c>
      <c r="F745" s="26" t="n">
        <v>5395000</v>
      </c>
      <c r="G745" s="25" t="n">
        <v>100</v>
      </c>
      <c r="H745" s="22" t="n">
        <v>46178</v>
      </c>
      <c r="I745" s="22" t="n">
        <v>46264</v>
      </c>
      <c r="J745" s="22" t="n">
        <v>46264</v>
      </c>
      <c r="K745" s="16" t="s">
        <v>591</v>
      </c>
      <c r="L745" s="16" t="s">
        <v>568</v>
      </c>
      <c r="M745" s="16"/>
      <c r="N745" s="16"/>
      <c r="O745" s="7" t="n">
        <f aca="false">IF(OR(E745="Closed Won",E745="Closed Lost"),0,1)</f>
        <v>0</v>
      </c>
      <c r="P745" s="17" t="str">
        <f aca="false">INDEX(Accounts!$K$5:$K$336,MATCH(B745,Accounts!$A$5:$A$336,0))</f>
        <v>Financial Services</v>
      </c>
      <c r="Q745" s="17" t="str">
        <f aca="false">INDEX(Accounts!$D$5:$D$336,MATCH(B745,Accounts!$A$5:$A$336,0))</f>
        <v>Key</v>
      </c>
      <c r="R745" s="7" t="n">
        <f aca="false">INDEX(Inputs!$B$11:$B$16,MATCH(E745,Inputs!$A$11:$A$16,0))</f>
        <v>100</v>
      </c>
      <c r="S745" s="27" t="n">
        <f aca="false">IF(F745="",0,F745)*R745/100</f>
        <v>5395000</v>
      </c>
      <c r="T745" s="7" t="n">
        <f aca="false">Inputs!$B$4-J745</f>
        <v>50</v>
      </c>
      <c r="U745" s="7" t="n">
        <f aca="false">IF(OR(F745="",F745=0),1,0)</f>
        <v>0</v>
      </c>
      <c r="V745" s="7" t="n">
        <f aca="false">IF(K745="",1,0)</f>
        <v>0</v>
      </c>
      <c r="W745" s="7" t="n">
        <f aca="false">IF(AND(O745=1,K745&lt;&gt;"",COUNTIFS(Owners!$A$5:$A$32,K745,Owners!$E$5:$E$32,"No")&gt;0),1,0)</f>
        <v>0</v>
      </c>
      <c r="X745" s="7" t="n">
        <f aca="false">IF(AND(O745=1,I745&lt;Inputs!$B$4),1,0)</f>
        <v>0</v>
      </c>
      <c r="Y745" s="7" t="n">
        <f aca="false">IF(AND(O745=1,T745&gt;Inputs!$B$5),1,0)</f>
        <v>0</v>
      </c>
      <c r="Z745" s="7" t="n">
        <f aca="false">IF(AND(O745=1,G745&lt;&gt;R745),1,0)</f>
        <v>0</v>
      </c>
      <c r="AA745" s="7" t="n">
        <f aca="false">IF(AND(O745=1,M745=""),1,0)</f>
        <v>0</v>
      </c>
      <c r="AB745" s="7" t="n">
        <f aca="false">IF(AND(E745="Closed Lost",N745=""),1,0)</f>
        <v>0</v>
      </c>
      <c r="AC745" s="7" t="n">
        <f aca="false">SUM(U745:AB745)</f>
        <v>0</v>
      </c>
      <c r="AD745" s="7" t="n">
        <f aca="false">IF(AC745=0,1,0)</f>
        <v>1</v>
      </c>
      <c r="AE745" s="7" t="n">
        <f aca="false">IF(AND(O745=1,I745&gt;=Inputs!$B$6,I745&lt;=Inputs!$B$7),1,0)</f>
        <v>0</v>
      </c>
      <c r="AF745" s="7" t="n">
        <f aca="false">IF(AND(E745="Closed Won",I745&gt;=Inputs!$B$6,I745&lt;=Inputs!$B$4),1,0)</f>
        <v>1</v>
      </c>
      <c r="AG745" s="7" t="n">
        <f aca="false">IF(AND(O745=0,I745&gt;Inputs!$B$4-Inputs!$B$8,I745&lt;=Inputs!$B$4),1,0)</f>
        <v>1</v>
      </c>
      <c r="AH745" s="7" t="n">
        <f aca="false">I745-H745</f>
        <v>86</v>
      </c>
    </row>
    <row r="746" customFormat="false" ht="15" hidden="false" customHeight="false" outlineLevel="0" collapsed="false">
      <c r="A746" s="16" t="s">
        <v>2186</v>
      </c>
      <c r="B746" s="16" t="s">
        <v>59</v>
      </c>
      <c r="C746" s="16" t="s">
        <v>2187</v>
      </c>
      <c r="D746" s="16" t="s">
        <v>162</v>
      </c>
      <c r="E746" s="16" t="s">
        <v>531</v>
      </c>
      <c r="F746" s="26"/>
      <c r="G746" s="25" t="n">
        <v>0</v>
      </c>
      <c r="H746" s="22" t="n">
        <v>46130</v>
      </c>
      <c r="I746" s="22" t="n">
        <v>46218</v>
      </c>
      <c r="J746" s="22" t="n">
        <v>46218</v>
      </c>
      <c r="K746" s="16" t="s">
        <v>640</v>
      </c>
      <c r="L746" s="16" t="s">
        <v>584</v>
      </c>
      <c r="M746" s="16"/>
      <c r="N746" s="16" t="s">
        <v>722</v>
      </c>
      <c r="O746" s="7" t="n">
        <f aca="false">IF(OR(E746="Closed Won",E746="Closed Lost"),0,1)</f>
        <v>0</v>
      </c>
      <c r="P746" s="17" t="str">
        <f aca="false">INDEX(Accounts!$K$5:$K$336,MATCH(B746,Accounts!$A$5:$A$336,0))</f>
        <v>Financial Services</v>
      </c>
      <c r="Q746" s="17" t="str">
        <f aca="false">INDEX(Accounts!$D$5:$D$336,MATCH(B746,Accounts!$A$5:$A$336,0))</f>
        <v>Priority</v>
      </c>
      <c r="R746" s="7" t="n">
        <f aca="false">INDEX(Inputs!$B$11:$B$16,MATCH(E746,Inputs!$A$11:$A$16,0))</f>
        <v>0</v>
      </c>
      <c r="S746" s="27" t="n">
        <f aca="false">IF(F746="",0,F746)*R746/100</f>
        <v>0</v>
      </c>
      <c r="T746" s="7" t="n">
        <f aca="false">Inputs!$B$4-J746</f>
        <v>96</v>
      </c>
      <c r="U746" s="7" t="n">
        <f aca="false">IF(OR(F746="",F746=0),1,0)</f>
        <v>1</v>
      </c>
      <c r="V746" s="7" t="n">
        <f aca="false">IF(K746="",1,0)</f>
        <v>0</v>
      </c>
      <c r="W746" s="7" t="n">
        <f aca="false">IF(AND(O746=1,K746&lt;&gt;"",COUNTIFS(Owners!$A$5:$A$32,K746,Owners!$E$5:$E$32,"No")&gt;0),1,0)</f>
        <v>0</v>
      </c>
      <c r="X746" s="7" t="n">
        <f aca="false">IF(AND(O746=1,I746&lt;Inputs!$B$4),1,0)</f>
        <v>0</v>
      </c>
      <c r="Y746" s="7" t="n">
        <f aca="false">IF(AND(O746=1,T746&gt;Inputs!$B$5),1,0)</f>
        <v>0</v>
      </c>
      <c r="Z746" s="7" t="n">
        <f aca="false">IF(AND(O746=1,G746&lt;&gt;R746),1,0)</f>
        <v>0</v>
      </c>
      <c r="AA746" s="7" t="n">
        <f aca="false">IF(AND(O746=1,M746=""),1,0)</f>
        <v>0</v>
      </c>
      <c r="AB746" s="7" t="n">
        <f aca="false">IF(AND(E746="Closed Lost",N746=""),1,0)</f>
        <v>0</v>
      </c>
      <c r="AC746" s="7" t="n">
        <f aca="false">SUM(U746:AB746)</f>
        <v>1</v>
      </c>
      <c r="AD746" s="7" t="n">
        <f aca="false">IF(AC746=0,1,0)</f>
        <v>0</v>
      </c>
      <c r="AE746" s="7" t="n">
        <f aca="false">IF(AND(O746=1,I746&gt;=Inputs!$B$6,I746&lt;=Inputs!$B$7),1,0)</f>
        <v>0</v>
      </c>
      <c r="AF746" s="7" t="n">
        <f aca="false">IF(AND(E746="Closed Won",I746&gt;=Inputs!$B$6,I746&lt;=Inputs!$B$4),1,0)</f>
        <v>0</v>
      </c>
      <c r="AG746" s="7" t="n">
        <f aca="false">IF(AND(O746=0,I746&gt;Inputs!$B$4-Inputs!$B$8,I746&lt;=Inputs!$B$4),1,0)</f>
        <v>1</v>
      </c>
      <c r="AH746" s="7" t="n">
        <f aca="false">I746-H746</f>
        <v>88</v>
      </c>
    </row>
    <row r="747" customFormat="false" ht="15" hidden="false" customHeight="false" outlineLevel="0" collapsed="false">
      <c r="A747" s="16" t="s">
        <v>2188</v>
      </c>
      <c r="B747" s="16" t="s">
        <v>83</v>
      </c>
      <c r="C747" s="16" t="s">
        <v>2189</v>
      </c>
      <c r="D747" s="16" t="s">
        <v>167</v>
      </c>
      <c r="E747" s="16" t="s">
        <v>526</v>
      </c>
      <c r="F747" s="26" t="n">
        <v>4157000</v>
      </c>
      <c r="G747" s="25" t="n">
        <v>10</v>
      </c>
      <c r="H747" s="22" t="n">
        <v>46272</v>
      </c>
      <c r="I747" s="22" t="n">
        <v>46561</v>
      </c>
      <c r="J747" s="22" t="n">
        <v>46279</v>
      </c>
      <c r="K747" s="16"/>
      <c r="L747" s="16" t="s">
        <v>584</v>
      </c>
      <c r="M747" s="16" t="s">
        <v>569</v>
      </c>
      <c r="N747" s="16"/>
      <c r="O747" s="7" t="n">
        <f aca="false">IF(OR(E747="Closed Won",E747="Closed Lost"),0,1)</f>
        <v>1</v>
      </c>
      <c r="P747" s="17" t="str">
        <f aca="false">INDEX(Accounts!$K$5:$K$336,MATCH(B747,Accounts!$A$5:$A$336,0))</f>
        <v>Agribusiness</v>
      </c>
      <c r="Q747" s="17" t="str">
        <f aca="false">INDEX(Accounts!$D$5:$D$336,MATCH(B747,Accounts!$A$5:$A$336,0))</f>
        <v>Priority</v>
      </c>
      <c r="R747" s="7" t="n">
        <f aca="false">INDEX(Inputs!$B$11:$B$16,MATCH(E747,Inputs!$A$11:$A$16,0))</f>
        <v>10</v>
      </c>
      <c r="S747" s="27" t="n">
        <f aca="false">IF(F747="",0,F747)*R747/100</f>
        <v>415700</v>
      </c>
      <c r="T747" s="7" t="n">
        <f aca="false">Inputs!$B$4-J747</f>
        <v>35</v>
      </c>
      <c r="U747" s="7" t="n">
        <f aca="false">IF(OR(F747="",F747=0),1,0)</f>
        <v>0</v>
      </c>
      <c r="V747" s="7" t="n">
        <f aca="false">IF(K747="",1,0)</f>
        <v>1</v>
      </c>
      <c r="W747" s="7" t="n">
        <f aca="false">IF(AND(O747=1,K747&lt;&gt;"",COUNTIFS(Owners!$A$5:$A$32,K747,Owners!$E$5:$E$32,"No")&gt;0),1,0)</f>
        <v>0</v>
      </c>
      <c r="X747" s="7" t="n">
        <f aca="false">IF(AND(O747=1,I747&lt;Inputs!$B$4),1,0)</f>
        <v>0</v>
      </c>
      <c r="Y747" s="7" t="n">
        <f aca="false">IF(AND(O747=1,T747&gt;Inputs!$B$5),1,0)</f>
        <v>0</v>
      </c>
      <c r="Z747" s="7" t="n">
        <f aca="false">IF(AND(O747=1,G747&lt;&gt;R747),1,0)</f>
        <v>0</v>
      </c>
      <c r="AA747" s="7" t="n">
        <f aca="false">IF(AND(O747=1,M747=""),1,0)</f>
        <v>0</v>
      </c>
      <c r="AB747" s="7" t="n">
        <f aca="false">IF(AND(E747="Closed Lost",N747=""),1,0)</f>
        <v>0</v>
      </c>
      <c r="AC747" s="7" t="n">
        <f aca="false">SUM(U747:AB747)</f>
        <v>1</v>
      </c>
      <c r="AD747" s="7" t="n">
        <f aca="false">IF(AC747=0,1,0)</f>
        <v>0</v>
      </c>
      <c r="AE747" s="7" t="n">
        <f aca="false">IF(AND(O747=1,I747&gt;=Inputs!$B$6,I747&lt;=Inputs!$B$7),1,0)</f>
        <v>1</v>
      </c>
      <c r="AF747" s="7" t="n">
        <f aca="false">IF(AND(E747="Closed Won",I747&gt;=Inputs!$B$6,I747&lt;=Inputs!$B$4),1,0)</f>
        <v>0</v>
      </c>
      <c r="AG747" s="7" t="n">
        <f aca="false">IF(AND(O747=0,I747&gt;Inputs!$B$4-Inputs!$B$8,I747&lt;=Inputs!$B$4),1,0)</f>
        <v>0</v>
      </c>
      <c r="AH747" s="7" t="n">
        <f aca="false">I747-H747</f>
        <v>289</v>
      </c>
    </row>
    <row r="748" customFormat="false" ht="15" hidden="false" customHeight="false" outlineLevel="0" collapsed="false">
      <c r="A748" s="16" t="s">
        <v>2190</v>
      </c>
      <c r="B748" s="16" t="s">
        <v>1686</v>
      </c>
      <c r="C748" s="16" t="s">
        <v>2191</v>
      </c>
      <c r="D748" s="16" t="s">
        <v>167</v>
      </c>
      <c r="E748" s="16" t="s">
        <v>530</v>
      </c>
      <c r="F748" s="26" t="n">
        <v>9787000</v>
      </c>
      <c r="G748" s="25" t="n">
        <v>100</v>
      </c>
      <c r="H748" s="22" t="n">
        <v>45952</v>
      </c>
      <c r="I748" s="22" t="n">
        <v>46145</v>
      </c>
      <c r="J748" s="22" t="n">
        <v>46145</v>
      </c>
      <c r="K748" s="16" t="s">
        <v>765</v>
      </c>
      <c r="L748" s="16" t="s">
        <v>568</v>
      </c>
      <c r="M748" s="16"/>
      <c r="N748" s="16"/>
      <c r="O748" s="7" t="n">
        <f aca="false">IF(OR(E748="Closed Won",E748="Closed Lost"),0,1)</f>
        <v>0</v>
      </c>
      <c r="P748" s="17" t="str">
        <f aca="false">INDEX(Accounts!$K$5:$K$336,MATCH(B748,Accounts!$A$5:$A$336,0))</f>
        <v>Financial Services</v>
      </c>
      <c r="Q748" s="17" t="str">
        <f aca="false">INDEX(Accounts!$D$5:$D$336,MATCH(B748,Accounts!$A$5:$A$336,0))</f>
        <v>Standard</v>
      </c>
      <c r="R748" s="7" t="n">
        <f aca="false">INDEX(Inputs!$B$11:$B$16,MATCH(E748,Inputs!$A$11:$A$16,0))</f>
        <v>100</v>
      </c>
      <c r="S748" s="27" t="n">
        <f aca="false">IF(F748="",0,F748)*R748/100</f>
        <v>9787000</v>
      </c>
      <c r="T748" s="7" t="n">
        <f aca="false">Inputs!$B$4-J748</f>
        <v>169</v>
      </c>
      <c r="U748" s="7" t="n">
        <f aca="false">IF(OR(F748="",F748=0),1,0)</f>
        <v>0</v>
      </c>
      <c r="V748" s="7" t="n">
        <f aca="false">IF(K748="",1,0)</f>
        <v>0</v>
      </c>
      <c r="W748" s="7" t="n">
        <f aca="false">IF(AND(O748=1,K748&lt;&gt;"",COUNTIFS(Owners!$A$5:$A$32,K748,Owners!$E$5:$E$32,"No")&gt;0),1,0)</f>
        <v>0</v>
      </c>
      <c r="X748" s="7" t="n">
        <f aca="false">IF(AND(O748=1,I748&lt;Inputs!$B$4),1,0)</f>
        <v>0</v>
      </c>
      <c r="Y748" s="7" t="n">
        <f aca="false">IF(AND(O748=1,T748&gt;Inputs!$B$5),1,0)</f>
        <v>0</v>
      </c>
      <c r="Z748" s="7" t="n">
        <f aca="false">IF(AND(O748=1,G748&lt;&gt;R748),1,0)</f>
        <v>0</v>
      </c>
      <c r="AA748" s="7" t="n">
        <f aca="false">IF(AND(O748=1,M748=""),1,0)</f>
        <v>0</v>
      </c>
      <c r="AB748" s="7" t="n">
        <f aca="false">IF(AND(E748="Closed Lost",N748=""),1,0)</f>
        <v>0</v>
      </c>
      <c r="AC748" s="7" t="n">
        <f aca="false">SUM(U748:AB748)</f>
        <v>0</v>
      </c>
      <c r="AD748" s="7" t="n">
        <f aca="false">IF(AC748=0,1,0)</f>
        <v>1</v>
      </c>
      <c r="AE748" s="7" t="n">
        <f aca="false">IF(AND(O748=1,I748&gt;=Inputs!$B$6,I748&lt;=Inputs!$B$7),1,0)</f>
        <v>0</v>
      </c>
      <c r="AF748" s="7" t="n">
        <f aca="false">IF(AND(E748="Closed Won",I748&gt;=Inputs!$B$6,I748&lt;=Inputs!$B$4),1,0)</f>
        <v>0</v>
      </c>
      <c r="AG748" s="7" t="n">
        <f aca="false">IF(AND(O748=0,I748&gt;Inputs!$B$4-Inputs!$B$8,I748&lt;=Inputs!$B$4),1,0)</f>
        <v>1</v>
      </c>
      <c r="AH748" s="7" t="n">
        <f aca="false">I748-H748</f>
        <v>193</v>
      </c>
    </row>
    <row r="749" customFormat="false" ht="15" hidden="false" customHeight="false" outlineLevel="0" collapsed="false">
      <c r="A749" s="16" t="s">
        <v>2192</v>
      </c>
      <c r="B749" s="16" t="s">
        <v>699</v>
      </c>
      <c r="C749" s="16" t="s">
        <v>2193</v>
      </c>
      <c r="D749" s="16" t="s">
        <v>162</v>
      </c>
      <c r="E749" s="16" t="s">
        <v>531</v>
      </c>
      <c r="F749" s="26" t="n">
        <v>6322000</v>
      </c>
      <c r="G749" s="25" t="n">
        <v>0</v>
      </c>
      <c r="H749" s="22" t="n">
        <v>45997</v>
      </c>
      <c r="I749" s="22" t="n">
        <v>46152</v>
      </c>
      <c r="J749" s="22" t="n">
        <v>46152</v>
      </c>
      <c r="K749" s="16" t="s">
        <v>677</v>
      </c>
      <c r="L749" s="16" t="s">
        <v>584</v>
      </c>
      <c r="M749" s="16"/>
      <c r="N749" s="16" t="s">
        <v>697</v>
      </c>
      <c r="O749" s="7" t="n">
        <f aca="false">IF(OR(E749="Closed Won",E749="Closed Lost"),0,1)</f>
        <v>0</v>
      </c>
      <c r="P749" s="17" t="str">
        <f aca="false">INDEX(Accounts!$K$5:$K$336,MATCH(B749,Accounts!$A$5:$A$336,0))</f>
        <v>Financial Services</v>
      </c>
      <c r="Q749" s="17" t="str">
        <f aca="false">INDEX(Accounts!$D$5:$D$336,MATCH(B749,Accounts!$A$5:$A$336,0))</f>
        <v>Standard</v>
      </c>
      <c r="R749" s="7" t="n">
        <f aca="false">INDEX(Inputs!$B$11:$B$16,MATCH(E749,Inputs!$A$11:$A$16,0))</f>
        <v>0</v>
      </c>
      <c r="S749" s="27" t="n">
        <f aca="false">IF(F749="",0,F749)*R749/100</f>
        <v>0</v>
      </c>
      <c r="T749" s="7" t="n">
        <f aca="false">Inputs!$B$4-J749</f>
        <v>162</v>
      </c>
      <c r="U749" s="7" t="n">
        <f aca="false">IF(OR(F749="",F749=0),1,0)</f>
        <v>0</v>
      </c>
      <c r="V749" s="7" t="n">
        <f aca="false">IF(K749="",1,0)</f>
        <v>0</v>
      </c>
      <c r="W749" s="7" t="n">
        <f aca="false">IF(AND(O749=1,K749&lt;&gt;"",COUNTIFS(Owners!$A$5:$A$32,K749,Owners!$E$5:$E$32,"No")&gt;0),1,0)</f>
        <v>0</v>
      </c>
      <c r="X749" s="7" t="n">
        <f aca="false">IF(AND(O749=1,I749&lt;Inputs!$B$4),1,0)</f>
        <v>0</v>
      </c>
      <c r="Y749" s="7" t="n">
        <f aca="false">IF(AND(O749=1,T749&gt;Inputs!$B$5),1,0)</f>
        <v>0</v>
      </c>
      <c r="Z749" s="7" t="n">
        <f aca="false">IF(AND(O749=1,G749&lt;&gt;R749),1,0)</f>
        <v>0</v>
      </c>
      <c r="AA749" s="7" t="n">
        <f aca="false">IF(AND(O749=1,M749=""),1,0)</f>
        <v>0</v>
      </c>
      <c r="AB749" s="7" t="n">
        <f aca="false">IF(AND(E749="Closed Lost",N749=""),1,0)</f>
        <v>0</v>
      </c>
      <c r="AC749" s="7" t="n">
        <f aca="false">SUM(U749:AB749)</f>
        <v>0</v>
      </c>
      <c r="AD749" s="7" t="n">
        <f aca="false">IF(AC749=0,1,0)</f>
        <v>1</v>
      </c>
      <c r="AE749" s="7" t="n">
        <f aca="false">IF(AND(O749=1,I749&gt;=Inputs!$B$6,I749&lt;=Inputs!$B$7),1,0)</f>
        <v>0</v>
      </c>
      <c r="AF749" s="7" t="n">
        <f aca="false">IF(AND(E749="Closed Won",I749&gt;=Inputs!$B$6,I749&lt;=Inputs!$B$4),1,0)</f>
        <v>0</v>
      </c>
      <c r="AG749" s="7" t="n">
        <f aca="false">IF(AND(O749=0,I749&gt;Inputs!$B$4-Inputs!$B$8,I749&lt;=Inputs!$B$4),1,0)</f>
        <v>1</v>
      </c>
      <c r="AH749" s="7" t="n">
        <f aca="false">I749-H749</f>
        <v>155</v>
      </c>
    </row>
    <row r="750" customFormat="false" ht="15" hidden="false" customHeight="false" outlineLevel="0" collapsed="false">
      <c r="A750" s="16" t="s">
        <v>2194</v>
      </c>
      <c r="B750" s="16" t="s">
        <v>709</v>
      </c>
      <c r="C750" s="16" t="s">
        <v>1101</v>
      </c>
      <c r="D750" s="16" t="s">
        <v>165</v>
      </c>
      <c r="E750" s="16" t="s">
        <v>530</v>
      </c>
      <c r="F750" s="26" t="n">
        <v>83009000</v>
      </c>
      <c r="G750" s="25" t="n">
        <v>100</v>
      </c>
      <c r="H750" s="22" t="n">
        <v>46010</v>
      </c>
      <c r="I750" s="22" t="n">
        <v>46091</v>
      </c>
      <c r="J750" s="22" t="n">
        <v>46091</v>
      </c>
      <c r="K750" s="16" t="s">
        <v>600</v>
      </c>
      <c r="L750" s="16" t="s">
        <v>568</v>
      </c>
      <c r="M750" s="16"/>
      <c r="N750" s="16"/>
      <c r="O750" s="7" t="n">
        <f aca="false">IF(OR(E750="Closed Won",E750="Closed Lost"),0,1)</f>
        <v>0</v>
      </c>
      <c r="P750" s="17" t="str">
        <f aca="false">INDEX(Accounts!$K$5:$K$336,MATCH(B750,Accounts!$A$5:$A$336,0))</f>
        <v>Health</v>
      </c>
      <c r="Q750" s="17" t="str">
        <f aca="false">INDEX(Accounts!$D$5:$D$336,MATCH(B750,Accounts!$A$5:$A$336,0))</f>
        <v>Key</v>
      </c>
      <c r="R750" s="7" t="n">
        <f aca="false">INDEX(Inputs!$B$11:$B$16,MATCH(E750,Inputs!$A$11:$A$16,0))</f>
        <v>100</v>
      </c>
      <c r="S750" s="27" t="n">
        <f aca="false">IF(F750="",0,F750)*R750/100</f>
        <v>83009000</v>
      </c>
      <c r="T750" s="7" t="n">
        <f aca="false">Inputs!$B$4-J750</f>
        <v>223</v>
      </c>
      <c r="U750" s="7" t="n">
        <f aca="false">IF(OR(F750="",F750=0),1,0)</f>
        <v>0</v>
      </c>
      <c r="V750" s="7" t="n">
        <f aca="false">IF(K750="",1,0)</f>
        <v>0</v>
      </c>
      <c r="W750" s="7" t="n">
        <f aca="false">IF(AND(O750=1,K750&lt;&gt;"",COUNTIFS(Owners!$A$5:$A$32,K750,Owners!$E$5:$E$32,"No")&gt;0),1,0)</f>
        <v>0</v>
      </c>
      <c r="X750" s="7" t="n">
        <f aca="false">IF(AND(O750=1,I750&lt;Inputs!$B$4),1,0)</f>
        <v>0</v>
      </c>
      <c r="Y750" s="7" t="n">
        <f aca="false">IF(AND(O750=1,T750&gt;Inputs!$B$5),1,0)</f>
        <v>0</v>
      </c>
      <c r="Z750" s="7" t="n">
        <f aca="false">IF(AND(O750=1,G750&lt;&gt;R750),1,0)</f>
        <v>0</v>
      </c>
      <c r="AA750" s="7" t="n">
        <f aca="false">IF(AND(O750=1,M750=""),1,0)</f>
        <v>0</v>
      </c>
      <c r="AB750" s="7" t="n">
        <f aca="false">IF(AND(E750="Closed Lost",N750=""),1,0)</f>
        <v>0</v>
      </c>
      <c r="AC750" s="7" t="n">
        <f aca="false">SUM(U750:AB750)</f>
        <v>0</v>
      </c>
      <c r="AD750" s="7" t="n">
        <f aca="false">IF(AC750=0,1,0)</f>
        <v>1</v>
      </c>
      <c r="AE750" s="7" t="n">
        <f aca="false">IF(AND(O750=1,I750&gt;=Inputs!$B$6,I750&lt;=Inputs!$B$7),1,0)</f>
        <v>0</v>
      </c>
      <c r="AF750" s="7" t="n">
        <f aca="false">IF(AND(E750="Closed Won",I750&gt;=Inputs!$B$6,I750&lt;=Inputs!$B$4),1,0)</f>
        <v>0</v>
      </c>
      <c r="AG750" s="7" t="n">
        <f aca="false">IF(AND(O750=0,I750&gt;Inputs!$B$4-Inputs!$B$8,I750&lt;=Inputs!$B$4),1,0)</f>
        <v>1</v>
      </c>
      <c r="AH750" s="7" t="n">
        <f aca="false">I750-H750</f>
        <v>81</v>
      </c>
    </row>
    <row r="751" customFormat="false" ht="15" hidden="false" customHeight="false" outlineLevel="0" collapsed="false">
      <c r="A751" s="16" t="s">
        <v>2195</v>
      </c>
      <c r="B751" s="16" t="s">
        <v>1612</v>
      </c>
      <c r="C751" s="16" t="s">
        <v>2196</v>
      </c>
      <c r="D751" s="16" t="s">
        <v>162</v>
      </c>
      <c r="E751" s="16" t="s">
        <v>528</v>
      </c>
      <c r="F751" s="26" t="n">
        <v>8194000</v>
      </c>
      <c r="G751" s="25" t="n">
        <v>50</v>
      </c>
      <c r="H751" s="22" t="n">
        <v>46247</v>
      </c>
      <c r="I751" s="22" t="n">
        <v>46316</v>
      </c>
      <c r="J751" s="22" t="n">
        <v>46286</v>
      </c>
      <c r="K751" s="16" t="s">
        <v>640</v>
      </c>
      <c r="L751" s="16" t="s">
        <v>574</v>
      </c>
      <c r="M751" s="16" t="s">
        <v>601</v>
      </c>
      <c r="N751" s="16"/>
      <c r="O751" s="7" t="n">
        <f aca="false">IF(OR(E751="Closed Won",E751="Closed Lost"),0,1)</f>
        <v>1</v>
      </c>
      <c r="P751" s="17" t="str">
        <f aca="false">INDEX(Accounts!$K$5:$K$336,MATCH(B751,Accounts!$A$5:$A$336,0))</f>
        <v>Financial Services</v>
      </c>
      <c r="Q751" s="17" t="str">
        <f aca="false">INDEX(Accounts!$D$5:$D$336,MATCH(B751,Accounts!$A$5:$A$336,0))</f>
        <v>Standard</v>
      </c>
      <c r="R751" s="7" t="n">
        <f aca="false">INDEX(Inputs!$B$11:$B$16,MATCH(E751,Inputs!$A$11:$A$16,0))</f>
        <v>50</v>
      </c>
      <c r="S751" s="27" t="n">
        <f aca="false">IF(F751="",0,F751)*R751/100</f>
        <v>4097000</v>
      </c>
      <c r="T751" s="7" t="n">
        <f aca="false">Inputs!$B$4-J751</f>
        <v>28</v>
      </c>
      <c r="U751" s="7" t="n">
        <f aca="false">IF(OR(F751="",F751=0),1,0)</f>
        <v>0</v>
      </c>
      <c r="V751" s="7" t="n">
        <f aca="false">IF(K751="",1,0)</f>
        <v>0</v>
      </c>
      <c r="W751" s="7" t="n">
        <f aca="false">IF(AND(O751=1,K751&lt;&gt;"",COUNTIFS(Owners!$A$5:$A$32,K751,Owners!$E$5:$E$32,"No")&gt;0),1,0)</f>
        <v>0</v>
      </c>
      <c r="X751" s="7" t="n">
        <f aca="false">IF(AND(O751=1,I751&lt;Inputs!$B$4),1,0)</f>
        <v>0</v>
      </c>
      <c r="Y751" s="7" t="n">
        <f aca="false">IF(AND(O751=1,T751&gt;Inputs!$B$5),1,0)</f>
        <v>0</v>
      </c>
      <c r="Z751" s="7" t="n">
        <f aca="false">IF(AND(O751=1,G751&lt;&gt;R751),1,0)</f>
        <v>0</v>
      </c>
      <c r="AA751" s="7" t="n">
        <f aca="false">IF(AND(O751=1,M751=""),1,0)</f>
        <v>0</v>
      </c>
      <c r="AB751" s="7" t="n">
        <f aca="false">IF(AND(E751="Closed Lost",N751=""),1,0)</f>
        <v>0</v>
      </c>
      <c r="AC751" s="7" t="n">
        <f aca="false">SUM(U751:AB751)</f>
        <v>0</v>
      </c>
      <c r="AD751" s="7" t="n">
        <f aca="false">IF(AC751=0,1,0)</f>
        <v>1</v>
      </c>
      <c r="AE751" s="7" t="n">
        <f aca="false">IF(AND(O751=1,I751&gt;=Inputs!$B$6,I751&lt;=Inputs!$B$7),1,0)</f>
        <v>1</v>
      </c>
      <c r="AF751" s="7" t="n">
        <f aca="false">IF(AND(E751="Closed Won",I751&gt;=Inputs!$B$6,I751&lt;=Inputs!$B$4),1,0)</f>
        <v>0</v>
      </c>
      <c r="AG751" s="7" t="n">
        <f aca="false">IF(AND(O751=0,I751&gt;Inputs!$B$4-Inputs!$B$8,I751&lt;=Inputs!$B$4),1,0)</f>
        <v>0</v>
      </c>
      <c r="AH751" s="7" t="n">
        <f aca="false">I751-H751</f>
        <v>69</v>
      </c>
    </row>
    <row r="752" customFormat="false" ht="15" hidden="false" customHeight="false" outlineLevel="0" collapsed="false">
      <c r="A752" s="16" t="s">
        <v>2197</v>
      </c>
      <c r="B752" s="16" t="s">
        <v>84</v>
      </c>
      <c r="C752" s="16" t="s">
        <v>2198</v>
      </c>
      <c r="D752" s="16" t="s">
        <v>158</v>
      </c>
      <c r="E752" s="16" t="s">
        <v>526</v>
      </c>
      <c r="F752" s="26"/>
      <c r="G752" s="25" t="n">
        <v>10</v>
      </c>
      <c r="H752" s="22" t="n">
        <v>46199</v>
      </c>
      <c r="I752" s="22" t="n">
        <v>46546</v>
      </c>
      <c r="J752" s="22" t="n">
        <v>46287</v>
      </c>
      <c r="K752" s="16" t="s">
        <v>633</v>
      </c>
      <c r="L752" s="16" t="s">
        <v>584</v>
      </c>
      <c r="M752" s="16" t="s">
        <v>619</v>
      </c>
      <c r="N752" s="16"/>
      <c r="O752" s="7" t="n">
        <f aca="false">IF(OR(E752="Closed Won",E752="Closed Lost"),0,1)</f>
        <v>1</v>
      </c>
      <c r="P752" s="17" t="str">
        <f aca="false">INDEX(Accounts!$K$5:$K$336,MATCH(B752,Accounts!$A$5:$A$336,0))</f>
        <v>Consumer &amp; Retail</v>
      </c>
      <c r="Q752" s="17" t="str">
        <f aca="false">INDEX(Accounts!$D$5:$D$336,MATCH(B752,Accounts!$A$5:$A$336,0))</f>
        <v>Priority</v>
      </c>
      <c r="R752" s="7" t="n">
        <f aca="false">INDEX(Inputs!$B$11:$B$16,MATCH(E752,Inputs!$A$11:$A$16,0))</f>
        <v>10</v>
      </c>
      <c r="S752" s="27" t="n">
        <f aca="false">IF(F752="",0,F752)*R752/100</f>
        <v>0</v>
      </c>
      <c r="T752" s="7" t="n">
        <f aca="false">Inputs!$B$4-J752</f>
        <v>27</v>
      </c>
      <c r="U752" s="7" t="n">
        <f aca="false">IF(OR(F752="",F752=0),1,0)</f>
        <v>1</v>
      </c>
      <c r="V752" s="7" t="n">
        <f aca="false">IF(K752="",1,0)</f>
        <v>0</v>
      </c>
      <c r="W752" s="7" t="n">
        <f aca="false">IF(AND(O752=1,K752&lt;&gt;"",COUNTIFS(Owners!$A$5:$A$32,K752,Owners!$E$5:$E$32,"No")&gt;0),1,0)</f>
        <v>0</v>
      </c>
      <c r="X752" s="7" t="n">
        <f aca="false">IF(AND(O752=1,I752&lt;Inputs!$B$4),1,0)</f>
        <v>0</v>
      </c>
      <c r="Y752" s="7" t="n">
        <f aca="false">IF(AND(O752=1,T752&gt;Inputs!$B$5),1,0)</f>
        <v>0</v>
      </c>
      <c r="Z752" s="7" t="n">
        <f aca="false">IF(AND(O752=1,G752&lt;&gt;R752),1,0)</f>
        <v>0</v>
      </c>
      <c r="AA752" s="7" t="n">
        <f aca="false">IF(AND(O752=1,M752=""),1,0)</f>
        <v>0</v>
      </c>
      <c r="AB752" s="7" t="n">
        <f aca="false">IF(AND(E752="Closed Lost",N752=""),1,0)</f>
        <v>0</v>
      </c>
      <c r="AC752" s="7" t="n">
        <f aca="false">SUM(U752:AB752)</f>
        <v>1</v>
      </c>
      <c r="AD752" s="7" t="n">
        <f aca="false">IF(AC752=0,1,0)</f>
        <v>0</v>
      </c>
      <c r="AE752" s="7" t="n">
        <f aca="false">IF(AND(O752=1,I752&gt;=Inputs!$B$6,I752&lt;=Inputs!$B$7),1,0)</f>
        <v>1</v>
      </c>
      <c r="AF752" s="7" t="n">
        <f aca="false">IF(AND(E752="Closed Won",I752&gt;=Inputs!$B$6,I752&lt;=Inputs!$B$4),1,0)</f>
        <v>0</v>
      </c>
      <c r="AG752" s="7" t="n">
        <f aca="false">IF(AND(O752=0,I752&gt;Inputs!$B$4-Inputs!$B$8,I752&lt;=Inputs!$B$4),1,0)</f>
        <v>0</v>
      </c>
      <c r="AH752" s="7" t="n">
        <f aca="false">I752-H752</f>
        <v>347</v>
      </c>
    </row>
    <row r="753" customFormat="false" ht="15" hidden="false" customHeight="false" outlineLevel="0" collapsed="false">
      <c r="A753" s="16" t="s">
        <v>2199</v>
      </c>
      <c r="B753" s="16" t="s">
        <v>1503</v>
      </c>
      <c r="C753" s="16" t="s">
        <v>2200</v>
      </c>
      <c r="D753" s="16" t="s">
        <v>162</v>
      </c>
      <c r="E753" s="16" t="s">
        <v>531</v>
      </c>
      <c r="F753" s="26" t="n">
        <v>13328000</v>
      </c>
      <c r="G753" s="25" t="n">
        <v>0</v>
      </c>
      <c r="H753" s="22" t="n">
        <v>45900</v>
      </c>
      <c r="I753" s="22" t="n">
        <v>46016</v>
      </c>
      <c r="J753" s="22" t="n">
        <v>46016</v>
      </c>
      <c r="K753" s="16" t="s">
        <v>860</v>
      </c>
      <c r="L753" s="16" t="s">
        <v>568</v>
      </c>
      <c r="M753" s="16"/>
      <c r="N753" s="16"/>
      <c r="O753" s="7" t="n">
        <f aca="false">IF(OR(E753="Closed Won",E753="Closed Lost"),0,1)</f>
        <v>0</v>
      </c>
      <c r="P753" s="17" t="str">
        <f aca="false">INDEX(Accounts!$K$5:$K$336,MATCH(B753,Accounts!$A$5:$A$336,0))</f>
        <v>Financial Services</v>
      </c>
      <c r="Q753" s="17" t="str">
        <f aca="false">INDEX(Accounts!$D$5:$D$336,MATCH(B753,Accounts!$A$5:$A$336,0))</f>
        <v>Standard</v>
      </c>
      <c r="R753" s="7" t="n">
        <f aca="false">INDEX(Inputs!$B$11:$B$16,MATCH(E753,Inputs!$A$11:$A$16,0))</f>
        <v>0</v>
      </c>
      <c r="S753" s="27" t="n">
        <f aca="false">IF(F753="",0,F753)*R753/100</f>
        <v>0</v>
      </c>
      <c r="T753" s="7" t="n">
        <f aca="false">Inputs!$B$4-J753</f>
        <v>298</v>
      </c>
      <c r="U753" s="7" t="n">
        <f aca="false">IF(OR(F753="",F753=0),1,0)</f>
        <v>0</v>
      </c>
      <c r="V753" s="7" t="n">
        <f aca="false">IF(K753="",1,0)</f>
        <v>0</v>
      </c>
      <c r="W753" s="7" t="n">
        <f aca="false">IF(AND(O753=1,K753&lt;&gt;"",COUNTIFS(Owners!$A$5:$A$32,K753,Owners!$E$5:$E$32,"No")&gt;0),1,0)</f>
        <v>0</v>
      </c>
      <c r="X753" s="7" t="n">
        <f aca="false">IF(AND(O753=1,I753&lt;Inputs!$B$4),1,0)</f>
        <v>0</v>
      </c>
      <c r="Y753" s="7" t="n">
        <f aca="false">IF(AND(O753=1,T753&gt;Inputs!$B$5),1,0)</f>
        <v>0</v>
      </c>
      <c r="Z753" s="7" t="n">
        <f aca="false">IF(AND(O753=1,G753&lt;&gt;R753),1,0)</f>
        <v>0</v>
      </c>
      <c r="AA753" s="7" t="n">
        <f aca="false">IF(AND(O753=1,M753=""),1,0)</f>
        <v>0</v>
      </c>
      <c r="AB753" s="7" t="n">
        <f aca="false">IF(AND(E753="Closed Lost",N753=""),1,0)</f>
        <v>1</v>
      </c>
      <c r="AC753" s="7" t="n">
        <f aca="false">SUM(U753:AB753)</f>
        <v>1</v>
      </c>
      <c r="AD753" s="7" t="n">
        <f aca="false">IF(AC753=0,1,0)</f>
        <v>0</v>
      </c>
      <c r="AE753" s="7" t="n">
        <f aca="false">IF(AND(O753=1,I753&gt;=Inputs!$B$6,I753&lt;=Inputs!$B$7),1,0)</f>
        <v>0</v>
      </c>
      <c r="AF753" s="7" t="n">
        <f aca="false">IF(AND(E753="Closed Won",I753&gt;=Inputs!$B$6,I753&lt;=Inputs!$B$4),1,0)</f>
        <v>0</v>
      </c>
      <c r="AG753" s="7" t="n">
        <f aca="false">IF(AND(O753=0,I753&gt;Inputs!$B$4-Inputs!$B$8,I753&lt;=Inputs!$B$4),1,0)</f>
        <v>1</v>
      </c>
      <c r="AH753" s="7" t="n">
        <f aca="false">I753-H753</f>
        <v>116</v>
      </c>
    </row>
    <row r="754" customFormat="false" ht="15" hidden="false" customHeight="false" outlineLevel="0" collapsed="false">
      <c r="A754" s="16" t="s">
        <v>2201</v>
      </c>
      <c r="B754" s="16" t="s">
        <v>306</v>
      </c>
      <c r="C754" s="16" t="s">
        <v>2202</v>
      </c>
      <c r="D754" s="16" t="s">
        <v>177</v>
      </c>
      <c r="E754" s="16" t="s">
        <v>530</v>
      </c>
      <c r="F754" s="26" t="n">
        <v>3464000</v>
      </c>
      <c r="G754" s="25" t="n">
        <v>100</v>
      </c>
      <c r="H754" s="22" t="n">
        <v>45924</v>
      </c>
      <c r="I754" s="22" t="n">
        <v>46044</v>
      </c>
      <c r="J754" s="22" t="n">
        <v>46044</v>
      </c>
      <c r="K754" s="16" t="s">
        <v>578</v>
      </c>
      <c r="L754" s="16" t="s">
        <v>584</v>
      </c>
      <c r="M754" s="16"/>
      <c r="N754" s="16"/>
      <c r="O754" s="7" t="n">
        <f aca="false">IF(OR(E754="Closed Won",E754="Closed Lost"),0,1)</f>
        <v>0</v>
      </c>
      <c r="P754" s="17" t="str">
        <f aca="false">INDEX(Accounts!$K$5:$K$336,MATCH(B754,Accounts!$A$5:$A$336,0))</f>
        <v>Public Sector &amp; Development</v>
      </c>
      <c r="Q754" s="17" t="str">
        <f aca="false">INDEX(Accounts!$D$5:$D$336,MATCH(B754,Accounts!$A$5:$A$336,0))</f>
        <v>Standard</v>
      </c>
      <c r="R754" s="7" t="n">
        <f aca="false">INDEX(Inputs!$B$11:$B$16,MATCH(E754,Inputs!$A$11:$A$16,0))</f>
        <v>100</v>
      </c>
      <c r="S754" s="27" t="n">
        <f aca="false">IF(F754="",0,F754)*R754/100</f>
        <v>3464000</v>
      </c>
      <c r="T754" s="7" t="n">
        <f aca="false">Inputs!$B$4-J754</f>
        <v>270</v>
      </c>
      <c r="U754" s="7" t="n">
        <f aca="false">IF(OR(F754="",F754=0),1,0)</f>
        <v>0</v>
      </c>
      <c r="V754" s="7" t="n">
        <f aca="false">IF(K754="",1,0)</f>
        <v>0</v>
      </c>
      <c r="W754" s="7" t="n">
        <f aca="false">IF(AND(O754=1,K754&lt;&gt;"",COUNTIFS(Owners!$A$5:$A$32,K754,Owners!$E$5:$E$32,"No")&gt;0),1,0)</f>
        <v>0</v>
      </c>
      <c r="X754" s="7" t="n">
        <f aca="false">IF(AND(O754=1,I754&lt;Inputs!$B$4),1,0)</f>
        <v>0</v>
      </c>
      <c r="Y754" s="7" t="n">
        <f aca="false">IF(AND(O754=1,T754&gt;Inputs!$B$5),1,0)</f>
        <v>0</v>
      </c>
      <c r="Z754" s="7" t="n">
        <f aca="false">IF(AND(O754=1,G754&lt;&gt;R754),1,0)</f>
        <v>0</v>
      </c>
      <c r="AA754" s="7" t="n">
        <f aca="false">IF(AND(O754=1,M754=""),1,0)</f>
        <v>0</v>
      </c>
      <c r="AB754" s="7" t="n">
        <f aca="false">IF(AND(E754="Closed Lost",N754=""),1,0)</f>
        <v>0</v>
      </c>
      <c r="AC754" s="7" t="n">
        <f aca="false">SUM(U754:AB754)</f>
        <v>0</v>
      </c>
      <c r="AD754" s="7" t="n">
        <f aca="false">IF(AC754=0,1,0)</f>
        <v>1</v>
      </c>
      <c r="AE754" s="7" t="n">
        <f aca="false">IF(AND(O754=1,I754&gt;=Inputs!$B$6,I754&lt;=Inputs!$B$7),1,0)</f>
        <v>0</v>
      </c>
      <c r="AF754" s="7" t="n">
        <f aca="false">IF(AND(E754="Closed Won",I754&gt;=Inputs!$B$6,I754&lt;=Inputs!$B$4),1,0)</f>
        <v>0</v>
      </c>
      <c r="AG754" s="7" t="n">
        <f aca="false">IF(AND(O754=0,I754&gt;Inputs!$B$4-Inputs!$B$8,I754&lt;=Inputs!$B$4),1,0)</f>
        <v>1</v>
      </c>
      <c r="AH754" s="7" t="n">
        <f aca="false">I754-H754</f>
        <v>120</v>
      </c>
    </row>
    <row r="755" customFormat="false" ht="15" hidden="false" customHeight="false" outlineLevel="0" collapsed="false">
      <c r="A755" s="16" t="s">
        <v>2203</v>
      </c>
      <c r="B755" s="16" t="s">
        <v>1215</v>
      </c>
      <c r="C755" s="16" t="s">
        <v>2204</v>
      </c>
      <c r="D755" s="16" t="s">
        <v>177</v>
      </c>
      <c r="E755" s="16" t="s">
        <v>531</v>
      </c>
      <c r="F755" s="26" t="n">
        <v>6354000</v>
      </c>
      <c r="G755" s="25" t="n">
        <v>0</v>
      </c>
      <c r="H755" s="22" t="n">
        <v>45959</v>
      </c>
      <c r="I755" s="22" t="n">
        <v>46254</v>
      </c>
      <c r="J755" s="22" t="n">
        <v>46254</v>
      </c>
      <c r="K755" s="16" t="s">
        <v>860</v>
      </c>
      <c r="L755" s="16" t="s">
        <v>574</v>
      </c>
      <c r="M755" s="16"/>
      <c r="N755" s="16" t="s">
        <v>597</v>
      </c>
      <c r="O755" s="7" t="n">
        <f aca="false">IF(OR(E755="Closed Won",E755="Closed Lost"),0,1)</f>
        <v>0</v>
      </c>
      <c r="P755" s="17" t="str">
        <f aca="false">INDEX(Accounts!$K$5:$K$336,MATCH(B755,Accounts!$A$5:$A$336,0))</f>
        <v>Consumer &amp; Retail</v>
      </c>
      <c r="Q755" s="17" t="str">
        <f aca="false">INDEX(Accounts!$D$5:$D$336,MATCH(B755,Accounts!$A$5:$A$336,0))</f>
        <v>Key</v>
      </c>
      <c r="R755" s="7" t="n">
        <f aca="false">INDEX(Inputs!$B$11:$B$16,MATCH(E755,Inputs!$A$11:$A$16,0))</f>
        <v>0</v>
      </c>
      <c r="S755" s="27" t="n">
        <f aca="false">IF(F755="",0,F755)*R755/100</f>
        <v>0</v>
      </c>
      <c r="T755" s="7" t="n">
        <f aca="false">Inputs!$B$4-J755</f>
        <v>60</v>
      </c>
      <c r="U755" s="7" t="n">
        <f aca="false">IF(OR(F755="",F755=0),1,0)</f>
        <v>0</v>
      </c>
      <c r="V755" s="7" t="n">
        <f aca="false">IF(K755="",1,0)</f>
        <v>0</v>
      </c>
      <c r="W755" s="7" t="n">
        <f aca="false">IF(AND(O755=1,K755&lt;&gt;"",COUNTIFS(Owners!$A$5:$A$32,K755,Owners!$E$5:$E$32,"No")&gt;0),1,0)</f>
        <v>0</v>
      </c>
      <c r="X755" s="7" t="n">
        <f aca="false">IF(AND(O755=1,I755&lt;Inputs!$B$4),1,0)</f>
        <v>0</v>
      </c>
      <c r="Y755" s="7" t="n">
        <f aca="false">IF(AND(O755=1,T755&gt;Inputs!$B$5),1,0)</f>
        <v>0</v>
      </c>
      <c r="Z755" s="7" t="n">
        <f aca="false">IF(AND(O755=1,G755&lt;&gt;R755),1,0)</f>
        <v>0</v>
      </c>
      <c r="AA755" s="7" t="n">
        <f aca="false">IF(AND(O755=1,M755=""),1,0)</f>
        <v>0</v>
      </c>
      <c r="AB755" s="7" t="n">
        <f aca="false">IF(AND(E755="Closed Lost",N755=""),1,0)</f>
        <v>0</v>
      </c>
      <c r="AC755" s="7" t="n">
        <f aca="false">SUM(U755:AB755)</f>
        <v>0</v>
      </c>
      <c r="AD755" s="7" t="n">
        <f aca="false">IF(AC755=0,1,0)</f>
        <v>1</v>
      </c>
      <c r="AE755" s="7" t="n">
        <f aca="false">IF(AND(O755=1,I755&gt;=Inputs!$B$6,I755&lt;=Inputs!$B$7),1,0)</f>
        <v>0</v>
      </c>
      <c r="AF755" s="7" t="n">
        <f aca="false">IF(AND(E755="Closed Won",I755&gt;=Inputs!$B$6,I755&lt;=Inputs!$B$4),1,0)</f>
        <v>0</v>
      </c>
      <c r="AG755" s="7" t="n">
        <f aca="false">IF(AND(O755=0,I755&gt;Inputs!$B$4-Inputs!$B$8,I755&lt;=Inputs!$B$4),1,0)</f>
        <v>1</v>
      </c>
      <c r="AH755" s="7" t="n">
        <f aca="false">I755-H755</f>
        <v>295</v>
      </c>
    </row>
    <row r="756" customFormat="false" ht="15" hidden="false" customHeight="false" outlineLevel="0" collapsed="false">
      <c r="A756" s="16" t="s">
        <v>2205</v>
      </c>
      <c r="B756" s="16" t="s">
        <v>95</v>
      </c>
      <c r="C756" s="16" t="s">
        <v>1241</v>
      </c>
      <c r="D756" s="16" t="s">
        <v>162</v>
      </c>
      <c r="E756" s="16" t="s">
        <v>529</v>
      </c>
      <c r="F756" s="26" t="n">
        <v>12826000</v>
      </c>
      <c r="G756" s="25" t="n">
        <v>75</v>
      </c>
      <c r="H756" s="22" t="n">
        <v>46160</v>
      </c>
      <c r="I756" s="22" t="n">
        <v>46491</v>
      </c>
      <c r="J756" s="22" t="n">
        <v>46289</v>
      </c>
      <c r="K756" s="16" t="s">
        <v>677</v>
      </c>
      <c r="L756" s="16" t="s">
        <v>592</v>
      </c>
      <c r="M756" s="16" t="s">
        <v>619</v>
      </c>
      <c r="N756" s="16"/>
      <c r="O756" s="7" t="n">
        <f aca="false">IF(OR(E756="Closed Won",E756="Closed Lost"),0,1)</f>
        <v>1</v>
      </c>
      <c r="P756" s="17" t="str">
        <f aca="false">INDEX(Accounts!$K$5:$K$336,MATCH(B756,Accounts!$A$5:$A$336,0))</f>
        <v>Energy &amp; Resources</v>
      </c>
      <c r="Q756" s="17" t="str">
        <f aca="false">INDEX(Accounts!$D$5:$D$336,MATCH(B756,Accounts!$A$5:$A$336,0))</f>
        <v>Priority</v>
      </c>
      <c r="R756" s="7" t="n">
        <f aca="false">INDEX(Inputs!$B$11:$B$16,MATCH(E756,Inputs!$A$11:$A$16,0))</f>
        <v>75</v>
      </c>
      <c r="S756" s="27" t="n">
        <f aca="false">IF(F756="",0,F756)*R756/100</f>
        <v>9619500</v>
      </c>
      <c r="T756" s="7" t="n">
        <f aca="false">Inputs!$B$4-J756</f>
        <v>25</v>
      </c>
      <c r="U756" s="7" t="n">
        <f aca="false">IF(OR(F756="",F756=0),1,0)</f>
        <v>0</v>
      </c>
      <c r="V756" s="7" t="n">
        <f aca="false">IF(K756="",1,0)</f>
        <v>0</v>
      </c>
      <c r="W756" s="7" t="n">
        <f aca="false">IF(AND(O756=1,K756&lt;&gt;"",COUNTIFS(Owners!$A$5:$A$32,K756,Owners!$E$5:$E$32,"No")&gt;0),1,0)</f>
        <v>0</v>
      </c>
      <c r="X756" s="7" t="n">
        <f aca="false">IF(AND(O756=1,I756&lt;Inputs!$B$4),1,0)</f>
        <v>0</v>
      </c>
      <c r="Y756" s="7" t="n">
        <f aca="false">IF(AND(O756=1,T756&gt;Inputs!$B$5),1,0)</f>
        <v>0</v>
      </c>
      <c r="Z756" s="7" t="n">
        <f aca="false">IF(AND(O756=1,G756&lt;&gt;R756),1,0)</f>
        <v>0</v>
      </c>
      <c r="AA756" s="7" t="n">
        <f aca="false">IF(AND(O756=1,M756=""),1,0)</f>
        <v>0</v>
      </c>
      <c r="AB756" s="7" t="n">
        <f aca="false">IF(AND(E756="Closed Lost",N756=""),1,0)</f>
        <v>0</v>
      </c>
      <c r="AC756" s="7" t="n">
        <f aca="false">SUM(U756:AB756)</f>
        <v>0</v>
      </c>
      <c r="AD756" s="7" t="n">
        <f aca="false">IF(AC756=0,1,0)</f>
        <v>1</v>
      </c>
      <c r="AE756" s="7" t="n">
        <f aca="false">IF(AND(O756=1,I756&gt;=Inputs!$B$6,I756&lt;=Inputs!$B$7),1,0)</f>
        <v>1</v>
      </c>
      <c r="AF756" s="7" t="n">
        <f aca="false">IF(AND(E756="Closed Won",I756&gt;=Inputs!$B$6,I756&lt;=Inputs!$B$4),1,0)</f>
        <v>0</v>
      </c>
      <c r="AG756" s="7" t="n">
        <f aca="false">IF(AND(O756=0,I756&gt;Inputs!$B$4-Inputs!$B$8,I756&lt;=Inputs!$B$4),1,0)</f>
        <v>0</v>
      </c>
      <c r="AH756" s="7" t="n">
        <f aca="false">I756-H756</f>
        <v>331</v>
      </c>
    </row>
    <row r="757" customFormat="false" ht="15" hidden="false" customHeight="false" outlineLevel="0" collapsed="false">
      <c r="A757" s="16" t="s">
        <v>2206</v>
      </c>
      <c r="B757" s="16" t="s">
        <v>799</v>
      </c>
      <c r="C757" s="16" t="s">
        <v>1810</v>
      </c>
      <c r="D757" s="16" t="s">
        <v>165</v>
      </c>
      <c r="E757" s="16" t="s">
        <v>530</v>
      </c>
      <c r="F757" s="26" t="n">
        <v>57153000</v>
      </c>
      <c r="G757" s="25" t="n">
        <v>100</v>
      </c>
      <c r="H757" s="22" t="n">
        <v>45976</v>
      </c>
      <c r="I757" s="22" t="n">
        <v>46232</v>
      </c>
      <c r="J757" s="22" t="n">
        <v>46232</v>
      </c>
      <c r="K757" s="16" t="s">
        <v>646</v>
      </c>
      <c r="L757" s="16" t="s">
        <v>500</v>
      </c>
      <c r="M757" s="16"/>
      <c r="N757" s="16"/>
      <c r="O757" s="7" t="n">
        <f aca="false">IF(OR(E757="Closed Won",E757="Closed Lost"),0,1)</f>
        <v>0</v>
      </c>
      <c r="P757" s="17" t="str">
        <f aca="false">INDEX(Accounts!$K$5:$K$336,MATCH(B757,Accounts!$A$5:$A$336,0))</f>
        <v>Technology, Media &amp; Telecom</v>
      </c>
      <c r="Q757" s="17" t="str">
        <f aca="false">INDEX(Accounts!$D$5:$D$336,MATCH(B757,Accounts!$A$5:$A$336,0))</f>
        <v>Standard</v>
      </c>
      <c r="R757" s="7" t="n">
        <f aca="false">INDEX(Inputs!$B$11:$B$16,MATCH(E757,Inputs!$A$11:$A$16,0))</f>
        <v>100</v>
      </c>
      <c r="S757" s="27" t="n">
        <f aca="false">IF(F757="",0,F757)*R757/100</f>
        <v>57153000</v>
      </c>
      <c r="T757" s="7" t="n">
        <f aca="false">Inputs!$B$4-J757</f>
        <v>82</v>
      </c>
      <c r="U757" s="7" t="n">
        <f aca="false">IF(OR(F757="",F757=0),1,0)</f>
        <v>0</v>
      </c>
      <c r="V757" s="7" t="n">
        <f aca="false">IF(K757="",1,0)</f>
        <v>0</v>
      </c>
      <c r="W757" s="7" t="n">
        <f aca="false">IF(AND(O757=1,K757&lt;&gt;"",COUNTIFS(Owners!$A$5:$A$32,K757,Owners!$E$5:$E$32,"No")&gt;0),1,0)</f>
        <v>0</v>
      </c>
      <c r="X757" s="7" t="n">
        <f aca="false">IF(AND(O757=1,I757&lt;Inputs!$B$4),1,0)</f>
        <v>0</v>
      </c>
      <c r="Y757" s="7" t="n">
        <f aca="false">IF(AND(O757=1,T757&gt;Inputs!$B$5),1,0)</f>
        <v>0</v>
      </c>
      <c r="Z757" s="7" t="n">
        <f aca="false">IF(AND(O757=1,G757&lt;&gt;R757),1,0)</f>
        <v>0</v>
      </c>
      <c r="AA757" s="7" t="n">
        <f aca="false">IF(AND(O757=1,M757=""),1,0)</f>
        <v>0</v>
      </c>
      <c r="AB757" s="7" t="n">
        <f aca="false">IF(AND(E757="Closed Lost",N757=""),1,0)</f>
        <v>0</v>
      </c>
      <c r="AC757" s="7" t="n">
        <f aca="false">SUM(U757:AB757)</f>
        <v>0</v>
      </c>
      <c r="AD757" s="7" t="n">
        <f aca="false">IF(AC757=0,1,0)</f>
        <v>1</v>
      </c>
      <c r="AE757" s="7" t="n">
        <f aca="false">IF(AND(O757=1,I757&gt;=Inputs!$B$6,I757&lt;=Inputs!$B$7),1,0)</f>
        <v>0</v>
      </c>
      <c r="AF757" s="7" t="n">
        <f aca="false">IF(AND(E757="Closed Won",I757&gt;=Inputs!$B$6,I757&lt;=Inputs!$B$4),1,0)</f>
        <v>1</v>
      </c>
      <c r="AG757" s="7" t="n">
        <f aca="false">IF(AND(O757=0,I757&gt;Inputs!$B$4-Inputs!$B$8,I757&lt;=Inputs!$B$4),1,0)</f>
        <v>1</v>
      </c>
      <c r="AH757" s="7" t="n">
        <f aca="false">I757-H757</f>
        <v>256</v>
      </c>
    </row>
    <row r="758" customFormat="false" ht="15" hidden="false" customHeight="false" outlineLevel="0" collapsed="false">
      <c r="A758" s="16" t="s">
        <v>2207</v>
      </c>
      <c r="B758" s="16" t="s">
        <v>963</v>
      </c>
      <c r="C758" s="16" t="s">
        <v>2208</v>
      </c>
      <c r="D758" s="16" t="s">
        <v>177</v>
      </c>
      <c r="E758" s="16" t="s">
        <v>529</v>
      </c>
      <c r="F758" s="26"/>
      <c r="G758" s="25" t="n">
        <v>75</v>
      </c>
      <c r="H758" s="22" t="n">
        <v>46251</v>
      </c>
      <c r="I758" s="22" t="n">
        <v>46278</v>
      </c>
      <c r="J758" s="22" t="n">
        <v>46286</v>
      </c>
      <c r="K758" s="16" t="s">
        <v>654</v>
      </c>
      <c r="L758" s="16" t="s">
        <v>609</v>
      </c>
      <c r="M758" s="16" t="s">
        <v>569</v>
      </c>
      <c r="N758" s="16"/>
      <c r="O758" s="7" t="n">
        <f aca="false">IF(OR(E758="Closed Won",E758="Closed Lost"),0,1)</f>
        <v>1</v>
      </c>
      <c r="P758" s="17" t="str">
        <f aca="false">INDEX(Accounts!$K$5:$K$336,MATCH(B758,Accounts!$A$5:$A$336,0))</f>
        <v>Financial Services</v>
      </c>
      <c r="Q758" s="17" t="str">
        <f aca="false">INDEX(Accounts!$D$5:$D$336,MATCH(B758,Accounts!$A$5:$A$336,0))</f>
        <v>Key</v>
      </c>
      <c r="R758" s="7" t="n">
        <f aca="false">INDEX(Inputs!$B$11:$B$16,MATCH(E758,Inputs!$A$11:$A$16,0))</f>
        <v>75</v>
      </c>
      <c r="S758" s="27" t="n">
        <f aca="false">IF(F758="",0,F758)*R758/100</f>
        <v>0</v>
      </c>
      <c r="T758" s="7" t="n">
        <f aca="false">Inputs!$B$4-J758</f>
        <v>28</v>
      </c>
      <c r="U758" s="7" t="n">
        <f aca="false">IF(OR(F758="",F758=0),1,0)</f>
        <v>1</v>
      </c>
      <c r="V758" s="7" t="n">
        <f aca="false">IF(K758="",1,0)</f>
        <v>0</v>
      </c>
      <c r="W758" s="7" t="n">
        <f aca="false">IF(AND(O758=1,K758&lt;&gt;"",COUNTIFS(Owners!$A$5:$A$32,K758,Owners!$E$5:$E$32,"No")&gt;0),1,0)</f>
        <v>0</v>
      </c>
      <c r="X758" s="7" t="n">
        <f aca="false">IF(AND(O758=1,I758&lt;Inputs!$B$4),1,0)</f>
        <v>1</v>
      </c>
      <c r="Y758" s="7" t="n">
        <f aca="false">IF(AND(O758=1,T758&gt;Inputs!$B$5),1,0)</f>
        <v>0</v>
      </c>
      <c r="Z758" s="7" t="n">
        <f aca="false">IF(AND(O758=1,G758&lt;&gt;R758),1,0)</f>
        <v>0</v>
      </c>
      <c r="AA758" s="7" t="n">
        <f aca="false">IF(AND(O758=1,M758=""),1,0)</f>
        <v>0</v>
      </c>
      <c r="AB758" s="7" t="n">
        <f aca="false">IF(AND(E758="Closed Lost",N758=""),1,0)</f>
        <v>0</v>
      </c>
      <c r="AC758" s="7" t="n">
        <f aca="false">SUM(U758:AB758)</f>
        <v>2</v>
      </c>
      <c r="AD758" s="7" t="n">
        <f aca="false">IF(AC758=0,1,0)</f>
        <v>0</v>
      </c>
      <c r="AE758" s="7" t="n">
        <f aca="false">IF(AND(O758=1,I758&gt;=Inputs!$B$6,I758&lt;=Inputs!$B$7),1,0)</f>
        <v>1</v>
      </c>
      <c r="AF758" s="7" t="n">
        <f aca="false">IF(AND(E758="Closed Won",I758&gt;=Inputs!$B$6,I758&lt;=Inputs!$B$4),1,0)</f>
        <v>0</v>
      </c>
      <c r="AG758" s="7" t="n">
        <f aca="false">IF(AND(O758=0,I758&gt;Inputs!$B$4-Inputs!$B$8,I758&lt;=Inputs!$B$4),1,0)</f>
        <v>0</v>
      </c>
      <c r="AH758" s="7" t="n">
        <f aca="false">I758-H758</f>
        <v>27</v>
      </c>
    </row>
    <row r="759" customFormat="false" ht="15" hidden="false" customHeight="false" outlineLevel="0" collapsed="false">
      <c r="A759" s="16" t="s">
        <v>2209</v>
      </c>
      <c r="B759" s="16" t="s">
        <v>1003</v>
      </c>
      <c r="C759" s="16" t="s">
        <v>2210</v>
      </c>
      <c r="D759" s="16" t="s">
        <v>177</v>
      </c>
      <c r="E759" s="16" t="s">
        <v>529</v>
      </c>
      <c r="F759" s="26" t="n">
        <v>6079000</v>
      </c>
      <c r="G759" s="25" t="n">
        <v>75</v>
      </c>
      <c r="H759" s="22" t="n">
        <v>46184</v>
      </c>
      <c r="I759" s="22" t="n">
        <v>46550</v>
      </c>
      <c r="J759" s="22" t="n">
        <v>46288</v>
      </c>
      <c r="K759" s="16" t="s">
        <v>831</v>
      </c>
      <c r="L759" s="16" t="s">
        <v>584</v>
      </c>
      <c r="M759" s="16" t="s">
        <v>593</v>
      </c>
      <c r="N759" s="16"/>
      <c r="O759" s="7" t="n">
        <f aca="false">IF(OR(E759="Closed Won",E759="Closed Lost"),0,1)</f>
        <v>1</v>
      </c>
      <c r="P759" s="17" t="str">
        <f aca="false">INDEX(Accounts!$K$5:$K$336,MATCH(B759,Accounts!$A$5:$A$336,0))</f>
        <v>Agribusiness</v>
      </c>
      <c r="Q759" s="17" t="str">
        <f aca="false">INDEX(Accounts!$D$5:$D$336,MATCH(B759,Accounts!$A$5:$A$336,0))</f>
        <v>Standard</v>
      </c>
      <c r="R759" s="7" t="n">
        <f aca="false">INDEX(Inputs!$B$11:$B$16,MATCH(E759,Inputs!$A$11:$A$16,0))</f>
        <v>75</v>
      </c>
      <c r="S759" s="27" t="n">
        <f aca="false">IF(F759="",0,F759)*R759/100</f>
        <v>4559250</v>
      </c>
      <c r="T759" s="7" t="n">
        <f aca="false">Inputs!$B$4-J759</f>
        <v>26</v>
      </c>
      <c r="U759" s="7" t="n">
        <f aca="false">IF(OR(F759="",F759=0),1,0)</f>
        <v>0</v>
      </c>
      <c r="V759" s="7" t="n">
        <f aca="false">IF(K759="",1,0)</f>
        <v>0</v>
      </c>
      <c r="W759" s="7" t="n">
        <f aca="false">IF(AND(O759=1,K759&lt;&gt;"",COUNTIFS(Owners!$A$5:$A$32,K759,Owners!$E$5:$E$32,"No")&gt;0),1,0)</f>
        <v>0</v>
      </c>
      <c r="X759" s="7" t="n">
        <f aca="false">IF(AND(O759=1,I759&lt;Inputs!$B$4),1,0)</f>
        <v>0</v>
      </c>
      <c r="Y759" s="7" t="n">
        <f aca="false">IF(AND(O759=1,T759&gt;Inputs!$B$5),1,0)</f>
        <v>0</v>
      </c>
      <c r="Z759" s="7" t="n">
        <f aca="false">IF(AND(O759=1,G759&lt;&gt;R759),1,0)</f>
        <v>0</v>
      </c>
      <c r="AA759" s="7" t="n">
        <f aca="false">IF(AND(O759=1,M759=""),1,0)</f>
        <v>0</v>
      </c>
      <c r="AB759" s="7" t="n">
        <f aca="false">IF(AND(E759="Closed Lost",N759=""),1,0)</f>
        <v>0</v>
      </c>
      <c r="AC759" s="7" t="n">
        <f aca="false">SUM(U759:AB759)</f>
        <v>0</v>
      </c>
      <c r="AD759" s="7" t="n">
        <f aca="false">IF(AC759=0,1,0)</f>
        <v>1</v>
      </c>
      <c r="AE759" s="7" t="n">
        <f aca="false">IF(AND(O759=1,I759&gt;=Inputs!$B$6,I759&lt;=Inputs!$B$7),1,0)</f>
        <v>1</v>
      </c>
      <c r="AF759" s="7" t="n">
        <f aca="false">IF(AND(E759="Closed Won",I759&gt;=Inputs!$B$6,I759&lt;=Inputs!$B$4),1,0)</f>
        <v>0</v>
      </c>
      <c r="AG759" s="7" t="n">
        <f aca="false">IF(AND(O759=0,I759&gt;Inputs!$B$4-Inputs!$B$8,I759&lt;=Inputs!$B$4),1,0)</f>
        <v>0</v>
      </c>
      <c r="AH759" s="7" t="n">
        <f aca="false">I759-H759</f>
        <v>366</v>
      </c>
    </row>
    <row r="760" customFormat="false" ht="15" hidden="false" customHeight="false" outlineLevel="0" collapsed="false">
      <c r="A760" s="16" t="s">
        <v>2211</v>
      </c>
      <c r="B760" s="16" t="s">
        <v>1419</v>
      </c>
      <c r="C760" s="16" t="s">
        <v>2212</v>
      </c>
      <c r="D760" s="16" t="s">
        <v>177</v>
      </c>
      <c r="E760" s="16" t="s">
        <v>530</v>
      </c>
      <c r="F760" s="26" t="n">
        <v>10619000</v>
      </c>
      <c r="G760" s="25" t="n">
        <v>100</v>
      </c>
      <c r="H760" s="22" t="n">
        <v>45949</v>
      </c>
      <c r="I760" s="22" t="n">
        <v>46052</v>
      </c>
      <c r="J760" s="22" t="n">
        <v>46052</v>
      </c>
      <c r="K760" s="16"/>
      <c r="L760" s="16" t="s">
        <v>584</v>
      </c>
      <c r="M760" s="16"/>
      <c r="N760" s="16"/>
      <c r="O760" s="7" t="n">
        <f aca="false">IF(OR(E760="Closed Won",E760="Closed Lost"),0,1)</f>
        <v>0</v>
      </c>
      <c r="P760" s="17" t="str">
        <f aca="false">INDEX(Accounts!$K$5:$K$336,MATCH(B760,Accounts!$A$5:$A$336,0))</f>
        <v>Technology, Media &amp; Telecom</v>
      </c>
      <c r="Q760" s="17" t="str">
        <f aca="false">INDEX(Accounts!$D$5:$D$336,MATCH(B760,Accounts!$A$5:$A$336,0))</f>
        <v>Standard</v>
      </c>
      <c r="R760" s="7" t="n">
        <f aca="false">INDEX(Inputs!$B$11:$B$16,MATCH(E760,Inputs!$A$11:$A$16,0))</f>
        <v>100</v>
      </c>
      <c r="S760" s="27" t="n">
        <f aca="false">IF(F760="",0,F760)*R760/100</f>
        <v>10619000</v>
      </c>
      <c r="T760" s="7" t="n">
        <f aca="false">Inputs!$B$4-J760</f>
        <v>262</v>
      </c>
      <c r="U760" s="7" t="n">
        <f aca="false">IF(OR(F760="",F760=0),1,0)</f>
        <v>0</v>
      </c>
      <c r="V760" s="7" t="n">
        <f aca="false">IF(K760="",1,0)</f>
        <v>1</v>
      </c>
      <c r="W760" s="7" t="n">
        <f aca="false">IF(AND(O760=1,K760&lt;&gt;"",COUNTIFS(Owners!$A$5:$A$32,K760,Owners!$E$5:$E$32,"No")&gt;0),1,0)</f>
        <v>0</v>
      </c>
      <c r="X760" s="7" t="n">
        <f aca="false">IF(AND(O760=1,I760&lt;Inputs!$B$4),1,0)</f>
        <v>0</v>
      </c>
      <c r="Y760" s="7" t="n">
        <f aca="false">IF(AND(O760=1,T760&gt;Inputs!$B$5),1,0)</f>
        <v>0</v>
      </c>
      <c r="Z760" s="7" t="n">
        <f aca="false">IF(AND(O760=1,G760&lt;&gt;R760),1,0)</f>
        <v>0</v>
      </c>
      <c r="AA760" s="7" t="n">
        <f aca="false">IF(AND(O760=1,M760=""),1,0)</f>
        <v>0</v>
      </c>
      <c r="AB760" s="7" t="n">
        <f aca="false">IF(AND(E760="Closed Lost",N760=""),1,0)</f>
        <v>0</v>
      </c>
      <c r="AC760" s="7" t="n">
        <f aca="false">SUM(U760:AB760)</f>
        <v>1</v>
      </c>
      <c r="AD760" s="7" t="n">
        <f aca="false">IF(AC760=0,1,0)</f>
        <v>0</v>
      </c>
      <c r="AE760" s="7" t="n">
        <f aca="false">IF(AND(O760=1,I760&gt;=Inputs!$B$6,I760&lt;=Inputs!$B$7),1,0)</f>
        <v>0</v>
      </c>
      <c r="AF760" s="7" t="n">
        <f aca="false">IF(AND(E760="Closed Won",I760&gt;=Inputs!$B$6,I760&lt;=Inputs!$B$4),1,0)</f>
        <v>0</v>
      </c>
      <c r="AG760" s="7" t="n">
        <f aca="false">IF(AND(O760=0,I760&gt;Inputs!$B$4-Inputs!$B$8,I760&lt;=Inputs!$B$4),1,0)</f>
        <v>1</v>
      </c>
      <c r="AH760" s="7" t="n">
        <f aca="false">I760-H760</f>
        <v>103</v>
      </c>
    </row>
    <row r="761" customFormat="false" ht="15" hidden="false" customHeight="false" outlineLevel="0" collapsed="false">
      <c r="A761" s="16" t="s">
        <v>2213</v>
      </c>
      <c r="B761" s="16" t="s">
        <v>2214</v>
      </c>
      <c r="C761" s="16" t="s">
        <v>2215</v>
      </c>
      <c r="D761" s="16" t="s">
        <v>158</v>
      </c>
      <c r="E761" s="16" t="s">
        <v>528</v>
      </c>
      <c r="F761" s="26" t="n">
        <v>25626000</v>
      </c>
      <c r="G761" s="25" t="n">
        <v>50</v>
      </c>
      <c r="H761" s="22" t="n">
        <v>46251</v>
      </c>
      <c r="I761" s="22" t="n">
        <v>46512</v>
      </c>
      <c r="J761" s="22" t="n">
        <v>46292</v>
      </c>
      <c r="K761" s="16" t="s">
        <v>633</v>
      </c>
      <c r="L761" s="16" t="s">
        <v>500</v>
      </c>
      <c r="M761" s="16" t="s">
        <v>619</v>
      </c>
      <c r="N761" s="16"/>
      <c r="O761" s="7" t="n">
        <f aca="false">IF(OR(E761="Closed Won",E761="Closed Lost"),0,1)</f>
        <v>1</v>
      </c>
      <c r="P761" s="17" t="str">
        <f aca="false">INDEX(Accounts!$K$5:$K$336,MATCH(B761,Accounts!$A$5:$A$336,0))</f>
        <v>Health</v>
      </c>
      <c r="Q761" s="17" t="str">
        <f aca="false">INDEX(Accounts!$D$5:$D$336,MATCH(B761,Accounts!$A$5:$A$336,0))</f>
        <v>Standard</v>
      </c>
      <c r="R761" s="7" t="n">
        <f aca="false">INDEX(Inputs!$B$11:$B$16,MATCH(E761,Inputs!$A$11:$A$16,0))</f>
        <v>50</v>
      </c>
      <c r="S761" s="27" t="n">
        <f aca="false">IF(F761="",0,F761)*R761/100</f>
        <v>12813000</v>
      </c>
      <c r="T761" s="7" t="n">
        <f aca="false">Inputs!$B$4-J761</f>
        <v>22</v>
      </c>
      <c r="U761" s="7" t="n">
        <f aca="false">IF(OR(F761="",F761=0),1,0)</f>
        <v>0</v>
      </c>
      <c r="V761" s="7" t="n">
        <f aca="false">IF(K761="",1,0)</f>
        <v>0</v>
      </c>
      <c r="W761" s="7" t="n">
        <f aca="false">IF(AND(O761=1,K761&lt;&gt;"",COUNTIFS(Owners!$A$5:$A$32,K761,Owners!$E$5:$E$32,"No")&gt;0),1,0)</f>
        <v>0</v>
      </c>
      <c r="X761" s="7" t="n">
        <f aca="false">IF(AND(O761=1,I761&lt;Inputs!$B$4),1,0)</f>
        <v>0</v>
      </c>
      <c r="Y761" s="7" t="n">
        <f aca="false">IF(AND(O761=1,T761&gt;Inputs!$B$5),1,0)</f>
        <v>0</v>
      </c>
      <c r="Z761" s="7" t="n">
        <f aca="false">IF(AND(O761=1,G761&lt;&gt;R761),1,0)</f>
        <v>0</v>
      </c>
      <c r="AA761" s="7" t="n">
        <f aca="false">IF(AND(O761=1,M761=""),1,0)</f>
        <v>0</v>
      </c>
      <c r="AB761" s="7" t="n">
        <f aca="false">IF(AND(E761="Closed Lost",N761=""),1,0)</f>
        <v>0</v>
      </c>
      <c r="AC761" s="7" t="n">
        <f aca="false">SUM(U761:AB761)</f>
        <v>0</v>
      </c>
      <c r="AD761" s="7" t="n">
        <f aca="false">IF(AC761=0,1,0)</f>
        <v>1</v>
      </c>
      <c r="AE761" s="7" t="n">
        <f aca="false">IF(AND(O761=1,I761&gt;=Inputs!$B$6,I761&lt;=Inputs!$B$7),1,0)</f>
        <v>1</v>
      </c>
      <c r="AF761" s="7" t="n">
        <f aca="false">IF(AND(E761="Closed Won",I761&gt;=Inputs!$B$6,I761&lt;=Inputs!$B$4),1,0)</f>
        <v>0</v>
      </c>
      <c r="AG761" s="7" t="n">
        <f aca="false">IF(AND(O761=0,I761&gt;Inputs!$B$4-Inputs!$B$8,I761&lt;=Inputs!$B$4),1,0)</f>
        <v>0</v>
      </c>
      <c r="AH761" s="7" t="n">
        <f aca="false">I761-H761</f>
        <v>261</v>
      </c>
    </row>
    <row r="762" customFormat="false" ht="15" hidden="false" customHeight="false" outlineLevel="0" collapsed="false">
      <c r="A762" s="16" t="s">
        <v>2216</v>
      </c>
      <c r="B762" s="16" t="s">
        <v>1327</v>
      </c>
      <c r="C762" s="16" t="s">
        <v>2217</v>
      </c>
      <c r="D762" s="16" t="s">
        <v>165</v>
      </c>
      <c r="E762" s="16" t="s">
        <v>530</v>
      </c>
      <c r="F762" s="26" t="n">
        <v>6526000</v>
      </c>
      <c r="G762" s="25" t="n">
        <v>100</v>
      </c>
      <c r="H762" s="22" t="n">
        <v>46114</v>
      </c>
      <c r="I762" s="22" t="n">
        <v>46268</v>
      </c>
      <c r="J762" s="22" t="n">
        <v>46268</v>
      </c>
      <c r="K762" s="16" t="s">
        <v>666</v>
      </c>
      <c r="L762" s="16" t="s">
        <v>609</v>
      </c>
      <c r="M762" s="16"/>
      <c r="N762" s="16"/>
      <c r="O762" s="7" t="n">
        <f aca="false">IF(OR(E762="Closed Won",E762="Closed Lost"),0,1)</f>
        <v>0</v>
      </c>
      <c r="P762" s="17" t="str">
        <f aca="false">INDEX(Accounts!$K$5:$K$336,MATCH(B762,Accounts!$A$5:$A$336,0))</f>
        <v>Energy &amp; Resources</v>
      </c>
      <c r="Q762" s="17" t="str">
        <f aca="false">INDEX(Accounts!$D$5:$D$336,MATCH(B762,Accounts!$A$5:$A$336,0))</f>
        <v>Key</v>
      </c>
      <c r="R762" s="7" t="n">
        <f aca="false">INDEX(Inputs!$B$11:$B$16,MATCH(E762,Inputs!$A$11:$A$16,0))</f>
        <v>100</v>
      </c>
      <c r="S762" s="27" t="n">
        <f aca="false">IF(F762="",0,F762)*R762/100</f>
        <v>6526000</v>
      </c>
      <c r="T762" s="7" t="n">
        <f aca="false">Inputs!$B$4-J762</f>
        <v>46</v>
      </c>
      <c r="U762" s="7" t="n">
        <f aca="false">IF(OR(F762="",F762=0),1,0)</f>
        <v>0</v>
      </c>
      <c r="V762" s="7" t="n">
        <f aca="false">IF(K762="",1,0)</f>
        <v>0</v>
      </c>
      <c r="W762" s="7" t="n">
        <f aca="false">IF(AND(O762=1,K762&lt;&gt;"",COUNTIFS(Owners!$A$5:$A$32,K762,Owners!$E$5:$E$32,"No")&gt;0),1,0)</f>
        <v>0</v>
      </c>
      <c r="X762" s="7" t="n">
        <f aca="false">IF(AND(O762=1,I762&lt;Inputs!$B$4),1,0)</f>
        <v>0</v>
      </c>
      <c r="Y762" s="7" t="n">
        <f aca="false">IF(AND(O762=1,T762&gt;Inputs!$B$5),1,0)</f>
        <v>0</v>
      </c>
      <c r="Z762" s="7" t="n">
        <f aca="false">IF(AND(O762=1,G762&lt;&gt;R762),1,0)</f>
        <v>0</v>
      </c>
      <c r="AA762" s="7" t="n">
        <f aca="false">IF(AND(O762=1,M762=""),1,0)</f>
        <v>0</v>
      </c>
      <c r="AB762" s="7" t="n">
        <f aca="false">IF(AND(E762="Closed Lost",N762=""),1,0)</f>
        <v>0</v>
      </c>
      <c r="AC762" s="7" t="n">
        <f aca="false">SUM(U762:AB762)</f>
        <v>0</v>
      </c>
      <c r="AD762" s="7" t="n">
        <f aca="false">IF(AC762=0,1,0)</f>
        <v>1</v>
      </c>
      <c r="AE762" s="7" t="n">
        <f aca="false">IF(AND(O762=1,I762&gt;=Inputs!$B$6,I762&lt;=Inputs!$B$7),1,0)</f>
        <v>0</v>
      </c>
      <c r="AF762" s="7" t="n">
        <f aca="false">IF(AND(E762="Closed Won",I762&gt;=Inputs!$B$6,I762&lt;=Inputs!$B$4),1,0)</f>
        <v>1</v>
      </c>
      <c r="AG762" s="7" t="n">
        <f aca="false">IF(AND(O762=0,I762&gt;Inputs!$B$4-Inputs!$B$8,I762&lt;=Inputs!$B$4),1,0)</f>
        <v>1</v>
      </c>
      <c r="AH762" s="7" t="n">
        <f aca="false">I762-H762</f>
        <v>154</v>
      </c>
    </row>
    <row r="763" customFormat="false" ht="15" hidden="false" customHeight="false" outlineLevel="0" collapsed="false">
      <c r="A763" s="16" t="s">
        <v>2218</v>
      </c>
      <c r="B763" s="16" t="s">
        <v>408</v>
      </c>
      <c r="C763" s="16" t="s">
        <v>2219</v>
      </c>
      <c r="D763" s="16" t="s">
        <v>177</v>
      </c>
      <c r="E763" s="16" t="s">
        <v>527</v>
      </c>
      <c r="F763" s="26" t="n">
        <v>15357000</v>
      </c>
      <c r="G763" s="25" t="n">
        <v>25</v>
      </c>
      <c r="H763" s="22" t="n">
        <v>46204</v>
      </c>
      <c r="I763" s="22" t="n">
        <v>46381</v>
      </c>
      <c r="J763" s="22" t="n">
        <v>46125</v>
      </c>
      <c r="K763" s="16" t="s">
        <v>622</v>
      </c>
      <c r="L763" s="16" t="s">
        <v>584</v>
      </c>
      <c r="M763" s="16" t="s">
        <v>569</v>
      </c>
      <c r="N763" s="16"/>
      <c r="O763" s="7" t="n">
        <f aca="false">IF(OR(E763="Closed Won",E763="Closed Lost"),0,1)</f>
        <v>1</v>
      </c>
      <c r="P763" s="17" t="str">
        <f aca="false">INDEX(Accounts!$K$5:$K$336,MATCH(B763,Accounts!$A$5:$A$336,0))</f>
        <v>Unassigned</v>
      </c>
      <c r="Q763" s="17" t="str">
        <f aca="false">INDEX(Accounts!$D$5:$D$336,MATCH(B763,Accounts!$A$5:$A$336,0))</f>
        <v>Standard</v>
      </c>
      <c r="R763" s="7" t="n">
        <f aca="false">INDEX(Inputs!$B$11:$B$16,MATCH(E763,Inputs!$A$11:$A$16,0))</f>
        <v>25</v>
      </c>
      <c r="S763" s="27" t="n">
        <f aca="false">IF(F763="",0,F763)*R763/100</f>
        <v>3839250</v>
      </c>
      <c r="T763" s="7" t="n">
        <f aca="false">Inputs!$B$4-J763</f>
        <v>189</v>
      </c>
      <c r="U763" s="7" t="n">
        <f aca="false">IF(OR(F763="",F763=0),1,0)</f>
        <v>0</v>
      </c>
      <c r="V763" s="7" t="n">
        <f aca="false">IF(K763="",1,0)</f>
        <v>0</v>
      </c>
      <c r="W763" s="7" t="n">
        <f aca="false">IF(AND(O763=1,K763&lt;&gt;"",COUNTIFS(Owners!$A$5:$A$32,K763,Owners!$E$5:$E$32,"No")&gt;0),1,0)</f>
        <v>0</v>
      </c>
      <c r="X763" s="7" t="n">
        <f aca="false">IF(AND(O763=1,I763&lt;Inputs!$B$4),1,0)</f>
        <v>0</v>
      </c>
      <c r="Y763" s="7" t="n">
        <f aca="false">IF(AND(O763=1,T763&gt;Inputs!$B$5),1,0)</f>
        <v>1</v>
      </c>
      <c r="Z763" s="7" t="n">
        <f aca="false">IF(AND(O763=1,G763&lt;&gt;R763),1,0)</f>
        <v>0</v>
      </c>
      <c r="AA763" s="7" t="n">
        <f aca="false">IF(AND(O763=1,M763=""),1,0)</f>
        <v>0</v>
      </c>
      <c r="AB763" s="7" t="n">
        <f aca="false">IF(AND(E763="Closed Lost",N763=""),1,0)</f>
        <v>0</v>
      </c>
      <c r="AC763" s="7" t="n">
        <f aca="false">SUM(U763:AB763)</f>
        <v>1</v>
      </c>
      <c r="AD763" s="7" t="n">
        <f aca="false">IF(AC763=0,1,0)</f>
        <v>0</v>
      </c>
      <c r="AE763" s="7" t="n">
        <f aca="false">IF(AND(O763=1,I763&gt;=Inputs!$B$6,I763&lt;=Inputs!$B$7),1,0)</f>
        <v>1</v>
      </c>
      <c r="AF763" s="7" t="n">
        <f aca="false">IF(AND(E763="Closed Won",I763&gt;=Inputs!$B$6,I763&lt;=Inputs!$B$4),1,0)</f>
        <v>0</v>
      </c>
      <c r="AG763" s="7" t="n">
        <f aca="false">IF(AND(O763=0,I763&gt;Inputs!$B$4-Inputs!$B$8,I763&lt;=Inputs!$B$4),1,0)</f>
        <v>0</v>
      </c>
      <c r="AH763" s="7" t="n">
        <f aca="false">I763-H763</f>
        <v>177</v>
      </c>
    </row>
    <row r="764" customFormat="false" ht="15" hidden="false" customHeight="false" outlineLevel="0" collapsed="false">
      <c r="A764" s="16" t="s">
        <v>2220</v>
      </c>
      <c r="B764" s="16" t="s">
        <v>351</v>
      </c>
      <c r="C764" s="16" t="s">
        <v>2221</v>
      </c>
      <c r="D764" s="16" t="s">
        <v>165</v>
      </c>
      <c r="E764" s="16" t="s">
        <v>527</v>
      </c>
      <c r="F764" s="26" t="n">
        <v>15271000</v>
      </c>
      <c r="G764" s="25" t="n">
        <v>25</v>
      </c>
      <c r="H764" s="22" t="n">
        <v>46292</v>
      </c>
      <c r="I764" s="22" t="n">
        <v>46279</v>
      </c>
      <c r="J764" s="22" t="n">
        <v>46308</v>
      </c>
      <c r="K764" s="16" t="s">
        <v>860</v>
      </c>
      <c r="L764" s="16" t="s">
        <v>584</v>
      </c>
      <c r="M764" s="16"/>
      <c r="N764" s="16"/>
      <c r="O764" s="7" t="n">
        <f aca="false">IF(OR(E764="Closed Won",E764="Closed Lost"),0,1)</f>
        <v>1</v>
      </c>
      <c r="P764" s="17" t="str">
        <f aca="false">INDEX(Accounts!$K$5:$K$336,MATCH(B764,Accounts!$A$5:$A$336,0))</f>
        <v>Public Sector &amp; Development</v>
      </c>
      <c r="Q764" s="17" t="str">
        <f aca="false">INDEX(Accounts!$D$5:$D$336,MATCH(B764,Accounts!$A$5:$A$336,0))</f>
        <v>Standard</v>
      </c>
      <c r="R764" s="7" t="n">
        <f aca="false">INDEX(Inputs!$B$11:$B$16,MATCH(E764,Inputs!$A$11:$A$16,0))</f>
        <v>25</v>
      </c>
      <c r="S764" s="27" t="n">
        <f aca="false">IF(F764="",0,F764)*R764/100</f>
        <v>3817750</v>
      </c>
      <c r="T764" s="7" t="n">
        <f aca="false">Inputs!$B$4-J764</f>
        <v>6</v>
      </c>
      <c r="U764" s="7" t="n">
        <f aca="false">IF(OR(F764="",F764=0),1,0)</f>
        <v>0</v>
      </c>
      <c r="V764" s="7" t="n">
        <f aca="false">IF(K764="",1,0)</f>
        <v>0</v>
      </c>
      <c r="W764" s="7" t="n">
        <f aca="false">IF(AND(O764=1,K764&lt;&gt;"",COUNTIFS(Owners!$A$5:$A$32,K764,Owners!$E$5:$E$32,"No")&gt;0),1,0)</f>
        <v>0</v>
      </c>
      <c r="X764" s="7" t="n">
        <f aca="false">IF(AND(O764=1,I764&lt;Inputs!$B$4),1,0)</f>
        <v>1</v>
      </c>
      <c r="Y764" s="7" t="n">
        <f aca="false">IF(AND(O764=1,T764&gt;Inputs!$B$5),1,0)</f>
        <v>0</v>
      </c>
      <c r="Z764" s="7" t="n">
        <f aca="false">IF(AND(O764=1,G764&lt;&gt;R764),1,0)</f>
        <v>0</v>
      </c>
      <c r="AA764" s="7" t="n">
        <f aca="false">IF(AND(O764=1,M764=""),1,0)</f>
        <v>1</v>
      </c>
      <c r="AB764" s="7" t="n">
        <f aca="false">IF(AND(E764="Closed Lost",N764=""),1,0)</f>
        <v>0</v>
      </c>
      <c r="AC764" s="7" t="n">
        <f aca="false">SUM(U764:AB764)</f>
        <v>2</v>
      </c>
      <c r="AD764" s="7" t="n">
        <f aca="false">IF(AC764=0,1,0)</f>
        <v>0</v>
      </c>
      <c r="AE764" s="7" t="n">
        <f aca="false">IF(AND(O764=1,I764&gt;=Inputs!$B$6,I764&lt;=Inputs!$B$7),1,0)</f>
        <v>1</v>
      </c>
      <c r="AF764" s="7" t="n">
        <f aca="false">IF(AND(E764="Closed Won",I764&gt;=Inputs!$B$6,I764&lt;=Inputs!$B$4),1,0)</f>
        <v>0</v>
      </c>
      <c r="AG764" s="7" t="n">
        <f aca="false">IF(AND(O764=0,I764&gt;Inputs!$B$4-Inputs!$B$8,I764&lt;=Inputs!$B$4),1,0)</f>
        <v>0</v>
      </c>
      <c r="AH764" s="7" t="n">
        <f aca="false">I764-H764</f>
        <v>-13</v>
      </c>
    </row>
    <row r="765" customFormat="false" ht="15" hidden="false" customHeight="false" outlineLevel="0" collapsed="false">
      <c r="A765" s="16" t="s">
        <v>2222</v>
      </c>
      <c r="B765" s="16" t="s">
        <v>58</v>
      </c>
      <c r="C765" s="16" t="s">
        <v>2223</v>
      </c>
      <c r="D765" s="16" t="s">
        <v>167</v>
      </c>
      <c r="E765" s="16" t="s">
        <v>528</v>
      </c>
      <c r="F765" s="26" t="n">
        <v>11706000</v>
      </c>
      <c r="G765" s="25" t="n">
        <v>50</v>
      </c>
      <c r="H765" s="22" t="n">
        <v>46277</v>
      </c>
      <c r="I765" s="22" t="n">
        <v>46570</v>
      </c>
      <c r="J765" s="22" t="n">
        <v>46266</v>
      </c>
      <c r="K765" s="16" t="s">
        <v>654</v>
      </c>
      <c r="L765" s="16" t="s">
        <v>609</v>
      </c>
      <c r="M765" s="16"/>
      <c r="N765" s="16"/>
      <c r="O765" s="7" t="n">
        <f aca="false">IF(OR(E765="Closed Won",E765="Closed Lost"),0,1)</f>
        <v>1</v>
      </c>
      <c r="P765" s="17" t="str">
        <f aca="false">INDEX(Accounts!$K$5:$K$336,MATCH(B765,Accounts!$A$5:$A$336,0))</f>
        <v>Financial Services</v>
      </c>
      <c r="Q765" s="17" t="str">
        <f aca="false">INDEX(Accounts!$D$5:$D$336,MATCH(B765,Accounts!$A$5:$A$336,0))</f>
        <v>Priority</v>
      </c>
      <c r="R765" s="7" t="n">
        <f aca="false">INDEX(Inputs!$B$11:$B$16,MATCH(E765,Inputs!$A$11:$A$16,0))</f>
        <v>50</v>
      </c>
      <c r="S765" s="27" t="n">
        <f aca="false">IF(F765="",0,F765)*R765/100</f>
        <v>5853000</v>
      </c>
      <c r="T765" s="7" t="n">
        <f aca="false">Inputs!$B$4-J765</f>
        <v>48</v>
      </c>
      <c r="U765" s="7" t="n">
        <f aca="false">IF(OR(F765="",F765=0),1,0)</f>
        <v>0</v>
      </c>
      <c r="V765" s="7" t="n">
        <f aca="false">IF(K765="",1,0)</f>
        <v>0</v>
      </c>
      <c r="W765" s="7" t="n">
        <f aca="false">IF(AND(O765=1,K765&lt;&gt;"",COUNTIFS(Owners!$A$5:$A$32,K765,Owners!$E$5:$E$32,"No")&gt;0),1,0)</f>
        <v>0</v>
      </c>
      <c r="X765" s="7" t="n">
        <f aca="false">IF(AND(O765=1,I765&lt;Inputs!$B$4),1,0)</f>
        <v>0</v>
      </c>
      <c r="Y765" s="7" t="n">
        <f aca="false">IF(AND(O765=1,T765&gt;Inputs!$B$5),1,0)</f>
        <v>0</v>
      </c>
      <c r="Z765" s="7" t="n">
        <f aca="false">IF(AND(O765=1,G765&lt;&gt;R765),1,0)</f>
        <v>0</v>
      </c>
      <c r="AA765" s="7" t="n">
        <f aca="false">IF(AND(O765=1,M765=""),1,0)</f>
        <v>1</v>
      </c>
      <c r="AB765" s="7" t="n">
        <f aca="false">IF(AND(E765="Closed Lost",N765=""),1,0)</f>
        <v>0</v>
      </c>
      <c r="AC765" s="7" t="n">
        <f aca="false">SUM(U765:AB765)</f>
        <v>1</v>
      </c>
      <c r="AD765" s="7" t="n">
        <f aca="false">IF(AC765=0,1,0)</f>
        <v>0</v>
      </c>
      <c r="AE765" s="7" t="n">
        <f aca="false">IF(AND(O765=1,I765&gt;=Inputs!$B$6,I765&lt;=Inputs!$B$7),1,0)</f>
        <v>0</v>
      </c>
      <c r="AF765" s="7" t="n">
        <f aca="false">IF(AND(E765="Closed Won",I765&gt;=Inputs!$B$6,I765&lt;=Inputs!$B$4),1,0)</f>
        <v>0</v>
      </c>
      <c r="AG765" s="7" t="n">
        <f aca="false">IF(AND(O765=0,I765&gt;Inputs!$B$4-Inputs!$B$8,I765&lt;=Inputs!$B$4),1,0)</f>
        <v>0</v>
      </c>
      <c r="AH765" s="7" t="n">
        <f aca="false">I765-H765</f>
        <v>293</v>
      </c>
    </row>
    <row r="766" customFormat="false" ht="15" hidden="false" customHeight="false" outlineLevel="0" collapsed="false">
      <c r="A766" s="16" t="s">
        <v>2224</v>
      </c>
      <c r="B766" s="16" t="s">
        <v>435</v>
      </c>
      <c r="C766" s="16" t="s">
        <v>2089</v>
      </c>
      <c r="D766" s="16" t="s">
        <v>162</v>
      </c>
      <c r="E766" s="16" t="s">
        <v>528</v>
      </c>
      <c r="F766" s="26" t="n">
        <v>13584000</v>
      </c>
      <c r="G766" s="25" t="n">
        <v>50</v>
      </c>
      <c r="H766" s="22" t="n">
        <v>46298</v>
      </c>
      <c r="I766" s="22" t="n">
        <v>46559</v>
      </c>
      <c r="J766" s="22" t="n">
        <v>46300</v>
      </c>
      <c r="K766" s="16" t="s">
        <v>677</v>
      </c>
      <c r="L766" s="16" t="s">
        <v>584</v>
      </c>
      <c r="M766" s="16" t="s">
        <v>569</v>
      </c>
      <c r="N766" s="16"/>
      <c r="O766" s="7" t="n">
        <f aca="false">IF(OR(E766="Closed Won",E766="Closed Lost"),0,1)</f>
        <v>1</v>
      </c>
      <c r="P766" s="17" t="str">
        <f aca="false">INDEX(Accounts!$K$5:$K$336,MATCH(B766,Accounts!$A$5:$A$336,0))</f>
        <v>Consumer &amp; Retail</v>
      </c>
      <c r="Q766" s="17" t="str">
        <f aca="false">INDEX(Accounts!$D$5:$D$336,MATCH(B766,Accounts!$A$5:$A$336,0))</f>
        <v>Standard</v>
      </c>
      <c r="R766" s="7" t="n">
        <f aca="false">INDEX(Inputs!$B$11:$B$16,MATCH(E766,Inputs!$A$11:$A$16,0))</f>
        <v>50</v>
      </c>
      <c r="S766" s="27" t="n">
        <f aca="false">IF(F766="",0,F766)*R766/100</f>
        <v>6792000</v>
      </c>
      <c r="T766" s="7" t="n">
        <f aca="false">Inputs!$B$4-J766</f>
        <v>14</v>
      </c>
      <c r="U766" s="7" t="n">
        <f aca="false">IF(OR(F766="",F766=0),1,0)</f>
        <v>0</v>
      </c>
      <c r="V766" s="7" t="n">
        <f aca="false">IF(K766="",1,0)</f>
        <v>0</v>
      </c>
      <c r="W766" s="7" t="n">
        <f aca="false">IF(AND(O766=1,K766&lt;&gt;"",COUNTIFS(Owners!$A$5:$A$32,K766,Owners!$E$5:$E$32,"No")&gt;0),1,0)</f>
        <v>0</v>
      </c>
      <c r="X766" s="7" t="n">
        <f aca="false">IF(AND(O766=1,I766&lt;Inputs!$B$4),1,0)</f>
        <v>0</v>
      </c>
      <c r="Y766" s="7" t="n">
        <f aca="false">IF(AND(O766=1,T766&gt;Inputs!$B$5),1,0)</f>
        <v>0</v>
      </c>
      <c r="Z766" s="7" t="n">
        <f aca="false">IF(AND(O766=1,G766&lt;&gt;R766),1,0)</f>
        <v>0</v>
      </c>
      <c r="AA766" s="7" t="n">
        <f aca="false">IF(AND(O766=1,M766=""),1,0)</f>
        <v>0</v>
      </c>
      <c r="AB766" s="7" t="n">
        <f aca="false">IF(AND(E766="Closed Lost",N766=""),1,0)</f>
        <v>0</v>
      </c>
      <c r="AC766" s="7" t="n">
        <f aca="false">SUM(U766:AB766)</f>
        <v>0</v>
      </c>
      <c r="AD766" s="7" t="n">
        <f aca="false">IF(AC766=0,1,0)</f>
        <v>1</v>
      </c>
      <c r="AE766" s="7" t="n">
        <f aca="false">IF(AND(O766=1,I766&gt;=Inputs!$B$6,I766&lt;=Inputs!$B$7),1,0)</f>
        <v>1</v>
      </c>
      <c r="AF766" s="7" t="n">
        <f aca="false">IF(AND(E766="Closed Won",I766&gt;=Inputs!$B$6,I766&lt;=Inputs!$B$4),1,0)</f>
        <v>0</v>
      </c>
      <c r="AG766" s="7" t="n">
        <f aca="false">IF(AND(O766=0,I766&gt;Inputs!$B$4-Inputs!$B$8,I766&lt;=Inputs!$B$4),1,0)</f>
        <v>0</v>
      </c>
      <c r="AH766" s="7" t="n">
        <f aca="false">I766-H766</f>
        <v>261</v>
      </c>
    </row>
    <row r="767" customFormat="false" ht="15" hidden="false" customHeight="false" outlineLevel="0" collapsed="false">
      <c r="A767" s="16" t="s">
        <v>2225</v>
      </c>
      <c r="B767" s="16" t="s">
        <v>67</v>
      </c>
      <c r="C767" s="16" t="s">
        <v>1853</v>
      </c>
      <c r="D767" s="16" t="s">
        <v>165</v>
      </c>
      <c r="E767" s="16" t="s">
        <v>526</v>
      </c>
      <c r="F767" s="26" t="n">
        <v>27083000</v>
      </c>
      <c r="G767" s="25" t="n">
        <v>90</v>
      </c>
      <c r="H767" s="22" t="n">
        <v>46295</v>
      </c>
      <c r="I767" s="22" t="n">
        <v>46542</v>
      </c>
      <c r="J767" s="22" t="n">
        <v>46284</v>
      </c>
      <c r="K767" s="16" t="s">
        <v>596</v>
      </c>
      <c r="L767" s="16" t="s">
        <v>592</v>
      </c>
      <c r="M767" s="16" t="s">
        <v>593</v>
      </c>
      <c r="N767" s="16"/>
      <c r="O767" s="7" t="n">
        <f aca="false">IF(OR(E767="Closed Won",E767="Closed Lost"),0,1)</f>
        <v>1</v>
      </c>
      <c r="P767" s="17" t="str">
        <f aca="false">INDEX(Accounts!$K$5:$K$336,MATCH(B767,Accounts!$A$5:$A$336,0))</f>
        <v>Financial Services</v>
      </c>
      <c r="Q767" s="17" t="str">
        <f aca="false">INDEX(Accounts!$D$5:$D$336,MATCH(B767,Accounts!$A$5:$A$336,0))</f>
        <v>Priority</v>
      </c>
      <c r="R767" s="7" t="n">
        <f aca="false">INDEX(Inputs!$B$11:$B$16,MATCH(E767,Inputs!$A$11:$A$16,0))</f>
        <v>10</v>
      </c>
      <c r="S767" s="27" t="n">
        <f aca="false">IF(F767="",0,F767)*R767/100</f>
        <v>2708300</v>
      </c>
      <c r="T767" s="7" t="n">
        <f aca="false">Inputs!$B$4-J767</f>
        <v>30</v>
      </c>
      <c r="U767" s="7" t="n">
        <f aca="false">IF(OR(F767="",F767=0),1,0)</f>
        <v>0</v>
      </c>
      <c r="V767" s="7" t="n">
        <f aca="false">IF(K767="",1,0)</f>
        <v>0</v>
      </c>
      <c r="W767" s="7" t="n">
        <f aca="false">IF(AND(O767=1,K767&lt;&gt;"",COUNTIFS(Owners!$A$5:$A$32,K767,Owners!$E$5:$E$32,"No")&gt;0),1,0)</f>
        <v>0</v>
      </c>
      <c r="X767" s="7" t="n">
        <f aca="false">IF(AND(O767=1,I767&lt;Inputs!$B$4),1,0)</f>
        <v>0</v>
      </c>
      <c r="Y767" s="7" t="n">
        <f aca="false">IF(AND(O767=1,T767&gt;Inputs!$B$5),1,0)</f>
        <v>0</v>
      </c>
      <c r="Z767" s="7" t="n">
        <f aca="false">IF(AND(O767=1,G767&lt;&gt;R767),1,0)</f>
        <v>1</v>
      </c>
      <c r="AA767" s="7" t="n">
        <f aca="false">IF(AND(O767=1,M767=""),1,0)</f>
        <v>0</v>
      </c>
      <c r="AB767" s="7" t="n">
        <f aca="false">IF(AND(E767="Closed Lost",N767=""),1,0)</f>
        <v>0</v>
      </c>
      <c r="AC767" s="7" t="n">
        <f aca="false">SUM(U767:AB767)</f>
        <v>1</v>
      </c>
      <c r="AD767" s="7" t="n">
        <f aca="false">IF(AC767=0,1,0)</f>
        <v>0</v>
      </c>
      <c r="AE767" s="7" t="n">
        <f aca="false">IF(AND(O767=1,I767&gt;=Inputs!$B$6,I767&lt;=Inputs!$B$7),1,0)</f>
        <v>1</v>
      </c>
      <c r="AF767" s="7" t="n">
        <f aca="false">IF(AND(E767="Closed Won",I767&gt;=Inputs!$B$6,I767&lt;=Inputs!$B$4),1,0)</f>
        <v>0</v>
      </c>
      <c r="AG767" s="7" t="n">
        <f aca="false">IF(AND(O767=0,I767&gt;Inputs!$B$4-Inputs!$B$8,I767&lt;=Inputs!$B$4),1,0)</f>
        <v>0</v>
      </c>
      <c r="AH767" s="7" t="n">
        <f aca="false">I767-H767</f>
        <v>247</v>
      </c>
    </row>
    <row r="768" customFormat="false" ht="15" hidden="false" customHeight="false" outlineLevel="0" collapsed="false">
      <c r="A768" s="16" t="s">
        <v>2226</v>
      </c>
      <c r="B768" s="16" t="s">
        <v>185</v>
      </c>
      <c r="C768" s="16" t="s">
        <v>2227</v>
      </c>
      <c r="D768" s="16" t="s">
        <v>167</v>
      </c>
      <c r="E768" s="16" t="s">
        <v>529</v>
      </c>
      <c r="F768" s="26" t="n">
        <v>3475000</v>
      </c>
      <c r="G768" s="25" t="n">
        <v>75</v>
      </c>
      <c r="H768" s="22" t="n">
        <v>46236</v>
      </c>
      <c r="I768" s="22" t="n">
        <v>46544</v>
      </c>
      <c r="J768" s="22" t="n">
        <v>46293</v>
      </c>
      <c r="K768" s="16" t="s">
        <v>604</v>
      </c>
      <c r="L768" s="16" t="s">
        <v>609</v>
      </c>
      <c r="M768" s="16" t="s">
        <v>613</v>
      </c>
      <c r="N768" s="16"/>
      <c r="O768" s="7" t="n">
        <f aca="false">IF(OR(E768="Closed Won",E768="Closed Lost"),0,1)</f>
        <v>1</v>
      </c>
      <c r="P768" s="17" t="str">
        <f aca="false">INDEX(Accounts!$K$5:$K$336,MATCH(B768,Accounts!$A$5:$A$336,0))</f>
        <v>Consumer &amp; Retail</v>
      </c>
      <c r="Q768" s="17" t="str">
        <f aca="false">INDEX(Accounts!$D$5:$D$336,MATCH(B768,Accounts!$A$5:$A$336,0))</f>
        <v>Standard</v>
      </c>
      <c r="R768" s="7" t="n">
        <f aca="false">INDEX(Inputs!$B$11:$B$16,MATCH(E768,Inputs!$A$11:$A$16,0))</f>
        <v>75</v>
      </c>
      <c r="S768" s="27" t="n">
        <f aca="false">IF(F768="",0,F768)*R768/100</f>
        <v>2606250</v>
      </c>
      <c r="T768" s="7" t="n">
        <f aca="false">Inputs!$B$4-J768</f>
        <v>21</v>
      </c>
      <c r="U768" s="7" t="n">
        <f aca="false">IF(OR(F768="",F768=0),1,0)</f>
        <v>0</v>
      </c>
      <c r="V768" s="7" t="n">
        <f aca="false">IF(K768="",1,0)</f>
        <v>0</v>
      </c>
      <c r="W768" s="7" t="n">
        <f aca="false">IF(AND(O768=1,K768&lt;&gt;"",COUNTIFS(Owners!$A$5:$A$32,K768,Owners!$E$5:$E$32,"No")&gt;0),1,0)</f>
        <v>0</v>
      </c>
      <c r="X768" s="7" t="n">
        <f aca="false">IF(AND(O768=1,I768&lt;Inputs!$B$4),1,0)</f>
        <v>0</v>
      </c>
      <c r="Y768" s="7" t="n">
        <f aca="false">IF(AND(O768=1,T768&gt;Inputs!$B$5),1,0)</f>
        <v>0</v>
      </c>
      <c r="Z768" s="7" t="n">
        <f aca="false">IF(AND(O768=1,G768&lt;&gt;R768),1,0)</f>
        <v>0</v>
      </c>
      <c r="AA768" s="7" t="n">
        <f aca="false">IF(AND(O768=1,M768=""),1,0)</f>
        <v>0</v>
      </c>
      <c r="AB768" s="7" t="n">
        <f aca="false">IF(AND(E768="Closed Lost",N768=""),1,0)</f>
        <v>0</v>
      </c>
      <c r="AC768" s="7" t="n">
        <f aca="false">SUM(U768:AB768)</f>
        <v>0</v>
      </c>
      <c r="AD768" s="7" t="n">
        <f aca="false">IF(AC768=0,1,0)</f>
        <v>1</v>
      </c>
      <c r="AE768" s="7" t="n">
        <f aca="false">IF(AND(O768=1,I768&gt;=Inputs!$B$6,I768&lt;=Inputs!$B$7),1,0)</f>
        <v>1</v>
      </c>
      <c r="AF768" s="7" t="n">
        <f aca="false">IF(AND(E768="Closed Won",I768&gt;=Inputs!$B$6,I768&lt;=Inputs!$B$4),1,0)</f>
        <v>0</v>
      </c>
      <c r="AG768" s="7" t="n">
        <f aca="false">IF(AND(O768=0,I768&gt;Inputs!$B$4-Inputs!$B$8,I768&lt;=Inputs!$B$4),1,0)</f>
        <v>0</v>
      </c>
      <c r="AH768" s="7" t="n">
        <f aca="false">I768-H768</f>
        <v>308</v>
      </c>
    </row>
    <row r="769" customFormat="false" ht="15" hidden="false" customHeight="false" outlineLevel="0" collapsed="false">
      <c r="A769" s="16" t="s">
        <v>2228</v>
      </c>
      <c r="B769" s="16" t="s">
        <v>1327</v>
      </c>
      <c r="C769" s="16" t="s">
        <v>2229</v>
      </c>
      <c r="D769" s="16" t="s">
        <v>167</v>
      </c>
      <c r="E769" s="16" t="s">
        <v>530</v>
      </c>
      <c r="F769" s="26" t="n">
        <v>1956000</v>
      </c>
      <c r="G769" s="25" t="n">
        <v>100</v>
      </c>
      <c r="H769" s="22" t="n">
        <v>46175</v>
      </c>
      <c r="I769" s="22" t="n">
        <v>46264</v>
      </c>
      <c r="J769" s="22" t="n">
        <v>46264</v>
      </c>
      <c r="K769" s="16" t="s">
        <v>640</v>
      </c>
      <c r="L769" s="16" t="s">
        <v>584</v>
      </c>
      <c r="M769" s="16"/>
      <c r="N769" s="16"/>
      <c r="O769" s="7" t="n">
        <f aca="false">IF(OR(E769="Closed Won",E769="Closed Lost"),0,1)</f>
        <v>0</v>
      </c>
      <c r="P769" s="17" t="str">
        <f aca="false">INDEX(Accounts!$K$5:$K$336,MATCH(B769,Accounts!$A$5:$A$336,0))</f>
        <v>Energy &amp; Resources</v>
      </c>
      <c r="Q769" s="17" t="str">
        <f aca="false">INDEX(Accounts!$D$5:$D$336,MATCH(B769,Accounts!$A$5:$A$336,0))</f>
        <v>Key</v>
      </c>
      <c r="R769" s="7" t="n">
        <f aca="false">INDEX(Inputs!$B$11:$B$16,MATCH(E769,Inputs!$A$11:$A$16,0))</f>
        <v>100</v>
      </c>
      <c r="S769" s="27" t="n">
        <f aca="false">IF(F769="",0,F769)*R769/100</f>
        <v>1956000</v>
      </c>
      <c r="T769" s="7" t="n">
        <f aca="false">Inputs!$B$4-J769</f>
        <v>50</v>
      </c>
      <c r="U769" s="7" t="n">
        <f aca="false">IF(OR(F769="",F769=0),1,0)</f>
        <v>0</v>
      </c>
      <c r="V769" s="7" t="n">
        <f aca="false">IF(K769="",1,0)</f>
        <v>0</v>
      </c>
      <c r="W769" s="7" t="n">
        <f aca="false">IF(AND(O769=1,K769&lt;&gt;"",COUNTIFS(Owners!$A$5:$A$32,K769,Owners!$E$5:$E$32,"No")&gt;0),1,0)</f>
        <v>0</v>
      </c>
      <c r="X769" s="7" t="n">
        <f aca="false">IF(AND(O769=1,I769&lt;Inputs!$B$4),1,0)</f>
        <v>0</v>
      </c>
      <c r="Y769" s="7" t="n">
        <f aca="false">IF(AND(O769=1,T769&gt;Inputs!$B$5),1,0)</f>
        <v>0</v>
      </c>
      <c r="Z769" s="7" t="n">
        <f aca="false">IF(AND(O769=1,G769&lt;&gt;R769),1,0)</f>
        <v>0</v>
      </c>
      <c r="AA769" s="7" t="n">
        <f aca="false">IF(AND(O769=1,M769=""),1,0)</f>
        <v>0</v>
      </c>
      <c r="AB769" s="7" t="n">
        <f aca="false">IF(AND(E769="Closed Lost",N769=""),1,0)</f>
        <v>0</v>
      </c>
      <c r="AC769" s="7" t="n">
        <f aca="false">SUM(U769:AB769)</f>
        <v>0</v>
      </c>
      <c r="AD769" s="7" t="n">
        <f aca="false">IF(AC769=0,1,0)</f>
        <v>1</v>
      </c>
      <c r="AE769" s="7" t="n">
        <f aca="false">IF(AND(O769=1,I769&gt;=Inputs!$B$6,I769&lt;=Inputs!$B$7),1,0)</f>
        <v>0</v>
      </c>
      <c r="AF769" s="7" t="n">
        <f aca="false">IF(AND(E769="Closed Won",I769&gt;=Inputs!$B$6,I769&lt;=Inputs!$B$4),1,0)</f>
        <v>1</v>
      </c>
      <c r="AG769" s="7" t="n">
        <f aca="false">IF(AND(O769=0,I769&gt;Inputs!$B$4-Inputs!$B$8,I769&lt;=Inputs!$B$4),1,0)</f>
        <v>1</v>
      </c>
      <c r="AH769" s="7" t="n">
        <f aca="false">I769-H769</f>
        <v>89</v>
      </c>
    </row>
    <row r="770" customFormat="false" ht="15" hidden="false" customHeight="false" outlineLevel="0" collapsed="false">
      <c r="A770" s="16" t="s">
        <v>2230</v>
      </c>
      <c r="B770" s="16" t="s">
        <v>435</v>
      </c>
      <c r="C770" s="16" t="s">
        <v>2231</v>
      </c>
      <c r="D770" s="16" t="s">
        <v>162</v>
      </c>
      <c r="E770" s="16" t="s">
        <v>531</v>
      </c>
      <c r="F770" s="26" t="n">
        <v>7551000</v>
      </c>
      <c r="G770" s="25" t="n">
        <v>0</v>
      </c>
      <c r="H770" s="22" t="n">
        <v>45925</v>
      </c>
      <c r="I770" s="22" t="n">
        <v>46154</v>
      </c>
      <c r="J770" s="22" t="n">
        <v>46154</v>
      </c>
      <c r="K770" s="16" t="s">
        <v>567</v>
      </c>
      <c r="L770" s="16" t="s">
        <v>592</v>
      </c>
      <c r="M770" s="16"/>
      <c r="N770" s="16" t="s">
        <v>597</v>
      </c>
      <c r="O770" s="7" t="n">
        <f aca="false">IF(OR(E770="Closed Won",E770="Closed Lost"),0,1)</f>
        <v>0</v>
      </c>
      <c r="P770" s="17" t="str">
        <f aca="false">INDEX(Accounts!$K$5:$K$336,MATCH(B770,Accounts!$A$5:$A$336,0))</f>
        <v>Consumer &amp; Retail</v>
      </c>
      <c r="Q770" s="17" t="str">
        <f aca="false">INDEX(Accounts!$D$5:$D$336,MATCH(B770,Accounts!$A$5:$A$336,0))</f>
        <v>Standard</v>
      </c>
      <c r="R770" s="7" t="n">
        <f aca="false">INDEX(Inputs!$B$11:$B$16,MATCH(E770,Inputs!$A$11:$A$16,0))</f>
        <v>0</v>
      </c>
      <c r="S770" s="27" t="n">
        <f aca="false">IF(F770="",0,F770)*R770/100</f>
        <v>0</v>
      </c>
      <c r="T770" s="7" t="n">
        <f aca="false">Inputs!$B$4-J770</f>
        <v>160</v>
      </c>
      <c r="U770" s="7" t="n">
        <f aca="false">IF(OR(F770="",F770=0),1,0)</f>
        <v>0</v>
      </c>
      <c r="V770" s="7" t="n">
        <f aca="false">IF(K770="",1,0)</f>
        <v>0</v>
      </c>
      <c r="W770" s="7" t="n">
        <f aca="false">IF(AND(O770=1,K770&lt;&gt;"",COUNTIFS(Owners!$A$5:$A$32,K770,Owners!$E$5:$E$32,"No")&gt;0),1,0)</f>
        <v>0</v>
      </c>
      <c r="X770" s="7" t="n">
        <f aca="false">IF(AND(O770=1,I770&lt;Inputs!$B$4),1,0)</f>
        <v>0</v>
      </c>
      <c r="Y770" s="7" t="n">
        <f aca="false">IF(AND(O770=1,T770&gt;Inputs!$B$5),1,0)</f>
        <v>0</v>
      </c>
      <c r="Z770" s="7" t="n">
        <f aca="false">IF(AND(O770=1,G770&lt;&gt;R770),1,0)</f>
        <v>0</v>
      </c>
      <c r="AA770" s="7" t="n">
        <f aca="false">IF(AND(O770=1,M770=""),1,0)</f>
        <v>0</v>
      </c>
      <c r="AB770" s="7" t="n">
        <f aca="false">IF(AND(E770="Closed Lost",N770=""),1,0)</f>
        <v>0</v>
      </c>
      <c r="AC770" s="7" t="n">
        <f aca="false">SUM(U770:AB770)</f>
        <v>0</v>
      </c>
      <c r="AD770" s="7" t="n">
        <f aca="false">IF(AC770=0,1,0)</f>
        <v>1</v>
      </c>
      <c r="AE770" s="7" t="n">
        <f aca="false">IF(AND(O770=1,I770&gt;=Inputs!$B$6,I770&lt;=Inputs!$B$7),1,0)</f>
        <v>0</v>
      </c>
      <c r="AF770" s="7" t="n">
        <f aca="false">IF(AND(E770="Closed Won",I770&gt;=Inputs!$B$6,I770&lt;=Inputs!$B$4),1,0)</f>
        <v>0</v>
      </c>
      <c r="AG770" s="7" t="n">
        <f aca="false">IF(AND(O770=0,I770&gt;Inputs!$B$4-Inputs!$B$8,I770&lt;=Inputs!$B$4),1,0)</f>
        <v>1</v>
      </c>
      <c r="AH770" s="7" t="n">
        <f aca="false">I770-H770</f>
        <v>229</v>
      </c>
    </row>
    <row r="771" customFormat="false" ht="15" hidden="false" customHeight="false" outlineLevel="0" collapsed="false">
      <c r="A771" s="16" t="s">
        <v>2232</v>
      </c>
      <c r="B771" s="16" t="s">
        <v>1092</v>
      </c>
      <c r="C771" s="16" t="s">
        <v>2233</v>
      </c>
      <c r="D771" s="16" t="s">
        <v>162</v>
      </c>
      <c r="E771" s="16" t="s">
        <v>527</v>
      </c>
      <c r="F771" s="26" t="n">
        <v>3259000</v>
      </c>
      <c r="G771" s="25" t="n">
        <v>25</v>
      </c>
      <c r="H771" s="22" t="n">
        <v>46286</v>
      </c>
      <c r="I771" s="22" t="n">
        <v>46335</v>
      </c>
      <c r="J771" s="22" t="n">
        <v>46293</v>
      </c>
      <c r="K771" s="16" t="s">
        <v>666</v>
      </c>
      <c r="L771" s="16" t="s">
        <v>500</v>
      </c>
      <c r="M771" s="16" t="s">
        <v>619</v>
      </c>
      <c r="N771" s="16"/>
      <c r="O771" s="7" t="n">
        <f aca="false">IF(OR(E771="Closed Won",E771="Closed Lost"),0,1)</f>
        <v>1</v>
      </c>
      <c r="P771" s="17" t="str">
        <f aca="false">INDEX(Accounts!$K$5:$K$336,MATCH(B771,Accounts!$A$5:$A$336,0))</f>
        <v>Health</v>
      </c>
      <c r="Q771" s="17" t="str">
        <f aca="false">INDEX(Accounts!$D$5:$D$336,MATCH(B771,Accounts!$A$5:$A$336,0))</f>
        <v>Standard</v>
      </c>
      <c r="R771" s="7" t="n">
        <f aca="false">INDEX(Inputs!$B$11:$B$16,MATCH(E771,Inputs!$A$11:$A$16,0))</f>
        <v>25</v>
      </c>
      <c r="S771" s="27" t="n">
        <f aca="false">IF(F771="",0,F771)*R771/100</f>
        <v>814750</v>
      </c>
      <c r="T771" s="7" t="n">
        <f aca="false">Inputs!$B$4-J771</f>
        <v>21</v>
      </c>
      <c r="U771" s="7" t="n">
        <f aca="false">IF(OR(F771="",F771=0),1,0)</f>
        <v>0</v>
      </c>
      <c r="V771" s="7" t="n">
        <f aca="false">IF(K771="",1,0)</f>
        <v>0</v>
      </c>
      <c r="W771" s="7" t="n">
        <f aca="false">IF(AND(O771=1,K771&lt;&gt;"",COUNTIFS(Owners!$A$5:$A$32,K771,Owners!$E$5:$E$32,"No")&gt;0),1,0)</f>
        <v>0</v>
      </c>
      <c r="X771" s="7" t="n">
        <f aca="false">IF(AND(O771=1,I771&lt;Inputs!$B$4),1,0)</f>
        <v>0</v>
      </c>
      <c r="Y771" s="7" t="n">
        <f aca="false">IF(AND(O771=1,T771&gt;Inputs!$B$5),1,0)</f>
        <v>0</v>
      </c>
      <c r="Z771" s="7" t="n">
        <f aca="false">IF(AND(O771=1,G771&lt;&gt;R771),1,0)</f>
        <v>0</v>
      </c>
      <c r="AA771" s="7" t="n">
        <f aca="false">IF(AND(O771=1,M771=""),1,0)</f>
        <v>0</v>
      </c>
      <c r="AB771" s="7" t="n">
        <f aca="false">IF(AND(E771="Closed Lost",N771=""),1,0)</f>
        <v>0</v>
      </c>
      <c r="AC771" s="7" t="n">
        <f aca="false">SUM(U771:AB771)</f>
        <v>0</v>
      </c>
      <c r="AD771" s="7" t="n">
        <f aca="false">IF(AC771=0,1,0)</f>
        <v>1</v>
      </c>
      <c r="AE771" s="7" t="n">
        <f aca="false">IF(AND(O771=1,I771&gt;=Inputs!$B$6,I771&lt;=Inputs!$B$7),1,0)</f>
        <v>1</v>
      </c>
      <c r="AF771" s="7" t="n">
        <f aca="false">IF(AND(E771="Closed Won",I771&gt;=Inputs!$B$6,I771&lt;=Inputs!$B$4),1,0)</f>
        <v>0</v>
      </c>
      <c r="AG771" s="7" t="n">
        <f aca="false">IF(AND(O771=0,I771&gt;Inputs!$B$4-Inputs!$B$8,I771&lt;=Inputs!$B$4),1,0)</f>
        <v>0</v>
      </c>
      <c r="AH771" s="7" t="n">
        <f aca="false">I771-H771</f>
        <v>49</v>
      </c>
    </row>
    <row r="772" customFormat="false" ht="15" hidden="false" customHeight="false" outlineLevel="0" collapsed="false">
      <c r="A772" s="16" t="s">
        <v>2234</v>
      </c>
      <c r="B772" s="16" t="s">
        <v>389</v>
      </c>
      <c r="C772" s="16" t="s">
        <v>2235</v>
      </c>
      <c r="D772" s="16" t="s">
        <v>158</v>
      </c>
      <c r="E772" s="16" t="s">
        <v>530</v>
      </c>
      <c r="F772" s="26" t="n">
        <v>17776000</v>
      </c>
      <c r="G772" s="25" t="n">
        <v>100</v>
      </c>
      <c r="H772" s="22" t="n">
        <v>45954</v>
      </c>
      <c r="I772" s="22" t="n">
        <v>46024</v>
      </c>
      <c r="J772" s="22" t="n">
        <v>46024</v>
      </c>
      <c r="K772" s="16" t="s">
        <v>604</v>
      </c>
      <c r="L772" s="16" t="s">
        <v>584</v>
      </c>
      <c r="M772" s="16"/>
      <c r="N772" s="16"/>
      <c r="O772" s="7" t="n">
        <f aca="false">IF(OR(E772="Closed Won",E772="Closed Lost"),0,1)</f>
        <v>0</v>
      </c>
      <c r="P772" s="17" t="str">
        <f aca="false">INDEX(Accounts!$K$5:$K$336,MATCH(B772,Accounts!$A$5:$A$336,0))</f>
        <v>Health</v>
      </c>
      <c r="Q772" s="17" t="str">
        <f aca="false">INDEX(Accounts!$D$5:$D$336,MATCH(B772,Accounts!$A$5:$A$336,0))</f>
        <v>Standard</v>
      </c>
      <c r="R772" s="7" t="n">
        <f aca="false">INDEX(Inputs!$B$11:$B$16,MATCH(E772,Inputs!$A$11:$A$16,0))</f>
        <v>100</v>
      </c>
      <c r="S772" s="27" t="n">
        <f aca="false">IF(F772="",0,F772)*R772/100</f>
        <v>17776000</v>
      </c>
      <c r="T772" s="7" t="n">
        <f aca="false">Inputs!$B$4-J772</f>
        <v>290</v>
      </c>
      <c r="U772" s="7" t="n">
        <f aca="false">IF(OR(F772="",F772=0),1,0)</f>
        <v>0</v>
      </c>
      <c r="V772" s="7" t="n">
        <f aca="false">IF(K772="",1,0)</f>
        <v>0</v>
      </c>
      <c r="W772" s="7" t="n">
        <f aca="false">IF(AND(O772=1,K772&lt;&gt;"",COUNTIFS(Owners!$A$5:$A$32,K772,Owners!$E$5:$E$32,"No")&gt;0),1,0)</f>
        <v>0</v>
      </c>
      <c r="X772" s="7" t="n">
        <f aca="false">IF(AND(O772=1,I772&lt;Inputs!$B$4),1,0)</f>
        <v>0</v>
      </c>
      <c r="Y772" s="7" t="n">
        <f aca="false">IF(AND(O772=1,T772&gt;Inputs!$B$5),1,0)</f>
        <v>0</v>
      </c>
      <c r="Z772" s="7" t="n">
        <f aca="false">IF(AND(O772=1,G772&lt;&gt;R772),1,0)</f>
        <v>0</v>
      </c>
      <c r="AA772" s="7" t="n">
        <f aca="false">IF(AND(O772=1,M772=""),1,0)</f>
        <v>0</v>
      </c>
      <c r="AB772" s="7" t="n">
        <f aca="false">IF(AND(E772="Closed Lost",N772=""),1,0)</f>
        <v>0</v>
      </c>
      <c r="AC772" s="7" t="n">
        <f aca="false">SUM(U772:AB772)</f>
        <v>0</v>
      </c>
      <c r="AD772" s="7" t="n">
        <f aca="false">IF(AC772=0,1,0)</f>
        <v>1</v>
      </c>
      <c r="AE772" s="7" t="n">
        <f aca="false">IF(AND(O772=1,I772&gt;=Inputs!$B$6,I772&lt;=Inputs!$B$7),1,0)</f>
        <v>0</v>
      </c>
      <c r="AF772" s="7" t="n">
        <f aca="false">IF(AND(E772="Closed Won",I772&gt;=Inputs!$B$6,I772&lt;=Inputs!$B$4),1,0)</f>
        <v>0</v>
      </c>
      <c r="AG772" s="7" t="n">
        <f aca="false">IF(AND(O772=0,I772&gt;Inputs!$B$4-Inputs!$B$8,I772&lt;=Inputs!$B$4),1,0)</f>
        <v>1</v>
      </c>
      <c r="AH772" s="7" t="n">
        <f aca="false">I772-H772</f>
        <v>70</v>
      </c>
    </row>
    <row r="773" customFormat="false" ht="15" hidden="false" customHeight="false" outlineLevel="0" collapsed="false">
      <c r="A773" s="16" t="s">
        <v>2236</v>
      </c>
      <c r="B773" s="16" t="s">
        <v>1215</v>
      </c>
      <c r="C773" s="16" t="s">
        <v>2237</v>
      </c>
      <c r="D773" s="16" t="s">
        <v>177</v>
      </c>
      <c r="E773" s="16" t="s">
        <v>531</v>
      </c>
      <c r="F773" s="26" t="n">
        <v>11345000</v>
      </c>
      <c r="G773" s="25" t="n">
        <v>0</v>
      </c>
      <c r="H773" s="22" t="n">
        <v>46126</v>
      </c>
      <c r="I773" s="22" t="n">
        <v>46209</v>
      </c>
      <c r="J773" s="22" t="n">
        <v>46209</v>
      </c>
      <c r="K773" s="16" t="s">
        <v>654</v>
      </c>
      <c r="L773" s="16" t="s">
        <v>592</v>
      </c>
      <c r="M773" s="16"/>
      <c r="N773" s="16" t="s">
        <v>610</v>
      </c>
      <c r="O773" s="7" t="n">
        <f aca="false">IF(OR(E773="Closed Won",E773="Closed Lost"),0,1)</f>
        <v>0</v>
      </c>
      <c r="P773" s="17" t="str">
        <f aca="false">INDEX(Accounts!$K$5:$K$336,MATCH(B773,Accounts!$A$5:$A$336,0))</f>
        <v>Consumer &amp; Retail</v>
      </c>
      <c r="Q773" s="17" t="str">
        <f aca="false">INDEX(Accounts!$D$5:$D$336,MATCH(B773,Accounts!$A$5:$A$336,0))</f>
        <v>Key</v>
      </c>
      <c r="R773" s="7" t="n">
        <f aca="false">INDEX(Inputs!$B$11:$B$16,MATCH(E773,Inputs!$A$11:$A$16,0))</f>
        <v>0</v>
      </c>
      <c r="S773" s="27" t="n">
        <f aca="false">IF(F773="",0,F773)*R773/100</f>
        <v>0</v>
      </c>
      <c r="T773" s="7" t="n">
        <f aca="false">Inputs!$B$4-J773</f>
        <v>105</v>
      </c>
      <c r="U773" s="7" t="n">
        <f aca="false">IF(OR(F773="",F773=0),1,0)</f>
        <v>0</v>
      </c>
      <c r="V773" s="7" t="n">
        <f aca="false">IF(K773="",1,0)</f>
        <v>0</v>
      </c>
      <c r="W773" s="7" t="n">
        <f aca="false">IF(AND(O773=1,K773&lt;&gt;"",COUNTIFS(Owners!$A$5:$A$32,K773,Owners!$E$5:$E$32,"No")&gt;0),1,0)</f>
        <v>0</v>
      </c>
      <c r="X773" s="7" t="n">
        <f aca="false">IF(AND(O773=1,I773&lt;Inputs!$B$4),1,0)</f>
        <v>0</v>
      </c>
      <c r="Y773" s="7" t="n">
        <f aca="false">IF(AND(O773=1,T773&gt;Inputs!$B$5),1,0)</f>
        <v>0</v>
      </c>
      <c r="Z773" s="7" t="n">
        <f aca="false">IF(AND(O773=1,G773&lt;&gt;R773),1,0)</f>
        <v>0</v>
      </c>
      <c r="AA773" s="7" t="n">
        <f aca="false">IF(AND(O773=1,M773=""),1,0)</f>
        <v>0</v>
      </c>
      <c r="AB773" s="7" t="n">
        <f aca="false">IF(AND(E773="Closed Lost",N773=""),1,0)</f>
        <v>0</v>
      </c>
      <c r="AC773" s="7" t="n">
        <f aca="false">SUM(U773:AB773)</f>
        <v>0</v>
      </c>
      <c r="AD773" s="7" t="n">
        <f aca="false">IF(AC773=0,1,0)</f>
        <v>1</v>
      </c>
      <c r="AE773" s="7" t="n">
        <f aca="false">IF(AND(O773=1,I773&gt;=Inputs!$B$6,I773&lt;=Inputs!$B$7),1,0)</f>
        <v>0</v>
      </c>
      <c r="AF773" s="7" t="n">
        <f aca="false">IF(AND(E773="Closed Won",I773&gt;=Inputs!$B$6,I773&lt;=Inputs!$B$4),1,0)</f>
        <v>0</v>
      </c>
      <c r="AG773" s="7" t="n">
        <f aca="false">IF(AND(O773=0,I773&gt;Inputs!$B$4-Inputs!$B$8,I773&lt;=Inputs!$B$4),1,0)</f>
        <v>1</v>
      </c>
      <c r="AH773" s="7" t="n">
        <f aca="false">I773-H773</f>
        <v>83</v>
      </c>
    </row>
    <row r="774" customFormat="false" ht="15" hidden="false" customHeight="false" outlineLevel="0" collapsed="false">
      <c r="A774" s="16" t="s">
        <v>2238</v>
      </c>
      <c r="B774" s="16" t="s">
        <v>85</v>
      </c>
      <c r="C774" s="16" t="s">
        <v>2239</v>
      </c>
      <c r="D774" s="16" t="s">
        <v>158</v>
      </c>
      <c r="E774" s="16" t="s">
        <v>528</v>
      </c>
      <c r="F774" s="26" t="n">
        <v>190736000</v>
      </c>
      <c r="G774" s="25" t="n">
        <v>50</v>
      </c>
      <c r="H774" s="22" t="n">
        <v>46264</v>
      </c>
      <c r="I774" s="22" t="n">
        <v>46329</v>
      </c>
      <c r="J774" s="22" t="n">
        <v>46271</v>
      </c>
      <c r="K774" s="16" t="s">
        <v>880</v>
      </c>
      <c r="L774" s="16" t="s">
        <v>592</v>
      </c>
      <c r="M774" s="16" t="s">
        <v>619</v>
      </c>
      <c r="N774" s="16"/>
      <c r="O774" s="7" t="n">
        <f aca="false">IF(OR(E774="Closed Won",E774="Closed Lost"),0,1)</f>
        <v>1</v>
      </c>
      <c r="P774" s="17" t="str">
        <f aca="false">INDEX(Accounts!$K$5:$K$336,MATCH(B774,Accounts!$A$5:$A$336,0))</f>
        <v>Energy &amp; Resources</v>
      </c>
      <c r="Q774" s="17" t="str">
        <f aca="false">INDEX(Accounts!$D$5:$D$336,MATCH(B774,Accounts!$A$5:$A$336,0))</f>
        <v>Priority</v>
      </c>
      <c r="R774" s="7" t="n">
        <f aca="false">INDEX(Inputs!$B$11:$B$16,MATCH(E774,Inputs!$A$11:$A$16,0))</f>
        <v>50</v>
      </c>
      <c r="S774" s="27" t="n">
        <f aca="false">IF(F774="",0,F774)*R774/100</f>
        <v>95368000</v>
      </c>
      <c r="T774" s="7" t="n">
        <f aca="false">Inputs!$B$4-J774</f>
        <v>43</v>
      </c>
      <c r="U774" s="7" t="n">
        <f aca="false">IF(OR(F774="",F774=0),1,0)</f>
        <v>0</v>
      </c>
      <c r="V774" s="7" t="n">
        <f aca="false">IF(K774="",1,0)</f>
        <v>0</v>
      </c>
      <c r="W774" s="7" t="n">
        <f aca="false">IF(AND(O774=1,K774&lt;&gt;"",COUNTIFS(Owners!$A$5:$A$32,K774,Owners!$E$5:$E$32,"No")&gt;0),1,0)</f>
        <v>1</v>
      </c>
      <c r="X774" s="7" t="n">
        <f aca="false">IF(AND(O774=1,I774&lt;Inputs!$B$4),1,0)</f>
        <v>0</v>
      </c>
      <c r="Y774" s="7" t="n">
        <f aca="false">IF(AND(O774=1,T774&gt;Inputs!$B$5),1,0)</f>
        <v>0</v>
      </c>
      <c r="Z774" s="7" t="n">
        <f aca="false">IF(AND(O774=1,G774&lt;&gt;R774),1,0)</f>
        <v>0</v>
      </c>
      <c r="AA774" s="7" t="n">
        <f aca="false">IF(AND(O774=1,M774=""),1,0)</f>
        <v>0</v>
      </c>
      <c r="AB774" s="7" t="n">
        <f aca="false">IF(AND(E774="Closed Lost",N774=""),1,0)</f>
        <v>0</v>
      </c>
      <c r="AC774" s="7" t="n">
        <f aca="false">SUM(U774:AB774)</f>
        <v>1</v>
      </c>
      <c r="AD774" s="7" t="n">
        <f aca="false">IF(AC774=0,1,0)</f>
        <v>0</v>
      </c>
      <c r="AE774" s="7" t="n">
        <f aca="false">IF(AND(O774=1,I774&gt;=Inputs!$B$6,I774&lt;=Inputs!$B$7),1,0)</f>
        <v>1</v>
      </c>
      <c r="AF774" s="7" t="n">
        <f aca="false">IF(AND(E774="Closed Won",I774&gt;=Inputs!$B$6,I774&lt;=Inputs!$B$4),1,0)</f>
        <v>0</v>
      </c>
      <c r="AG774" s="7" t="n">
        <f aca="false">IF(AND(O774=0,I774&gt;Inputs!$B$4-Inputs!$B$8,I774&lt;=Inputs!$B$4),1,0)</f>
        <v>0</v>
      </c>
      <c r="AH774" s="7" t="n">
        <f aca="false">I774-H774</f>
        <v>65</v>
      </c>
    </row>
    <row r="775" customFormat="false" ht="15" hidden="false" customHeight="false" outlineLevel="0" collapsed="false">
      <c r="A775" s="16" t="s">
        <v>2240</v>
      </c>
      <c r="B775" s="16" t="s">
        <v>960</v>
      </c>
      <c r="C775" s="16" t="s">
        <v>2241</v>
      </c>
      <c r="D775" s="16" t="s">
        <v>177</v>
      </c>
      <c r="E775" s="16" t="s">
        <v>526</v>
      </c>
      <c r="F775" s="26" t="n">
        <v>20893000</v>
      </c>
      <c r="G775" s="25" t="n">
        <v>10</v>
      </c>
      <c r="H775" s="22" t="n">
        <v>46221</v>
      </c>
      <c r="I775" s="22" t="n">
        <v>46407</v>
      </c>
      <c r="J775" s="22" t="n">
        <v>46283</v>
      </c>
      <c r="K775" s="16" t="s">
        <v>880</v>
      </c>
      <c r="L775" s="16" t="s">
        <v>500</v>
      </c>
      <c r="M775" s="16"/>
      <c r="N775" s="16"/>
      <c r="O775" s="7" t="n">
        <f aca="false">IF(OR(E775="Closed Won",E775="Closed Lost"),0,1)</f>
        <v>1</v>
      </c>
      <c r="P775" s="17" t="str">
        <f aca="false">INDEX(Accounts!$K$5:$K$336,MATCH(B775,Accounts!$A$5:$A$336,0))</f>
        <v>Energy &amp; Resources</v>
      </c>
      <c r="Q775" s="17" t="str">
        <f aca="false">INDEX(Accounts!$D$5:$D$336,MATCH(B775,Accounts!$A$5:$A$336,0))</f>
        <v>Key</v>
      </c>
      <c r="R775" s="7" t="n">
        <f aca="false">INDEX(Inputs!$B$11:$B$16,MATCH(E775,Inputs!$A$11:$A$16,0))</f>
        <v>10</v>
      </c>
      <c r="S775" s="27" t="n">
        <f aca="false">IF(F775="",0,F775)*R775/100</f>
        <v>2089300</v>
      </c>
      <c r="T775" s="7" t="n">
        <f aca="false">Inputs!$B$4-J775</f>
        <v>31</v>
      </c>
      <c r="U775" s="7" t="n">
        <f aca="false">IF(OR(F775="",F775=0),1,0)</f>
        <v>0</v>
      </c>
      <c r="V775" s="7" t="n">
        <f aca="false">IF(K775="",1,0)</f>
        <v>0</v>
      </c>
      <c r="W775" s="7" t="n">
        <f aca="false">IF(AND(O775=1,K775&lt;&gt;"",COUNTIFS(Owners!$A$5:$A$32,K775,Owners!$E$5:$E$32,"No")&gt;0),1,0)</f>
        <v>1</v>
      </c>
      <c r="X775" s="7" t="n">
        <f aca="false">IF(AND(O775=1,I775&lt;Inputs!$B$4),1,0)</f>
        <v>0</v>
      </c>
      <c r="Y775" s="7" t="n">
        <f aca="false">IF(AND(O775=1,T775&gt;Inputs!$B$5),1,0)</f>
        <v>0</v>
      </c>
      <c r="Z775" s="7" t="n">
        <f aca="false">IF(AND(O775=1,G775&lt;&gt;R775),1,0)</f>
        <v>0</v>
      </c>
      <c r="AA775" s="7" t="n">
        <f aca="false">IF(AND(O775=1,M775=""),1,0)</f>
        <v>1</v>
      </c>
      <c r="AB775" s="7" t="n">
        <f aca="false">IF(AND(E775="Closed Lost",N775=""),1,0)</f>
        <v>0</v>
      </c>
      <c r="AC775" s="7" t="n">
        <f aca="false">SUM(U775:AB775)</f>
        <v>2</v>
      </c>
      <c r="AD775" s="7" t="n">
        <f aca="false">IF(AC775=0,1,0)</f>
        <v>0</v>
      </c>
      <c r="AE775" s="7" t="n">
        <f aca="false">IF(AND(O775=1,I775&gt;=Inputs!$B$6,I775&lt;=Inputs!$B$7),1,0)</f>
        <v>1</v>
      </c>
      <c r="AF775" s="7" t="n">
        <f aca="false">IF(AND(E775="Closed Won",I775&gt;=Inputs!$B$6,I775&lt;=Inputs!$B$4),1,0)</f>
        <v>0</v>
      </c>
      <c r="AG775" s="7" t="n">
        <f aca="false">IF(AND(O775=0,I775&gt;Inputs!$B$4-Inputs!$B$8,I775&lt;=Inputs!$B$4),1,0)</f>
        <v>0</v>
      </c>
      <c r="AH775" s="7" t="n">
        <f aca="false">I775-H775</f>
        <v>186</v>
      </c>
    </row>
    <row r="776" customFormat="false" ht="15" hidden="false" customHeight="false" outlineLevel="0" collapsed="false">
      <c r="A776" s="16" t="s">
        <v>2242</v>
      </c>
      <c r="B776" s="16" t="s">
        <v>83</v>
      </c>
      <c r="C776" s="16" t="s">
        <v>2243</v>
      </c>
      <c r="D776" s="16" t="s">
        <v>167</v>
      </c>
      <c r="E776" s="16" t="s">
        <v>527</v>
      </c>
      <c r="F776" s="26" t="n">
        <v>5960000</v>
      </c>
      <c r="G776" s="25" t="n">
        <v>25</v>
      </c>
      <c r="H776" s="22" t="n">
        <v>46181</v>
      </c>
      <c r="I776" s="22" t="n">
        <v>46304</v>
      </c>
      <c r="J776" s="22" t="n">
        <v>46288</v>
      </c>
      <c r="K776" s="16" t="s">
        <v>604</v>
      </c>
      <c r="L776" s="16" t="s">
        <v>609</v>
      </c>
      <c r="M776" s="16" t="s">
        <v>569</v>
      </c>
      <c r="N776" s="16"/>
      <c r="O776" s="7" t="n">
        <f aca="false">IF(OR(E776="Closed Won",E776="Closed Lost"),0,1)</f>
        <v>1</v>
      </c>
      <c r="P776" s="17" t="str">
        <f aca="false">INDEX(Accounts!$K$5:$K$336,MATCH(B776,Accounts!$A$5:$A$336,0))</f>
        <v>Agribusiness</v>
      </c>
      <c r="Q776" s="17" t="str">
        <f aca="false">INDEX(Accounts!$D$5:$D$336,MATCH(B776,Accounts!$A$5:$A$336,0))</f>
        <v>Priority</v>
      </c>
      <c r="R776" s="7" t="n">
        <f aca="false">INDEX(Inputs!$B$11:$B$16,MATCH(E776,Inputs!$A$11:$A$16,0))</f>
        <v>25</v>
      </c>
      <c r="S776" s="27" t="n">
        <f aca="false">IF(F776="",0,F776)*R776/100</f>
        <v>1490000</v>
      </c>
      <c r="T776" s="7" t="n">
        <f aca="false">Inputs!$B$4-J776</f>
        <v>26</v>
      </c>
      <c r="U776" s="7" t="n">
        <f aca="false">IF(OR(F776="",F776=0),1,0)</f>
        <v>0</v>
      </c>
      <c r="V776" s="7" t="n">
        <f aca="false">IF(K776="",1,0)</f>
        <v>0</v>
      </c>
      <c r="W776" s="7" t="n">
        <f aca="false">IF(AND(O776=1,K776&lt;&gt;"",COUNTIFS(Owners!$A$5:$A$32,K776,Owners!$E$5:$E$32,"No")&gt;0),1,0)</f>
        <v>0</v>
      </c>
      <c r="X776" s="7" t="n">
        <f aca="false">IF(AND(O776=1,I776&lt;Inputs!$B$4),1,0)</f>
        <v>1</v>
      </c>
      <c r="Y776" s="7" t="n">
        <f aca="false">IF(AND(O776=1,T776&gt;Inputs!$B$5),1,0)</f>
        <v>0</v>
      </c>
      <c r="Z776" s="7" t="n">
        <f aca="false">IF(AND(O776=1,G776&lt;&gt;R776),1,0)</f>
        <v>0</v>
      </c>
      <c r="AA776" s="7" t="n">
        <f aca="false">IF(AND(O776=1,M776=""),1,0)</f>
        <v>0</v>
      </c>
      <c r="AB776" s="7" t="n">
        <f aca="false">IF(AND(E776="Closed Lost",N776=""),1,0)</f>
        <v>0</v>
      </c>
      <c r="AC776" s="7" t="n">
        <f aca="false">SUM(U776:AB776)</f>
        <v>1</v>
      </c>
      <c r="AD776" s="7" t="n">
        <f aca="false">IF(AC776=0,1,0)</f>
        <v>0</v>
      </c>
      <c r="AE776" s="7" t="n">
        <f aca="false">IF(AND(O776=1,I776&gt;=Inputs!$B$6,I776&lt;=Inputs!$B$7),1,0)</f>
        <v>1</v>
      </c>
      <c r="AF776" s="7" t="n">
        <f aca="false">IF(AND(E776="Closed Won",I776&gt;=Inputs!$B$6,I776&lt;=Inputs!$B$4),1,0)</f>
        <v>0</v>
      </c>
      <c r="AG776" s="7" t="n">
        <f aca="false">IF(AND(O776=0,I776&gt;Inputs!$B$4-Inputs!$B$8,I776&lt;=Inputs!$B$4),1,0)</f>
        <v>0</v>
      </c>
      <c r="AH776" s="7" t="n">
        <f aca="false">I776-H776</f>
        <v>123</v>
      </c>
    </row>
    <row r="777" customFormat="false" ht="15" hidden="false" customHeight="false" outlineLevel="0" collapsed="false">
      <c r="A777" s="16" t="s">
        <v>2244</v>
      </c>
      <c r="B777" s="16" t="s">
        <v>88</v>
      </c>
      <c r="C777" s="16" t="s">
        <v>2245</v>
      </c>
      <c r="D777" s="16" t="s">
        <v>158</v>
      </c>
      <c r="E777" s="16" t="s">
        <v>530</v>
      </c>
      <c r="F777" s="26" t="n">
        <v>24420000</v>
      </c>
      <c r="G777" s="25" t="n">
        <v>100</v>
      </c>
      <c r="H777" s="22" t="n">
        <v>45955</v>
      </c>
      <c r="I777" s="22" t="n">
        <v>46116</v>
      </c>
      <c r="J777" s="22" t="n">
        <v>46116</v>
      </c>
      <c r="K777" s="16" t="s">
        <v>596</v>
      </c>
      <c r="L777" s="16" t="s">
        <v>500</v>
      </c>
      <c r="M777" s="16"/>
      <c r="N777" s="16"/>
      <c r="O777" s="7" t="n">
        <f aca="false">IF(OR(E777="Closed Won",E777="Closed Lost"),0,1)</f>
        <v>0</v>
      </c>
      <c r="P777" s="17" t="str">
        <f aca="false">INDEX(Accounts!$K$5:$K$336,MATCH(B777,Accounts!$A$5:$A$336,0))</f>
        <v>Agribusiness</v>
      </c>
      <c r="Q777" s="17" t="str">
        <f aca="false">INDEX(Accounts!$D$5:$D$336,MATCH(B777,Accounts!$A$5:$A$336,0))</f>
        <v>Priority</v>
      </c>
      <c r="R777" s="7" t="n">
        <f aca="false">INDEX(Inputs!$B$11:$B$16,MATCH(E777,Inputs!$A$11:$A$16,0))</f>
        <v>100</v>
      </c>
      <c r="S777" s="27" t="n">
        <f aca="false">IF(F777="",0,F777)*R777/100</f>
        <v>24420000</v>
      </c>
      <c r="T777" s="7" t="n">
        <f aca="false">Inputs!$B$4-J777</f>
        <v>198</v>
      </c>
      <c r="U777" s="7" t="n">
        <f aca="false">IF(OR(F777="",F777=0),1,0)</f>
        <v>0</v>
      </c>
      <c r="V777" s="7" t="n">
        <f aca="false">IF(K777="",1,0)</f>
        <v>0</v>
      </c>
      <c r="W777" s="7" t="n">
        <f aca="false">IF(AND(O777=1,K777&lt;&gt;"",COUNTIFS(Owners!$A$5:$A$32,K777,Owners!$E$5:$E$32,"No")&gt;0),1,0)</f>
        <v>0</v>
      </c>
      <c r="X777" s="7" t="n">
        <f aca="false">IF(AND(O777=1,I777&lt;Inputs!$B$4),1,0)</f>
        <v>0</v>
      </c>
      <c r="Y777" s="7" t="n">
        <f aca="false">IF(AND(O777=1,T777&gt;Inputs!$B$5),1,0)</f>
        <v>0</v>
      </c>
      <c r="Z777" s="7" t="n">
        <f aca="false">IF(AND(O777=1,G777&lt;&gt;R777),1,0)</f>
        <v>0</v>
      </c>
      <c r="AA777" s="7" t="n">
        <f aca="false">IF(AND(O777=1,M777=""),1,0)</f>
        <v>0</v>
      </c>
      <c r="AB777" s="7" t="n">
        <f aca="false">IF(AND(E777="Closed Lost",N777=""),1,0)</f>
        <v>0</v>
      </c>
      <c r="AC777" s="7" t="n">
        <f aca="false">SUM(U777:AB777)</f>
        <v>0</v>
      </c>
      <c r="AD777" s="7" t="n">
        <f aca="false">IF(AC777=0,1,0)</f>
        <v>1</v>
      </c>
      <c r="AE777" s="7" t="n">
        <f aca="false">IF(AND(O777=1,I777&gt;=Inputs!$B$6,I777&lt;=Inputs!$B$7),1,0)</f>
        <v>0</v>
      </c>
      <c r="AF777" s="7" t="n">
        <f aca="false">IF(AND(E777="Closed Won",I777&gt;=Inputs!$B$6,I777&lt;=Inputs!$B$4),1,0)</f>
        <v>0</v>
      </c>
      <c r="AG777" s="7" t="n">
        <f aca="false">IF(AND(O777=0,I777&gt;Inputs!$B$4-Inputs!$B$8,I777&lt;=Inputs!$B$4),1,0)</f>
        <v>1</v>
      </c>
      <c r="AH777" s="7" t="n">
        <f aca="false">I777-H777</f>
        <v>161</v>
      </c>
    </row>
    <row r="778" customFormat="false" ht="15" hidden="false" customHeight="false" outlineLevel="0" collapsed="false">
      <c r="A778" s="16" t="s">
        <v>2246</v>
      </c>
      <c r="B778" s="16" t="s">
        <v>1134</v>
      </c>
      <c r="C778" s="16" t="s">
        <v>2247</v>
      </c>
      <c r="D778" s="16" t="s">
        <v>167</v>
      </c>
      <c r="E778" s="16" t="s">
        <v>531</v>
      </c>
      <c r="F778" s="26" t="n">
        <v>1773000</v>
      </c>
      <c r="G778" s="25" t="n">
        <v>0</v>
      </c>
      <c r="H778" s="22" t="n">
        <v>46103</v>
      </c>
      <c r="I778" s="22" t="n">
        <v>46295</v>
      </c>
      <c r="J778" s="22" t="n">
        <v>46295</v>
      </c>
      <c r="K778" s="16" t="s">
        <v>637</v>
      </c>
      <c r="L778" s="16" t="s">
        <v>609</v>
      </c>
      <c r="M778" s="16"/>
      <c r="N778" s="16" t="s">
        <v>697</v>
      </c>
      <c r="O778" s="7" t="n">
        <f aca="false">IF(OR(E778="Closed Won",E778="Closed Lost"),0,1)</f>
        <v>0</v>
      </c>
      <c r="P778" s="17" t="str">
        <f aca="false">INDEX(Accounts!$K$5:$K$336,MATCH(B778,Accounts!$A$5:$A$336,0))</f>
        <v>Agribusiness</v>
      </c>
      <c r="Q778" s="17" t="str">
        <f aca="false">INDEX(Accounts!$D$5:$D$336,MATCH(B778,Accounts!$A$5:$A$336,0))</f>
        <v>Key</v>
      </c>
      <c r="R778" s="7" t="n">
        <f aca="false">INDEX(Inputs!$B$11:$B$16,MATCH(E778,Inputs!$A$11:$A$16,0))</f>
        <v>0</v>
      </c>
      <c r="S778" s="27" t="n">
        <f aca="false">IF(F778="",0,F778)*R778/100</f>
        <v>0</v>
      </c>
      <c r="T778" s="7" t="n">
        <f aca="false">Inputs!$B$4-J778</f>
        <v>19</v>
      </c>
      <c r="U778" s="7" t="n">
        <f aca="false">IF(OR(F778="",F778=0),1,0)</f>
        <v>0</v>
      </c>
      <c r="V778" s="7" t="n">
        <f aca="false">IF(K778="",1,0)</f>
        <v>0</v>
      </c>
      <c r="W778" s="7" t="n">
        <f aca="false">IF(AND(O778=1,K778&lt;&gt;"",COUNTIFS(Owners!$A$5:$A$32,K778,Owners!$E$5:$E$32,"No")&gt;0),1,0)</f>
        <v>0</v>
      </c>
      <c r="X778" s="7" t="n">
        <f aca="false">IF(AND(O778=1,I778&lt;Inputs!$B$4),1,0)</f>
        <v>0</v>
      </c>
      <c r="Y778" s="7" t="n">
        <f aca="false">IF(AND(O778=1,T778&gt;Inputs!$B$5),1,0)</f>
        <v>0</v>
      </c>
      <c r="Z778" s="7" t="n">
        <f aca="false">IF(AND(O778=1,G778&lt;&gt;R778),1,0)</f>
        <v>0</v>
      </c>
      <c r="AA778" s="7" t="n">
        <f aca="false">IF(AND(O778=1,M778=""),1,0)</f>
        <v>0</v>
      </c>
      <c r="AB778" s="7" t="n">
        <f aca="false">IF(AND(E778="Closed Lost",N778=""),1,0)</f>
        <v>0</v>
      </c>
      <c r="AC778" s="7" t="n">
        <f aca="false">SUM(U778:AB778)</f>
        <v>0</v>
      </c>
      <c r="AD778" s="7" t="n">
        <f aca="false">IF(AC778=0,1,0)</f>
        <v>1</v>
      </c>
      <c r="AE778" s="7" t="n">
        <f aca="false">IF(AND(O778=1,I778&gt;=Inputs!$B$6,I778&lt;=Inputs!$B$7),1,0)</f>
        <v>0</v>
      </c>
      <c r="AF778" s="7" t="n">
        <f aca="false">IF(AND(E778="Closed Won",I778&gt;=Inputs!$B$6,I778&lt;=Inputs!$B$4),1,0)</f>
        <v>0</v>
      </c>
      <c r="AG778" s="7" t="n">
        <f aca="false">IF(AND(O778=0,I778&gt;Inputs!$B$4-Inputs!$B$8,I778&lt;=Inputs!$B$4),1,0)</f>
        <v>1</v>
      </c>
      <c r="AH778" s="7" t="n">
        <f aca="false">I778-H778</f>
        <v>192</v>
      </c>
    </row>
    <row r="779" customFormat="false" ht="15" hidden="false" customHeight="false" outlineLevel="0" collapsed="false">
      <c r="A779" s="16" t="s">
        <v>2248</v>
      </c>
      <c r="B779" s="16" t="s">
        <v>886</v>
      </c>
      <c r="C779" s="16" t="s">
        <v>2249</v>
      </c>
      <c r="D779" s="16" t="s">
        <v>158</v>
      </c>
      <c r="E779" s="16" t="s">
        <v>531</v>
      </c>
      <c r="F779" s="26" t="n">
        <v>4289000</v>
      </c>
      <c r="G779" s="25" t="n">
        <v>0</v>
      </c>
      <c r="H779" s="22" t="n">
        <v>46041</v>
      </c>
      <c r="I779" s="22" t="n">
        <v>46280</v>
      </c>
      <c r="J779" s="22" t="n">
        <v>46280</v>
      </c>
      <c r="K779" s="16" t="s">
        <v>637</v>
      </c>
      <c r="L779" s="16" t="s">
        <v>574</v>
      </c>
      <c r="M779" s="16"/>
      <c r="N779" s="16" t="s">
        <v>722</v>
      </c>
      <c r="O779" s="7" t="n">
        <f aca="false">IF(OR(E779="Closed Won",E779="Closed Lost"),0,1)</f>
        <v>0</v>
      </c>
      <c r="P779" s="17" t="str">
        <f aca="false">INDEX(Accounts!$K$5:$K$336,MATCH(B779,Accounts!$A$5:$A$336,0))</f>
        <v>Agribusiness</v>
      </c>
      <c r="Q779" s="17" t="str">
        <f aca="false">INDEX(Accounts!$D$5:$D$336,MATCH(B779,Accounts!$A$5:$A$336,0))</f>
        <v>Standard</v>
      </c>
      <c r="R779" s="7" t="n">
        <f aca="false">INDEX(Inputs!$B$11:$B$16,MATCH(E779,Inputs!$A$11:$A$16,0))</f>
        <v>0</v>
      </c>
      <c r="S779" s="27" t="n">
        <f aca="false">IF(F779="",0,F779)*R779/100</f>
        <v>0</v>
      </c>
      <c r="T779" s="7" t="n">
        <f aca="false">Inputs!$B$4-J779</f>
        <v>34</v>
      </c>
      <c r="U779" s="7" t="n">
        <f aca="false">IF(OR(F779="",F779=0),1,0)</f>
        <v>0</v>
      </c>
      <c r="V779" s="7" t="n">
        <f aca="false">IF(K779="",1,0)</f>
        <v>0</v>
      </c>
      <c r="W779" s="7" t="n">
        <f aca="false">IF(AND(O779=1,K779&lt;&gt;"",COUNTIFS(Owners!$A$5:$A$32,K779,Owners!$E$5:$E$32,"No")&gt;0),1,0)</f>
        <v>0</v>
      </c>
      <c r="X779" s="7" t="n">
        <f aca="false">IF(AND(O779=1,I779&lt;Inputs!$B$4),1,0)</f>
        <v>0</v>
      </c>
      <c r="Y779" s="7" t="n">
        <f aca="false">IF(AND(O779=1,T779&gt;Inputs!$B$5),1,0)</f>
        <v>0</v>
      </c>
      <c r="Z779" s="7" t="n">
        <f aca="false">IF(AND(O779=1,G779&lt;&gt;R779),1,0)</f>
        <v>0</v>
      </c>
      <c r="AA779" s="7" t="n">
        <f aca="false">IF(AND(O779=1,M779=""),1,0)</f>
        <v>0</v>
      </c>
      <c r="AB779" s="7" t="n">
        <f aca="false">IF(AND(E779="Closed Lost",N779=""),1,0)</f>
        <v>0</v>
      </c>
      <c r="AC779" s="7" t="n">
        <f aca="false">SUM(U779:AB779)</f>
        <v>0</v>
      </c>
      <c r="AD779" s="7" t="n">
        <f aca="false">IF(AC779=0,1,0)</f>
        <v>1</v>
      </c>
      <c r="AE779" s="7" t="n">
        <f aca="false">IF(AND(O779=1,I779&gt;=Inputs!$B$6,I779&lt;=Inputs!$B$7),1,0)</f>
        <v>0</v>
      </c>
      <c r="AF779" s="7" t="n">
        <f aca="false">IF(AND(E779="Closed Won",I779&gt;=Inputs!$B$6,I779&lt;=Inputs!$B$4),1,0)</f>
        <v>0</v>
      </c>
      <c r="AG779" s="7" t="n">
        <f aca="false">IF(AND(O779=0,I779&gt;Inputs!$B$4-Inputs!$B$8,I779&lt;=Inputs!$B$4),1,0)</f>
        <v>1</v>
      </c>
      <c r="AH779" s="7" t="n">
        <f aca="false">I779-H779</f>
        <v>239</v>
      </c>
    </row>
    <row r="780" customFormat="false" ht="15" hidden="false" customHeight="false" outlineLevel="0" collapsed="false">
      <c r="A780" s="16" t="s">
        <v>2250</v>
      </c>
      <c r="B780" s="16" t="s">
        <v>338</v>
      </c>
      <c r="C780" s="16" t="s">
        <v>2251</v>
      </c>
      <c r="D780" s="16" t="s">
        <v>167</v>
      </c>
      <c r="E780" s="16" t="s">
        <v>531</v>
      </c>
      <c r="F780" s="26" t="n">
        <v>4664000</v>
      </c>
      <c r="G780" s="25" t="n">
        <v>0</v>
      </c>
      <c r="H780" s="22" t="n">
        <v>46070</v>
      </c>
      <c r="I780" s="22" t="n">
        <v>46130</v>
      </c>
      <c r="J780" s="22" t="n">
        <v>46130</v>
      </c>
      <c r="K780" s="16" t="s">
        <v>600</v>
      </c>
      <c r="L780" s="16" t="s">
        <v>584</v>
      </c>
      <c r="M780" s="16"/>
      <c r="N780" s="16" t="s">
        <v>597</v>
      </c>
      <c r="O780" s="7" t="n">
        <f aca="false">IF(OR(E780="Closed Won",E780="Closed Lost"),0,1)</f>
        <v>0</v>
      </c>
      <c r="P780" s="17" t="str">
        <f aca="false">INDEX(Accounts!$K$5:$K$336,MATCH(B780,Accounts!$A$5:$A$336,0))</f>
        <v>Health</v>
      </c>
      <c r="Q780" s="17" t="str">
        <f aca="false">INDEX(Accounts!$D$5:$D$336,MATCH(B780,Accounts!$A$5:$A$336,0))</f>
        <v>Key</v>
      </c>
      <c r="R780" s="7" t="n">
        <f aca="false">INDEX(Inputs!$B$11:$B$16,MATCH(E780,Inputs!$A$11:$A$16,0))</f>
        <v>0</v>
      </c>
      <c r="S780" s="27" t="n">
        <f aca="false">IF(F780="",0,F780)*R780/100</f>
        <v>0</v>
      </c>
      <c r="T780" s="7" t="n">
        <f aca="false">Inputs!$B$4-J780</f>
        <v>184</v>
      </c>
      <c r="U780" s="7" t="n">
        <f aca="false">IF(OR(F780="",F780=0),1,0)</f>
        <v>0</v>
      </c>
      <c r="V780" s="7" t="n">
        <f aca="false">IF(K780="",1,0)</f>
        <v>0</v>
      </c>
      <c r="W780" s="7" t="n">
        <f aca="false">IF(AND(O780=1,K780&lt;&gt;"",COUNTIFS(Owners!$A$5:$A$32,K780,Owners!$E$5:$E$32,"No")&gt;0),1,0)</f>
        <v>0</v>
      </c>
      <c r="X780" s="7" t="n">
        <f aca="false">IF(AND(O780=1,I780&lt;Inputs!$B$4),1,0)</f>
        <v>0</v>
      </c>
      <c r="Y780" s="7" t="n">
        <f aca="false">IF(AND(O780=1,T780&gt;Inputs!$B$5),1,0)</f>
        <v>0</v>
      </c>
      <c r="Z780" s="7" t="n">
        <f aca="false">IF(AND(O780=1,G780&lt;&gt;R780),1,0)</f>
        <v>0</v>
      </c>
      <c r="AA780" s="7" t="n">
        <f aca="false">IF(AND(O780=1,M780=""),1,0)</f>
        <v>0</v>
      </c>
      <c r="AB780" s="7" t="n">
        <f aca="false">IF(AND(E780="Closed Lost",N780=""),1,0)</f>
        <v>0</v>
      </c>
      <c r="AC780" s="7" t="n">
        <f aca="false">SUM(U780:AB780)</f>
        <v>0</v>
      </c>
      <c r="AD780" s="7" t="n">
        <f aca="false">IF(AC780=0,1,0)</f>
        <v>1</v>
      </c>
      <c r="AE780" s="7" t="n">
        <f aca="false">IF(AND(O780=1,I780&gt;=Inputs!$B$6,I780&lt;=Inputs!$B$7),1,0)</f>
        <v>0</v>
      </c>
      <c r="AF780" s="7" t="n">
        <f aca="false">IF(AND(E780="Closed Won",I780&gt;=Inputs!$B$6,I780&lt;=Inputs!$B$4),1,0)</f>
        <v>0</v>
      </c>
      <c r="AG780" s="7" t="n">
        <f aca="false">IF(AND(O780=0,I780&gt;Inputs!$B$4-Inputs!$B$8,I780&lt;=Inputs!$B$4),1,0)</f>
        <v>1</v>
      </c>
      <c r="AH780" s="7" t="n">
        <f aca="false">I780-H780</f>
        <v>60</v>
      </c>
    </row>
    <row r="781" customFormat="false" ht="15" hidden="false" customHeight="false" outlineLevel="0" collapsed="false">
      <c r="A781" s="16" t="s">
        <v>2252</v>
      </c>
      <c r="B781" s="16" t="s">
        <v>991</v>
      </c>
      <c r="C781" s="16" t="s">
        <v>2253</v>
      </c>
      <c r="D781" s="16" t="s">
        <v>165</v>
      </c>
      <c r="E781" s="16" t="s">
        <v>530</v>
      </c>
      <c r="F781" s="26" t="n">
        <v>26372000</v>
      </c>
      <c r="G781" s="25" t="n">
        <v>100</v>
      </c>
      <c r="H781" s="22" t="n">
        <v>45957</v>
      </c>
      <c r="I781" s="22" t="n">
        <v>46129</v>
      </c>
      <c r="J781" s="22" t="n">
        <v>46129</v>
      </c>
      <c r="K781" s="16" t="s">
        <v>860</v>
      </c>
      <c r="L781" s="16" t="s">
        <v>584</v>
      </c>
      <c r="M781" s="16"/>
      <c r="N781" s="16"/>
      <c r="O781" s="7" t="n">
        <f aca="false">IF(OR(E781="Closed Won",E781="Closed Lost"),0,1)</f>
        <v>0</v>
      </c>
      <c r="P781" s="17" t="str">
        <f aca="false">INDEX(Accounts!$K$5:$K$336,MATCH(B781,Accounts!$A$5:$A$336,0))</f>
        <v>Energy &amp; Resources</v>
      </c>
      <c r="Q781" s="17" t="str">
        <f aca="false">INDEX(Accounts!$D$5:$D$336,MATCH(B781,Accounts!$A$5:$A$336,0))</f>
        <v>Standard</v>
      </c>
      <c r="R781" s="7" t="n">
        <f aca="false">INDEX(Inputs!$B$11:$B$16,MATCH(E781,Inputs!$A$11:$A$16,0))</f>
        <v>100</v>
      </c>
      <c r="S781" s="27" t="n">
        <f aca="false">IF(F781="",0,F781)*R781/100</f>
        <v>26372000</v>
      </c>
      <c r="T781" s="7" t="n">
        <f aca="false">Inputs!$B$4-J781</f>
        <v>185</v>
      </c>
      <c r="U781" s="7" t="n">
        <f aca="false">IF(OR(F781="",F781=0),1,0)</f>
        <v>0</v>
      </c>
      <c r="V781" s="7" t="n">
        <f aca="false">IF(K781="",1,0)</f>
        <v>0</v>
      </c>
      <c r="W781" s="7" t="n">
        <f aca="false">IF(AND(O781=1,K781&lt;&gt;"",COUNTIFS(Owners!$A$5:$A$32,K781,Owners!$E$5:$E$32,"No")&gt;0),1,0)</f>
        <v>0</v>
      </c>
      <c r="X781" s="7" t="n">
        <f aca="false">IF(AND(O781=1,I781&lt;Inputs!$B$4),1,0)</f>
        <v>0</v>
      </c>
      <c r="Y781" s="7" t="n">
        <f aca="false">IF(AND(O781=1,T781&gt;Inputs!$B$5),1,0)</f>
        <v>0</v>
      </c>
      <c r="Z781" s="7" t="n">
        <f aca="false">IF(AND(O781=1,G781&lt;&gt;R781),1,0)</f>
        <v>0</v>
      </c>
      <c r="AA781" s="7" t="n">
        <f aca="false">IF(AND(O781=1,M781=""),1,0)</f>
        <v>0</v>
      </c>
      <c r="AB781" s="7" t="n">
        <f aca="false">IF(AND(E781="Closed Lost",N781=""),1,0)</f>
        <v>0</v>
      </c>
      <c r="AC781" s="7" t="n">
        <f aca="false">SUM(U781:AB781)</f>
        <v>0</v>
      </c>
      <c r="AD781" s="7" t="n">
        <f aca="false">IF(AC781=0,1,0)</f>
        <v>1</v>
      </c>
      <c r="AE781" s="7" t="n">
        <f aca="false">IF(AND(O781=1,I781&gt;=Inputs!$B$6,I781&lt;=Inputs!$B$7),1,0)</f>
        <v>0</v>
      </c>
      <c r="AF781" s="7" t="n">
        <f aca="false">IF(AND(E781="Closed Won",I781&gt;=Inputs!$B$6,I781&lt;=Inputs!$B$4),1,0)</f>
        <v>0</v>
      </c>
      <c r="AG781" s="7" t="n">
        <f aca="false">IF(AND(O781=0,I781&gt;Inputs!$B$4-Inputs!$B$8,I781&lt;=Inputs!$B$4),1,0)</f>
        <v>1</v>
      </c>
      <c r="AH781" s="7" t="n">
        <f aca="false">I781-H781</f>
        <v>172</v>
      </c>
    </row>
    <row r="782" customFormat="false" ht="15" hidden="false" customHeight="false" outlineLevel="0" collapsed="false">
      <c r="A782" s="16" t="s">
        <v>2254</v>
      </c>
      <c r="B782" s="16" t="s">
        <v>57</v>
      </c>
      <c r="C782" s="16" t="s">
        <v>2255</v>
      </c>
      <c r="D782" s="16" t="s">
        <v>177</v>
      </c>
      <c r="E782" s="16" t="s">
        <v>531</v>
      </c>
      <c r="F782" s="26" t="n">
        <v>4186000</v>
      </c>
      <c r="G782" s="25" t="n">
        <v>0</v>
      </c>
      <c r="H782" s="22" t="n">
        <v>46226</v>
      </c>
      <c r="I782" s="22" t="n">
        <v>46313</v>
      </c>
      <c r="J782" s="22" t="n">
        <v>46313</v>
      </c>
      <c r="K782" s="16" t="s">
        <v>691</v>
      </c>
      <c r="L782" s="16" t="s">
        <v>592</v>
      </c>
      <c r="M782" s="16"/>
      <c r="N782" s="16" t="s">
        <v>722</v>
      </c>
      <c r="O782" s="7" t="n">
        <f aca="false">IF(OR(E782="Closed Won",E782="Closed Lost"),0,1)</f>
        <v>0</v>
      </c>
      <c r="P782" s="17" t="str">
        <f aca="false">INDEX(Accounts!$K$5:$K$336,MATCH(B782,Accounts!$A$5:$A$336,0))</f>
        <v>Financial Services</v>
      </c>
      <c r="Q782" s="17" t="str">
        <f aca="false">INDEX(Accounts!$D$5:$D$336,MATCH(B782,Accounts!$A$5:$A$336,0))</f>
        <v>Priority</v>
      </c>
      <c r="R782" s="7" t="n">
        <f aca="false">INDEX(Inputs!$B$11:$B$16,MATCH(E782,Inputs!$A$11:$A$16,0))</f>
        <v>0</v>
      </c>
      <c r="S782" s="27" t="n">
        <f aca="false">IF(F782="",0,F782)*R782/100</f>
        <v>0</v>
      </c>
      <c r="T782" s="7" t="n">
        <f aca="false">Inputs!$B$4-J782</f>
        <v>1</v>
      </c>
      <c r="U782" s="7" t="n">
        <f aca="false">IF(OR(F782="",F782=0),1,0)</f>
        <v>0</v>
      </c>
      <c r="V782" s="7" t="n">
        <f aca="false">IF(K782="",1,0)</f>
        <v>0</v>
      </c>
      <c r="W782" s="7" t="n">
        <f aca="false">IF(AND(O782=1,K782&lt;&gt;"",COUNTIFS(Owners!$A$5:$A$32,K782,Owners!$E$5:$E$32,"No")&gt;0),1,0)</f>
        <v>0</v>
      </c>
      <c r="X782" s="7" t="n">
        <f aca="false">IF(AND(O782=1,I782&lt;Inputs!$B$4),1,0)</f>
        <v>0</v>
      </c>
      <c r="Y782" s="7" t="n">
        <f aca="false">IF(AND(O782=1,T782&gt;Inputs!$B$5),1,0)</f>
        <v>0</v>
      </c>
      <c r="Z782" s="7" t="n">
        <f aca="false">IF(AND(O782=1,G782&lt;&gt;R782),1,0)</f>
        <v>0</v>
      </c>
      <c r="AA782" s="7" t="n">
        <f aca="false">IF(AND(O782=1,M782=""),1,0)</f>
        <v>0</v>
      </c>
      <c r="AB782" s="7" t="n">
        <f aca="false">IF(AND(E782="Closed Lost",N782=""),1,0)</f>
        <v>0</v>
      </c>
      <c r="AC782" s="7" t="n">
        <f aca="false">SUM(U782:AB782)</f>
        <v>0</v>
      </c>
      <c r="AD782" s="7" t="n">
        <f aca="false">IF(AC782=0,1,0)</f>
        <v>1</v>
      </c>
      <c r="AE782" s="7" t="n">
        <f aca="false">IF(AND(O782=1,I782&gt;=Inputs!$B$6,I782&lt;=Inputs!$B$7),1,0)</f>
        <v>0</v>
      </c>
      <c r="AF782" s="7" t="n">
        <f aca="false">IF(AND(E782="Closed Won",I782&gt;=Inputs!$B$6,I782&lt;=Inputs!$B$4),1,0)</f>
        <v>0</v>
      </c>
      <c r="AG782" s="7" t="n">
        <f aca="false">IF(AND(O782=0,I782&gt;Inputs!$B$4-Inputs!$B$8,I782&lt;=Inputs!$B$4),1,0)</f>
        <v>1</v>
      </c>
      <c r="AH782" s="7" t="n">
        <f aca="false">I782-H782</f>
        <v>87</v>
      </c>
    </row>
    <row r="783" customFormat="false" ht="15" hidden="false" customHeight="false" outlineLevel="0" collapsed="false">
      <c r="A783" s="16" t="s">
        <v>2256</v>
      </c>
      <c r="B783" s="16" t="s">
        <v>343</v>
      </c>
      <c r="C783" s="16" t="s">
        <v>2257</v>
      </c>
      <c r="D783" s="16" t="s">
        <v>162</v>
      </c>
      <c r="E783" s="16" t="s">
        <v>528</v>
      </c>
      <c r="F783" s="26" t="n">
        <v>2671000</v>
      </c>
      <c r="G783" s="25" t="n">
        <v>50</v>
      </c>
      <c r="H783" s="22" t="n">
        <v>46224</v>
      </c>
      <c r="I783" s="22" t="n">
        <v>46439</v>
      </c>
      <c r="J783" s="22" t="n">
        <v>46301</v>
      </c>
      <c r="K783" s="16" t="s">
        <v>583</v>
      </c>
      <c r="L783" s="16" t="s">
        <v>584</v>
      </c>
      <c r="M783" s="16" t="s">
        <v>601</v>
      </c>
      <c r="N783" s="16"/>
      <c r="O783" s="7" t="n">
        <f aca="false">IF(OR(E783="Closed Won",E783="Closed Lost"),0,1)</f>
        <v>1</v>
      </c>
      <c r="P783" s="17" t="str">
        <f aca="false">INDEX(Accounts!$K$5:$K$336,MATCH(B783,Accounts!$A$5:$A$336,0))</f>
        <v>Financial Services</v>
      </c>
      <c r="Q783" s="17" t="str">
        <f aca="false">INDEX(Accounts!$D$5:$D$336,MATCH(B783,Accounts!$A$5:$A$336,0))</f>
        <v>Standard</v>
      </c>
      <c r="R783" s="7" t="n">
        <f aca="false">INDEX(Inputs!$B$11:$B$16,MATCH(E783,Inputs!$A$11:$A$16,0))</f>
        <v>50</v>
      </c>
      <c r="S783" s="27" t="n">
        <f aca="false">IF(F783="",0,F783)*R783/100</f>
        <v>1335500</v>
      </c>
      <c r="T783" s="7" t="n">
        <f aca="false">Inputs!$B$4-J783</f>
        <v>13</v>
      </c>
      <c r="U783" s="7" t="n">
        <f aca="false">IF(OR(F783="",F783=0),1,0)</f>
        <v>0</v>
      </c>
      <c r="V783" s="7" t="n">
        <f aca="false">IF(K783="",1,0)</f>
        <v>0</v>
      </c>
      <c r="W783" s="7" t="n">
        <f aca="false">IF(AND(O783=1,K783&lt;&gt;"",COUNTIFS(Owners!$A$5:$A$32,K783,Owners!$E$5:$E$32,"No")&gt;0),1,0)</f>
        <v>1</v>
      </c>
      <c r="X783" s="7" t="n">
        <f aca="false">IF(AND(O783=1,I783&lt;Inputs!$B$4),1,0)</f>
        <v>0</v>
      </c>
      <c r="Y783" s="7" t="n">
        <f aca="false">IF(AND(O783=1,T783&gt;Inputs!$B$5),1,0)</f>
        <v>0</v>
      </c>
      <c r="Z783" s="7" t="n">
        <f aca="false">IF(AND(O783=1,G783&lt;&gt;R783),1,0)</f>
        <v>0</v>
      </c>
      <c r="AA783" s="7" t="n">
        <f aca="false">IF(AND(O783=1,M783=""),1,0)</f>
        <v>0</v>
      </c>
      <c r="AB783" s="7" t="n">
        <f aca="false">IF(AND(E783="Closed Lost",N783=""),1,0)</f>
        <v>0</v>
      </c>
      <c r="AC783" s="7" t="n">
        <f aca="false">SUM(U783:AB783)</f>
        <v>1</v>
      </c>
      <c r="AD783" s="7" t="n">
        <f aca="false">IF(AC783=0,1,0)</f>
        <v>0</v>
      </c>
      <c r="AE783" s="7" t="n">
        <f aca="false">IF(AND(O783=1,I783&gt;=Inputs!$B$6,I783&lt;=Inputs!$B$7),1,0)</f>
        <v>1</v>
      </c>
      <c r="AF783" s="7" t="n">
        <f aca="false">IF(AND(E783="Closed Won",I783&gt;=Inputs!$B$6,I783&lt;=Inputs!$B$4),1,0)</f>
        <v>0</v>
      </c>
      <c r="AG783" s="7" t="n">
        <f aca="false">IF(AND(O783=0,I783&gt;Inputs!$B$4-Inputs!$B$8,I783&lt;=Inputs!$B$4),1,0)</f>
        <v>0</v>
      </c>
      <c r="AH783" s="7" t="n">
        <f aca="false">I783-H783</f>
        <v>215</v>
      </c>
    </row>
    <row r="784" customFormat="false" ht="15" hidden="false" customHeight="false" outlineLevel="0" collapsed="false">
      <c r="A784" s="16" t="s">
        <v>2258</v>
      </c>
      <c r="B784" s="16" t="s">
        <v>377</v>
      </c>
      <c r="C784" s="16" t="s">
        <v>2259</v>
      </c>
      <c r="D784" s="16" t="s">
        <v>167</v>
      </c>
      <c r="E784" s="16" t="s">
        <v>531</v>
      </c>
      <c r="F784" s="26" t="n">
        <v>9886000</v>
      </c>
      <c r="G784" s="25" t="n">
        <v>0</v>
      </c>
      <c r="H784" s="22" t="n">
        <v>45897</v>
      </c>
      <c r="I784" s="22" t="n">
        <v>46152</v>
      </c>
      <c r="J784" s="22" t="n">
        <v>46152</v>
      </c>
      <c r="K784" s="16" t="s">
        <v>666</v>
      </c>
      <c r="L784" s="16" t="s">
        <v>609</v>
      </c>
      <c r="M784" s="16"/>
      <c r="N784" s="16" t="s">
        <v>610</v>
      </c>
      <c r="O784" s="7" t="n">
        <f aca="false">IF(OR(E784="Closed Won",E784="Closed Lost"),0,1)</f>
        <v>0</v>
      </c>
      <c r="P784" s="17" t="str">
        <f aca="false">INDEX(Accounts!$K$5:$K$336,MATCH(B784,Accounts!$A$5:$A$336,0))</f>
        <v>Real Estate &amp; Infrastructure</v>
      </c>
      <c r="Q784" s="17" t="str">
        <f aca="false">INDEX(Accounts!$D$5:$D$336,MATCH(B784,Accounts!$A$5:$A$336,0))</f>
        <v>Standard</v>
      </c>
      <c r="R784" s="7" t="n">
        <f aca="false">INDEX(Inputs!$B$11:$B$16,MATCH(E784,Inputs!$A$11:$A$16,0))</f>
        <v>0</v>
      </c>
      <c r="S784" s="27" t="n">
        <f aca="false">IF(F784="",0,F784)*R784/100</f>
        <v>0</v>
      </c>
      <c r="T784" s="7" t="n">
        <f aca="false">Inputs!$B$4-J784</f>
        <v>162</v>
      </c>
      <c r="U784" s="7" t="n">
        <f aca="false">IF(OR(F784="",F784=0),1,0)</f>
        <v>0</v>
      </c>
      <c r="V784" s="7" t="n">
        <f aca="false">IF(K784="",1,0)</f>
        <v>0</v>
      </c>
      <c r="W784" s="7" t="n">
        <f aca="false">IF(AND(O784=1,K784&lt;&gt;"",COUNTIFS(Owners!$A$5:$A$32,K784,Owners!$E$5:$E$32,"No")&gt;0),1,0)</f>
        <v>0</v>
      </c>
      <c r="X784" s="7" t="n">
        <f aca="false">IF(AND(O784=1,I784&lt;Inputs!$B$4),1,0)</f>
        <v>0</v>
      </c>
      <c r="Y784" s="7" t="n">
        <f aca="false">IF(AND(O784=1,T784&gt;Inputs!$B$5),1,0)</f>
        <v>0</v>
      </c>
      <c r="Z784" s="7" t="n">
        <f aca="false">IF(AND(O784=1,G784&lt;&gt;R784),1,0)</f>
        <v>0</v>
      </c>
      <c r="AA784" s="7" t="n">
        <f aca="false">IF(AND(O784=1,M784=""),1,0)</f>
        <v>0</v>
      </c>
      <c r="AB784" s="7" t="n">
        <f aca="false">IF(AND(E784="Closed Lost",N784=""),1,0)</f>
        <v>0</v>
      </c>
      <c r="AC784" s="7" t="n">
        <f aca="false">SUM(U784:AB784)</f>
        <v>0</v>
      </c>
      <c r="AD784" s="7" t="n">
        <f aca="false">IF(AC784=0,1,0)</f>
        <v>1</v>
      </c>
      <c r="AE784" s="7" t="n">
        <f aca="false">IF(AND(O784=1,I784&gt;=Inputs!$B$6,I784&lt;=Inputs!$B$7),1,0)</f>
        <v>0</v>
      </c>
      <c r="AF784" s="7" t="n">
        <f aca="false">IF(AND(E784="Closed Won",I784&gt;=Inputs!$B$6,I784&lt;=Inputs!$B$4),1,0)</f>
        <v>0</v>
      </c>
      <c r="AG784" s="7" t="n">
        <f aca="false">IF(AND(O784=0,I784&gt;Inputs!$B$4-Inputs!$B$8,I784&lt;=Inputs!$B$4),1,0)</f>
        <v>1</v>
      </c>
      <c r="AH784" s="7" t="n">
        <f aca="false">I784-H784</f>
        <v>255</v>
      </c>
    </row>
    <row r="785" customFormat="false" ht="15" hidden="false" customHeight="false" outlineLevel="0" collapsed="false">
      <c r="A785" s="16" t="s">
        <v>2260</v>
      </c>
      <c r="B785" s="16" t="s">
        <v>214</v>
      </c>
      <c r="C785" s="16" t="s">
        <v>2261</v>
      </c>
      <c r="D785" s="16" t="s">
        <v>162</v>
      </c>
      <c r="E785" s="16" t="s">
        <v>530</v>
      </c>
      <c r="F785" s="26" t="n">
        <v>18452000</v>
      </c>
      <c r="G785" s="25" t="n">
        <v>100</v>
      </c>
      <c r="H785" s="22" t="n">
        <v>46049</v>
      </c>
      <c r="I785" s="22" t="n">
        <v>46120</v>
      </c>
      <c r="J785" s="22" t="n">
        <v>46120</v>
      </c>
      <c r="K785" s="16" t="s">
        <v>831</v>
      </c>
      <c r="L785" s="16" t="s">
        <v>568</v>
      </c>
      <c r="M785" s="16"/>
      <c r="N785" s="16"/>
      <c r="O785" s="7" t="n">
        <f aca="false">IF(OR(E785="Closed Won",E785="Closed Lost"),0,1)</f>
        <v>0</v>
      </c>
      <c r="P785" s="17" t="str">
        <f aca="false">INDEX(Accounts!$K$5:$K$336,MATCH(B785,Accounts!$A$5:$A$336,0))</f>
        <v>Financial Services</v>
      </c>
      <c r="Q785" s="17" t="str">
        <f aca="false">INDEX(Accounts!$D$5:$D$336,MATCH(B785,Accounts!$A$5:$A$336,0))</f>
        <v>Standard</v>
      </c>
      <c r="R785" s="7" t="n">
        <f aca="false">INDEX(Inputs!$B$11:$B$16,MATCH(E785,Inputs!$A$11:$A$16,0))</f>
        <v>100</v>
      </c>
      <c r="S785" s="27" t="n">
        <f aca="false">IF(F785="",0,F785)*R785/100</f>
        <v>18452000</v>
      </c>
      <c r="T785" s="7" t="n">
        <f aca="false">Inputs!$B$4-J785</f>
        <v>194</v>
      </c>
      <c r="U785" s="7" t="n">
        <f aca="false">IF(OR(F785="",F785=0),1,0)</f>
        <v>0</v>
      </c>
      <c r="V785" s="7" t="n">
        <f aca="false">IF(K785="",1,0)</f>
        <v>0</v>
      </c>
      <c r="W785" s="7" t="n">
        <f aca="false">IF(AND(O785=1,K785&lt;&gt;"",COUNTIFS(Owners!$A$5:$A$32,K785,Owners!$E$5:$E$32,"No")&gt;0),1,0)</f>
        <v>0</v>
      </c>
      <c r="X785" s="7" t="n">
        <f aca="false">IF(AND(O785=1,I785&lt;Inputs!$B$4),1,0)</f>
        <v>0</v>
      </c>
      <c r="Y785" s="7" t="n">
        <f aca="false">IF(AND(O785=1,T785&gt;Inputs!$B$5),1,0)</f>
        <v>0</v>
      </c>
      <c r="Z785" s="7" t="n">
        <f aca="false">IF(AND(O785=1,G785&lt;&gt;R785),1,0)</f>
        <v>0</v>
      </c>
      <c r="AA785" s="7" t="n">
        <f aca="false">IF(AND(O785=1,M785=""),1,0)</f>
        <v>0</v>
      </c>
      <c r="AB785" s="7" t="n">
        <f aca="false">IF(AND(E785="Closed Lost",N785=""),1,0)</f>
        <v>0</v>
      </c>
      <c r="AC785" s="7" t="n">
        <f aca="false">SUM(U785:AB785)</f>
        <v>0</v>
      </c>
      <c r="AD785" s="7" t="n">
        <f aca="false">IF(AC785=0,1,0)</f>
        <v>1</v>
      </c>
      <c r="AE785" s="7" t="n">
        <f aca="false">IF(AND(O785=1,I785&gt;=Inputs!$B$6,I785&lt;=Inputs!$B$7),1,0)</f>
        <v>0</v>
      </c>
      <c r="AF785" s="7" t="n">
        <f aca="false">IF(AND(E785="Closed Won",I785&gt;=Inputs!$B$6,I785&lt;=Inputs!$B$4),1,0)</f>
        <v>0</v>
      </c>
      <c r="AG785" s="7" t="n">
        <f aca="false">IF(AND(O785=0,I785&gt;Inputs!$B$4-Inputs!$B$8,I785&lt;=Inputs!$B$4),1,0)</f>
        <v>1</v>
      </c>
      <c r="AH785" s="7" t="n">
        <f aca="false">I785-H785</f>
        <v>71</v>
      </c>
    </row>
    <row r="786" customFormat="false" ht="15" hidden="false" customHeight="false" outlineLevel="0" collapsed="false">
      <c r="A786" s="16" t="s">
        <v>2262</v>
      </c>
      <c r="B786" s="16" t="s">
        <v>254</v>
      </c>
      <c r="C786" s="16" t="s">
        <v>2263</v>
      </c>
      <c r="D786" s="16" t="s">
        <v>158</v>
      </c>
      <c r="E786" s="16" t="s">
        <v>530</v>
      </c>
      <c r="F786" s="26" t="n">
        <v>11520000</v>
      </c>
      <c r="G786" s="25" t="n">
        <v>100</v>
      </c>
      <c r="H786" s="22" t="n">
        <v>46030</v>
      </c>
      <c r="I786" s="22" t="n">
        <v>46262</v>
      </c>
      <c r="J786" s="22" t="n">
        <v>46262</v>
      </c>
      <c r="K786" s="16" t="s">
        <v>663</v>
      </c>
      <c r="L786" s="16" t="s">
        <v>574</v>
      </c>
      <c r="M786" s="16"/>
      <c r="N786" s="16"/>
      <c r="O786" s="7" t="n">
        <f aca="false">IF(OR(E786="Closed Won",E786="Closed Lost"),0,1)</f>
        <v>0</v>
      </c>
      <c r="P786" s="17" t="str">
        <f aca="false">INDEX(Accounts!$K$5:$K$336,MATCH(B786,Accounts!$A$5:$A$336,0))</f>
        <v>Technology, Media &amp; Telecom</v>
      </c>
      <c r="Q786" s="17" t="str">
        <f aca="false">INDEX(Accounts!$D$5:$D$336,MATCH(B786,Accounts!$A$5:$A$336,0))</f>
        <v>Key</v>
      </c>
      <c r="R786" s="7" t="n">
        <f aca="false">INDEX(Inputs!$B$11:$B$16,MATCH(E786,Inputs!$A$11:$A$16,0))</f>
        <v>100</v>
      </c>
      <c r="S786" s="27" t="n">
        <f aca="false">IF(F786="",0,F786)*R786/100</f>
        <v>11520000</v>
      </c>
      <c r="T786" s="7" t="n">
        <f aca="false">Inputs!$B$4-J786</f>
        <v>52</v>
      </c>
      <c r="U786" s="7" t="n">
        <f aca="false">IF(OR(F786="",F786=0),1,0)</f>
        <v>0</v>
      </c>
      <c r="V786" s="7" t="n">
        <f aca="false">IF(K786="",1,0)</f>
        <v>0</v>
      </c>
      <c r="W786" s="7" t="n">
        <f aca="false">IF(AND(O786=1,K786&lt;&gt;"",COUNTIFS(Owners!$A$5:$A$32,K786,Owners!$E$5:$E$32,"No")&gt;0),1,0)</f>
        <v>0</v>
      </c>
      <c r="X786" s="7" t="n">
        <f aca="false">IF(AND(O786=1,I786&lt;Inputs!$B$4),1,0)</f>
        <v>0</v>
      </c>
      <c r="Y786" s="7" t="n">
        <f aca="false">IF(AND(O786=1,T786&gt;Inputs!$B$5),1,0)</f>
        <v>0</v>
      </c>
      <c r="Z786" s="7" t="n">
        <f aca="false">IF(AND(O786=1,G786&lt;&gt;R786),1,0)</f>
        <v>0</v>
      </c>
      <c r="AA786" s="7" t="n">
        <f aca="false">IF(AND(O786=1,M786=""),1,0)</f>
        <v>0</v>
      </c>
      <c r="AB786" s="7" t="n">
        <f aca="false">IF(AND(E786="Closed Lost",N786=""),1,0)</f>
        <v>0</v>
      </c>
      <c r="AC786" s="7" t="n">
        <f aca="false">SUM(U786:AB786)</f>
        <v>0</v>
      </c>
      <c r="AD786" s="7" t="n">
        <f aca="false">IF(AC786=0,1,0)</f>
        <v>1</v>
      </c>
      <c r="AE786" s="7" t="n">
        <f aca="false">IF(AND(O786=1,I786&gt;=Inputs!$B$6,I786&lt;=Inputs!$B$7),1,0)</f>
        <v>0</v>
      </c>
      <c r="AF786" s="7" t="n">
        <f aca="false">IF(AND(E786="Closed Won",I786&gt;=Inputs!$B$6,I786&lt;=Inputs!$B$4),1,0)</f>
        <v>1</v>
      </c>
      <c r="AG786" s="7" t="n">
        <f aca="false">IF(AND(O786=0,I786&gt;Inputs!$B$4-Inputs!$B$8,I786&lt;=Inputs!$B$4),1,0)</f>
        <v>1</v>
      </c>
      <c r="AH786" s="7" t="n">
        <f aca="false">I786-H786</f>
        <v>232</v>
      </c>
    </row>
    <row r="787" customFormat="false" ht="15" hidden="false" customHeight="false" outlineLevel="0" collapsed="false">
      <c r="A787" s="16" t="s">
        <v>2264</v>
      </c>
      <c r="B787" s="16" t="s">
        <v>72</v>
      </c>
      <c r="C787" s="16" t="s">
        <v>2265</v>
      </c>
      <c r="D787" s="16" t="s">
        <v>162</v>
      </c>
      <c r="E787" s="16" t="s">
        <v>530</v>
      </c>
      <c r="F787" s="26" t="n">
        <v>0</v>
      </c>
      <c r="G787" s="25" t="n">
        <v>100</v>
      </c>
      <c r="H787" s="22" t="n">
        <v>46030</v>
      </c>
      <c r="I787" s="22" t="n">
        <v>46296</v>
      </c>
      <c r="J787" s="22" t="n">
        <v>46296</v>
      </c>
      <c r="K787" s="16" t="s">
        <v>654</v>
      </c>
      <c r="L787" s="16" t="s">
        <v>584</v>
      </c>
      <c r="M787" s="16"/>
      <c r="N787" s="16"/>
      <c r="O787" s="7" t="n">
        <f aca="false">IF(OR(E787="Closed Won",E787="Closed Lost"),0,1)</f>
        <v>0</v>
      </c>
      <c r="P787" s="17" t="str">
        <f aca="false">INDEX(Accounts!$K$5:$K$336,MATCH(B787,Accounts!$A$5:$A$336,0))</f>
        <v>Consumer &amp; Retail</v>
      </c>
      <c r="Q787" s="17" t="str">
        <f aca="false">INDEX(Accounts!$D$5:$D$336,MATCH(B787,Accounts!$A$5:$A$336,0))</f>
        <v>Priority</v>
      </c>
      <c r="R787" s="7" t="n">
        <f aca="false">INDEX(Inputs!$B$11:$B$16,MATCH(E787,Inputs!$A$11:$A$16,0))</f>
        <v>100</v>
      </c>
      <c r="S787" s="27" t="n">
        <f aca="false">IF(F787="",0,F787)*R787/100</f>
        <v>0</v>
      </c>
      <c r="T787" s="7" t="n">
        <f aca="false">Inputs!$B$4-J787</f>
        <v>18</v>
      </c>
      <c r="U787" s="7" t="n">
        <f aca="false">IF(OR(F787="",F787=0),1,0)</f>
        <v>1</v>
      </c>
      <c r="V787" s="7" t="n">
        <f aca="false">IF(K787="",1,0)</f>
        <v>0</v>
      </c>
      <c r="W787" s="7" t="n">
        <f aca="false">IF(AND(O787=1,K787&lt;&gt;"",COUNTIFS(Owners!$A$5:$A$32,K787,Owners!$E$5:$E$32,"No")&gt;0),1,0)</f>
        <v>0</v>
      </c>
      <c r="X787" s="7" t="n">
        <f aca="false">IF(AND(O787=1,I787&lt;Inputs!$B$4),1,0)</f>
        <v>0</v>
      </c>
      <c r="Y787" s="7" t="n">
        <f aca="false">IF(AND(O787=1,T787&gt;Inputs!$B$5),1,0)</f>
        <v>0</v>
      </c>
      <c r="Z787" s="7" t="n">
        <f aca="false">IF(AND(O787=1,G787&lt;&gt;R787),1,0)</f>
        <v>0</v>
      </c>
      <c r="AA787" s="7" t="n">
        <f aca="false">IF(AND(O787=1,M787=""),1,0)</f>
        <v>0</v>
      </c>
      <c r="AB787" s="7" t="n">
        <f aca="false">IF(AND(E787="Closed Lost",N787=""),1,0)</f>
        <v>0</v>
      </c>
      <c r="AC787" s="7" t="n">
        <f aca="false">SUM(U787:AB787)</f>
        <v>1</v>
      </c>
      <c r="AD787" s="7" t="n">
        <f aca="false">IF(AC787=0,1,0)</f>
        <v>0</v>
      </c>
      <c r="AE787" s="7" t="n">
        <f aca="false">IF(AND(O787=1,I787&gt;=Inputs!$B$6,I787&lt;=Inputs!$B$7),1,0)</f>
        <v>0</v>
      </c>
      <c r="AF787" s="7" t="n">
        <f aca="false">IF(AND(E787="Closed Won",I787&gt;=Inputs!$B$6,I787&lt;=Inputs!$B$4),1,0)</f>
        <v>1</v>
      </c>
      <c r="AG787" s="7" t="n">
        <f aca="false">IF(AND(O787=0,I787&gt;Inputs!$B$4-Inputs!$B$8,I787&lt;=Inputs!$B$4),1,0)</f>
        <v>1</v>
      </c>
      <c r="AH787" s="7" t="n">
        <f aca="false">I787-H787</f>
        <v>266</v>
      </c>
    </row>
    <row r="788" customFormat="false" ht="15" hidden="false" customHeight="false" outlineLevel="0" collapsed="false">
      <c r="A788" s="16" t="s">
        <v>2266</v>
      </c>
      <c r="B788" s="16" t="s">
        <v>250</v>
      </c>
      <c r="C788" s="16" t="s">
        <v>2267</v>
      </c>
      <c r="D788" s="16" t="s">
        <v>162</v>
      </c>
      <c r="E788" s="16" t="s">
        <v>527</v>
      </c>
      <c r="F788" s="26" t="n">
        <v>26912000</v>
      </c>
      <c r="G788" s="25" t="n">
        <v>25</v>
      </c>
      <c r="H788" s="22" t="n">
        <v>46292</v>
      </c>
      <c r="I788" s="22" t="n">
        <v>46289</v>
      </c>
      <c r="J788" s="22" t="n">
        <v>46282</v>
      </c>
      <c r="K788" s="16" t="s">
        <v>622</v>
      </c>
      <c r="L788" s="16" t="s">
        <v>574</v>
      </c>
      <c r="M788" s="16" t="s">
        <v>593</v>
      </c>
      <c r="N788" s="16"/>
      <c r="O788" s="7" t="n">
        <f aca="false">IF(OR(E788="Closed Won",E788="Closed Lost"),0,1)</f>
        <v>1</v>
      </c>
      <c r="P788" s="17" t="str">
        <f aca="false">INDEX(Accounts!$K$5:$K$336,MATCH(B788,Accounts!$A$5:$A$336,0))</f>
        <v>Public Sector &amp; Development</v>
      </c>
      <c r="Q788" s="17" t="str">
        <f aca="false">INDEX(Accounts!$D$5:$D$336,MATCH(B788,Accounts!$A$5:$A$336,0))</f>
        <v>Standard</v>
      </c>
      <c r="R788" s="7" t="n">
        <f aca="false">INDEX(Inputs!$B$11:$B$16,MATCH(E788,Inputs!$A$11:$A$16,0))</f>
        <v>25</v>
      </c>
      <c r="S788" s="27" t="n">
        <f aca="false">IF(F788="",0,F788)*R788/100</f>
        <v>6728000</v>
      </c>
      <c r="T788" s="7" t="n">
        <f aca="false">Inputs!$B$4-J788</f>
        <v>32</v>
      </c>
      <c r="U788" s="7" t="n">
        <f aca="false">IF(OR(F788="",F788=0),1,0)</f>
        <v>0</v>
      </c>
      <c r="V788" s="7" t="n">
        <f aca="false">IF(K788="",1,0)</f>
        <v>0</v>
      </c>
      <c r="W788" s="7" t="n">
        <f aca="false">IF(AND(O788=1,K788&lt;&gt;"",COUNTIFS(Owners!$A$5:$A$32,K788,Owners!$E$5:$E$32,"No")&gt;0),1,0)</f>
        <v>0</v>
      </c>
      <c r="X788" s="7" t="n">
        <f aca="false">IF(AND(O788=1,I788&lt;Inputs!$B$4),1,0)</f>
        <v>1</v>
      </c>
      <c r="Y788" s="7" t="n">
        <f aca="false">IF(AND(O788=1,T788&gt;Inputs!$B$5),1,0)</f>
        <v>0</v>
      </c>
      <c r="Z788" s="7" t="n">
        <f aca="false">IF(AND(O788=1,G788&lt;&gt;R788),1,0)</f>
        <v>0</v>
      </c>
      <c r="AA788" s="7" t="n">
        <f aca="false">IF(AND(O788=1,M788=""),1,0)</f>
        <v>0</v>
      </c>
      <c r="AB788" s="7" t="n">
        <f aca="false">IF(AND(E788="Closed Lost",N788=""),1,0)</f>
        <v>0</v>
      </c>
      <c r="AC788" s="7" t="n">
        <f aca="false">SUM(U788:AB788)</f>
        <v>1</v>
      </c>
      <c r="AD788" s="7" t="n">
        <f aca="false">IF(AC788=0,1,0)</f>
        <v>0</v>
      </c>
      <c r="AE788" s="7" t="n">
        <f aca="false">IF(AND(O788=1,I788&gt;=Inputs!$B$6,I788&lt;=Inputs!$B$7),1,0)</f>
        <v>1</v>
      </c>
      <c r="AF788" s="7" t="n">
        <f aca="false">IF(AND(E788="Closed Won",I788&gt;=Inputs!$B$6,I788&lt;=Inputs!$B$4),1,0)</f>
        <v>0</v>
      </c>
      <c r="AG788" s="7" t="n">
        <f aca="false">IF(AND(O788=0,I788&gt;Inputs!$B$4-Inputs!$B$8,I788&lt;=Inputs!$B$4),1,0)</f>
        <v>0</v>
      </c>
      <c r="AH788" s="7" t="n">
        <f aca="false">I788-H788</f>
        <v>-3</v>
      </c>
    </row>
    <row r="789" customFormat="false" ht="15" hidden="false" customHeight="false" outlineLevel="0" collapsed="false">
      <c r="A789" s="16" t="s">
        <v>2268</v>
      </c>
      <c r="B789" s="16" t="s">
        <v>90</v>
      </c>
      <c r="C789" s="16" t="s">
        <v>2269</v>
      </c>
      <c r="D789" s="16" t="s">
        <v>158</v>
      </c>
      <c r="E789" s="16" t="s">
        <v>531</v>
      </c>
      <c r="F789" s="26" t="n">
        <v>8253000</v>
      </c>
      <c r="G789" s="25" t="n">
        <v>0</v>
      </c>
      <c r="H789" s="22" t="n">
        <v>45908</v>
      </c>
      <c r="I789" s="22" t="n">
        <v>46069</v>
      </c>
      <c r="J789" s="22" t="n">
        <v>46069</v>
      </c>
      <c r="K789" s="16" t="s">
        <v>604</v>
      </c>
      <c r="L789" s="16" t="s">
        <v>609</v>
      </c>
      <c r="M789" s="16"/>
      <c r="N789" s="16" t="s">
        <v>713</v>
      </c>
      <c r="O789" s="7" t="n">
        <f aca="false">IF(OR(E789="Closed Won",E789="Closed Lost"),0,1)</f>
        <v>0</v>
      </c>
      <c r="P789" s="17" t="str">
        <f aca="false">INDEX(Accounts!$K$5:$K$336,MATCH(B789,Accounts!$A$5:$A$336,0))</f>
        <v>Financial Services</v>
      </c>
      <c r="Q789" s="17" t="str">
        <f aca="false">INDEX(Accounts!$D$5:$D$336,MATCH(B789,Accounts!$A$5:$A$336,0))</f>
        <v>Priority</v>
      </c>
      <c r="R789" s="7" t="n">
        <f aca="false">INDEX(Inputs!$B$11:$B$16,MATCH(E789,Inputs!$A$11:$A$16,0))</f>
        <v>0</v>
      </c>
      <c r="S789" s="27" t="n">
        <f aca="false">IF(F789="",0,F789)*R789/100</f>
        <v>0</v>
      </c>
      <c r="T789" s="7" t="n">
        <f aca="false">Inputs!$B$4-J789</f>
        <v>245</v>
      </c>
      <c r="U789" s="7" t="n">
        <f aca="false">IF(OR(F789="",F789=0),1,0)</f>
        <v>0</v>
      </c>
      <c r="V789" s="7" t="n">
        <f aca="false">IF(K789="",1,0)</f>
        <v>0</v>
      </c>
      <c r="W789" s="7" t="n">
        <f aca="false">IF(AND(O789=1,K789&lt;&gt;"",COUNTIFS(Owners!$A$5:$A$32,K789,Owners!$E$5:$E$32,"No")&gt;0),1,0)</f>
        <v>0</v>
      </c>
      <c r="X789" s="7" t="n">
        <f aca="false">IF(AND(O789=1,I789&lt;Inputs!$B$4),1,0)</f>
        <v>0</v>
      </c>
      <c r="Y789" s="7" t="n">
        <f aca="false">IF(AND(O789=1,T789&gt;Inputs!$B$5),1,0)</f>
        <v>0</v>
      </c>
      <c r="Z789" s="7" t="n">
        <f aca="false">IF(AND(O789=1,G789&lt;&gt;R789),1,0)</f>
        <v>0</v>
      </c>
      <c r="AA789" s="7" t="n">
        <f aca="false">IF(AND(O789=1,M789=""),1,0)</f>
        <v>0</v>
      </c>
      <c r="AB789" s="7" t="n">
        <f aca="false">IF(AND(E789="Closed Lost",N789=""),1,0)</f>
        <v>0</v>
      </c>
      <c r="AC789" s="7" t="n">
        <f aca="false">SUM(U789:AB789)</f>
        <v>0</v>
      </c>
      <c r="AD789" s="7" t="n">
        <f aca="false">IF(AC789=0,1,0)</f>
        <v>1</v>
      </c>
      <c r="AE789" s="7" t="n">
        <f aca="false">IF(AND(O789=1,I789&gt;=Inputs!$B$6,I789&lt;=Inputs!$B$7),1,0)</f>
        <v>0</v>
      </c>
      <c r="AF789" s="7" t="n">
        <f aca="false">IF(AND(E789="Closed Won",I789&gt;=Inputs!$B$6,I789&lt;=Inputs!$B$4),1,0)</f>
        <v>0</v>
      </c>
      <c r="AG789" s="7" t="n">
        <f aca="false">IF(AND(O789=0,I789&gt;Inputs!$B$4-Inputs!$B$8,I789&lt;=Inputs!$B$4),1,0)</f>
        <v>1</v>
      </c>
      <c r="AH789" s="7" t="n">
        <f aca="false">I789-H789</f>
        <v>161</v>
      </c>
    </row>
    <row r="790" customFormat="false" ht="15" hidden="false" customHeight="false" outlineLevel="0" collapsed="false">
      <c r="A790" s="16" t="s">
        <v>2270</v>
      </c>
      <c r="B790" s="16" t="s">
        <v>413</v>
      </c>
      <c r="C790" s="16" t="s">
        <v>2271</v>
      </c>
      <c r="D790" s="16" t="s">
        <v>162</v>
      </c>
      <c r="E790" s="16" t="s">
        <v>528</v>
      </c>
      <c r="F790" s="26" t="n">
        <v>13374000</v>
      </c>
      <c r="G790" s="25" t="n">
        <v>50</v>
      </c>
      <c r="H790" s="22" t="n">
        <v>46219</v>
      </c>
      <c r="I790" s="22" t="n">
        <v>46342</v>
      </c>
      <c r="J790" s="22" t="n">
        <v>46304</v>
      </c>
      <c r="K790" s="16" t="s">
        <v>637</v>
      </c>
      <c r="L790" s="16" t="s">
        <v>574</v>
      </c>
      <c r="M790" s="16" t="s">
        <v>619</v>
      </c>
      <c r="N790" s="16"/>
      <c r="O790" s="7" t="n">
        <f aca="false">IF(OR(E790="Closed Won",E790="Closed Lost"),0,1)</f>
        <v>1</v>
      </c>
      <c r="P790" s="17" t="str">
        <f aca="false">INDEX(Accounts!$K$5:$K$336,MATCH(B790,Accounts!$A$5:$A$336,0))</f>
        <v>Public Sector &amp; Development</v>
      </c>
      <c r="Q790" s="17" t="str">
        <f aca="false">INDEX(Accounts!$D$5:$D$336,MATCH(B790,Accounts!$A$5:$A$336,0))</f>
        <v>Standard</v>
      </c>
      <c r="R790" s="7" t="n">
        <f aca="false">INDEX(Inputs!$B$11:$B$16,MATCH(E790,Inputs!$A$11:$A$16,0))</f>
        <v>50</v>
      </c>
      <c r="S790" s="27" t="n">
        <f aca="false">IF(F790="",0,F790)*R790/100</f>
        <v>6687000</v>
      </c>
      <c r="T790" s="7" t="n">
        <f aca="false">Inputs!$B$4-J790</f>
        <v>10</v>
      </c>
      <c r="U790" s="7" t="n">
        <f aca="false">IF(OR(F790="",F790=0),1,0)</f>
        <v>0</v>
      </c>
      <c r="V790" s="7" t="n">
        <f aca="false">IF(K790="",1,0)</f>
        <v>0</v>
      </c>
      <c r="W790" s="7" t="n">
        <f aca="false">IF(AND(O790=1,K790&lt;&gt;"",COUNTIFS(Owners!$A$5:$A$32,K790,Owners!$E$5:$E$32,"No")&gt;0),1,0)</f>
        <v>0</v>
      </c>
      <c r="X790" s="7" t="n">
        <f aca="false">IF(AND(O790=1,I790&lt;Inputs!$B$4),1,0)</f>
        <v>0</v>
      </c>
      <c r="Y790" s="7" t="n">
        <f aca="false">IF(AND(O790=1,T790&gt;Inputs!$B$5),1,0)</f>
        <v>0</v>
      </c>
      <c r="Z790" s="7" t="n">
        <f aca="false">IF(AND(O790=1,G790&lt;&gt;R790),1,0)</f>
        <v>0</v>
      </c>
      <c r="AA790" s="7" t="n">
        <f aca="false">IF(AND(O790=1,M790=""),1,0)</f>
        <v>0</v>
      </c>
      <c r="AB790" s="7" t="n">
        <f aca="false">IF(AND(E790="Closed Lost",N790=""),1,0)</f>
        <v>0</v>
      </c>
      <c r="AC790" s="7" t="n">
        <f aca="false">SUM(U790:AB790)</f>
        <v>0</v>
      </c>
      <c r="AD790" s="7" t="n">
        <f aca="false">IF(AC790=0,1,0)</f>
        <v>1</v>
      </c>
      <c r="AE790" s="7" t="n">
        <f aca="false">IF(AND(O790=1,I790&gt;=Inputs!$B$6,I790&lt;=Inputs!$B$7),1,0)</f>
        <v>1</v>
      </c>
      <c r="AF790" s="7" t="n">
        <f aca="false">IF(AND(E790="Closed Won",I790&gt;=Inputs!$B$6,I790&lt;=Inputs!$B$4),1,0)</f>
        <v>0</v>
      </c>
      <c r="AG790" s="7" t="n">
        <f aca="false">IF(AND(O790=0,I790&gt;Inputs!$B$4-Inputs!$B$8,I790&lt;=Inputs!$B$4),1,0)</f>
        <v>0</v>
      </c>
      <c r="AH790" s="7" t="n">
        <f aca="false">I790-H790</f>
        <v>123</v>
      </c>
    </row>
    <row r="791" customFormat="false" ht="15" hidden="false" customHeight="false" outlineLevel="0" collapsed="false">
      <c r="A791" s="16" t="s">
        <v>2272</v>
      </c>
      <c r="B791" s="16" t="s">
        <v>404</v>
      </c>
      <c r="C791" s="16" t="s">
        <v>2273</v>
      </c>
      <c r="D791" s="16" t="s">
        <v>158</v>
      </c>
      <c r="E791" s="16" t="s">
        <v>531</v>
      </c>
      <c r="F791" s="26"/>
      <c r="G791" s="25" t="n">
        <v>0</v>
      </c>
      <c r="H791" s="22" t="n">
        <v>46010</v>
      </c>
      <c r="I791" s="22" t="n">
        <v>46279</v>
      </c>
      <c r="J791" s="22" t="n">
        <v>46279</v>
      </c>
      <c r="K791" s="16" t="s">
        <v>704</v>
      </c>
      <c r="L791" s="16" t="s">
        <v>574</v>
      </c>
      <c r="M791" s="16"/>
      <c r="N791" s="16" t="s">
        <v>597</v>
      </c>
      <c r="O791" s="7" t="n">
        <f aca="false">IF(OR(E791="Closed Won",E791="Closed Lost"),0,1)</f>
        <v>0</v>
      </c>
      <c r="P791" s="17" t="str">
        <f aca="false">INDEX(Accounts!$K$5:$K$336,MATCH(B791,Accounts!$A$5:$A$336,0))</f>
        <v>Consumer &amp; Retail</v>
      </c>
      <c r="Q791" s="17" t="str">
        <f aca="false">INDEX(Accounts!$D$5:$D$336,MATCH(B791,Accounts!$A$5:$A$336,0))</f>
        <v>Key</v>
      </c>
      <c r="R791" s="7" t="n">
        <f aca="false">INDEX(Inputs!$B$11:$B$16,MATCH(E791,Inputs!$A$11:$A$16,0))</f>
        <v>0</v>
      </c>
      <c r="S791" s="27" t="n">
        <f aca="false">IF(F791="",0,F791)*R791/100</f>
        <v>0</v>
      </c>
      <c r="T791" s="7" t="n">
        <f aca="false">Inputs!$B$4-J791</f>
        <v>35</v>
      </c>
      <c r="U791" s="7" t="n">
        <f aca="false">IF(OR(F791="",F791=0),1,0)</f>
        <v>1</v>
      </c>
      <c r="V791" s="7" t="n">
        <f aca="false">IF(K791="",1,0)</f>
        <v>0</v>
      </c>
      <c r="W791" s="7" t="n">
        <f aca="false">IF(AND(O791=1,K791&lt;&gt;"",COUNTIFS(Owners!$A$5:$A$32,K791,Owners!$E$5:$E$32,"No")&gt;0),1,0)</f>
        <v>0</v>
      </c>
      <c r="X791" s="7" t="n">
        <f aca="false">IF(AND(O791=1,I791&lt;Inputs!$B$4),1,0)</f>
        <v>0</v>
      </c>
      <c r="Y791" s="7" t="n">
        <f aca="false">IF(AND(O791=1,T791&gt;Inputs!$B$5),1,0)</f>
        <v>0</v>
      </c>
      <c r="Z791" s="7" t="n">
        <f aca="false">IF(AND(O791=1,G791&lt;&gt;R791),1,0)</f>
        <v>0</v>
      </c>
      <c r="AA791" s="7" t="n">
        <f aca="false">IF(AND(O791=1,M791=""),1,0)</f>
        <v>0</v>
      </c>
      <c r="AB791" s="7" t="n">
        <f aca="false">IF(AND(E791="Closed Lost",N791=""),1,0)</f>
        <v>0</v>
      </c>
      <c r="AC791" s="7" t="n">
        <f aca="false">SUM(U791:AB791)</f>
        <v>1</v>
      </c>
      <c r="AD791" s="7" t="n">
        <f aca="false">IF(AC791=0,1,0)</f>
        <v>0</v>
      </c>
      <c r="AE791" s="7" t="n">
        <f aca="false">IF(AND(O791=1,I791&gt;=Inputs!$B$6,I791&lt;=Inputs!$B$7),1,0)</f>
        <v>0</v>
      </c>
      <c r="AF791" s="7" t="n">
        <f aca="false">IF(AND(E791="Closed Won",I791&gt;=Inputs!$B$6,I791&lt;=Inputs!$B$4),1,0)</f>
        <v>0</v>
      </c>
      <c r="AG791" s="7" t="n">
        <f aca="false">IF(AND(O791=0,I791&gt;Inputs!$B$4-Inputs!$B$8,I791&lt;=Inputs!$B$4),1,0)</f>
        <v>1</v>
      </c>
      <c r="AH791" s="7" t="n">
        <f aca="false">I791-H791</f>
        <v>269</v>
      </c>
    </row>
    <row r="792" customFormat="false" ht="15" hidden="false" customHeight="false" outlineLevel="0" collapsed="false">
      <c r="A792" s="16" t="s">
        <v>2274</v>
      </c>
      <c r="B792" s="16" t="s">
        <v>81</v>
      </c>
      <c r="C792" s="16" t="s">
        <v>2275</v>
      </c>
      <c r="D792" s="16" t="s">
        <v>167</v>
      </c>
      <c r="E792" s="16" t="s">
        <v>529</v>
      </c>
      <c r="F792" s="26" t="n">
        <v>7101000</v>
      </c>
      <c r="G792" s="25" t="n">
        <v>75</v>
      </c>
      <c r="H792" s="22" t="n">
        <v>46096</v>
      </c>
      <c r="I792" s="22" t="n">
        <v>46480</v>
      </c>
      <c r="J792" s="22" t="n">
        <v>46294</v>
      </c>
      <c r="K792" s="16" t="s">
        <v>651</v>
      </c>
      <c r="L792" s="16" t="s">
        <v>609</v>
      </c>
      <c r="M792" s="16" t="s">
        <v>601</v>
      </c>
      <c r="N792" s="16"/>
      <c r="O792" s="7" t="n">
        <f aca="false">IF(OR(E792="Closed Won",E792="Closed Lost"),0,1)</f>
        <v>1</v>
      </c>
      <c r="P792" s="17" t="str">
        <f aca="false">INDEX(Accounts!$K$5:$K$336,MATCH(B792,Accounts!$A$5:$A$336,0))</f>
        <v>Financial Services</v>
      </c>
      <c r="Q792" s="17" t="str">
        <f aca="false">INDEX(Accounts!$D$5:$D$336,MATCH(B792,Accounts!$A$5:$A$336,0))</f>
        <v>Priority</v>
      </c>
      <c r="R792" s="7" t="n">
        <f aca="false">INDEX(Inputs!$B$11:$B$16,MATCH(E792,Inputs!$A$11:$A$16,0))</f>
        <v>75</v>
      </c>
      <c r="S792" s="27" t="n">
        <f aca="false">IF(F792="",0,F792)*R792/100</f>
        <v>5325750</v>
      </c>
      <c r="T792" s="7" t="n">
        <f aca="false">Inputs!$B$4-J792</f>
        <v>20</v>
      </c>
      <c r="U792" s="7" t="n">
        <f aca="false">IF(OR(F792="",F792=0),1,0)</f>
        <v>0</v>
      </c>
      <c r="V792" s="7" t="n">
        <f aca="false">IF(K792="",1,0)</f>
        <v>0</v>
      </c>
      <c r="W792" s="7" t="n">
        <f aca="false">IF(AND(O792=1,K792&lt;&gt;"",COUNTIFS(Owners!$A$5:$A$32,K792,Owners!$E$5:$E$32,"No")&gt;0),1,0)</f>
        <v>0</v>
      </c>
      <c r="X792" s="7" t="n">
        <f aca="false">IF(AND(O792=1,I792&lt;Inputs!$B$4),1,0)</f>
        <v>0</v>
      </c>
      <c r="Y792" s="7" t="n">
        <f aca="false">IF(AND(O792=1,T792&gt;Inputs!$B$5),1,0)</f>
        <v>0</v>
      </c>
      <c r="Z792" s="7" t="n">
        <f aca="false">IF(AND(O792=1,G792&lt;&gt;R792),1,0)</f>
        <v>0</v>
      </c>
      <c r="AA792" s="7" t="n">
        <f aca="false">IF(AND(O792=1,M792=""),1,0)</f>
        <v>0</v>
      </c>
      <c r="AB792" s="7" t="n">
        <f aca="false">IF(AND(E792="Closed Lost",N792=""),1,0)</f>
        <v>0</v>
      </c>
      <c r="AC792" s="7" t="n">
        <f aca="false">SUM(U792:AB792)</f>
        <v>0</v>
      </c>
      <c r="AD792" s="7" t="n">
        <f aca="false">IF(AC792=0,1,0)</f>
        <v>1</v>
      </c>
      <c r="AE792" s="7" t="n">
        <f aca="false">IF(AND(O792=1,I792&gt;=Inputs!$B$6,I792&lt;=Inputs!$B$7),1,0)</f>
        <v>1</v>
      </c>
      <c r="AF792" s="7" t="n">
        <f aca="false">IF(AND(E792="Closed Won",I792&gt;=Inputs!$B$6,I792&lt;=Inputs!$B$4),1,0)</f>
        <v>0</v>
      </c>
      <c r="AG792" s="7" t="n">
        <f aca="false">IF(AND(O792=0,I792&gt;Inputs!$B$4-Inputs!$B$8,I792&lt;=Inputs!$B$4),1,0)</f>
        <v>0</v>
      </c>
      <c r="AH792" s="7" t="n">
        <f aca="false">I792-H792</f>
        <v>384</v>
      </c>
    </row>
    <row r="793" customFormat="false" ht="15" hidden="false" customHeight="false" outlineLevel="0" collapsed="false">
      <c r="A793" s="16" t="s">
        <v>2276</v>
      </c>
      <c r="B793" s="16" t="s">
        <v>59</v>
      </c>
      <c r="C793" s="16" t="s">
        <v>2277</v>
      </c>
      <c r="D793" s="16" t="s">
        <v>165</v>
      </c>
      <c r="E793" s="16" t="s">
        <v>531</v>
      </c>
      <c r="F793" s="26" t="n">
        <v>38929000</v>
      </c>
      <c r="G793" s="25" t="n">
        <v>0</v>
      </c>
      <c r="H793" s="22" t="n">
        <v>46032</v>
      </c>
      <c r="I793" s="22" t="n">
        <v>46251</v>
      </c>
      <c r="J793" s="22" t="n">
        <v>46251</v>
      </c>
      <c r="K793" s="16" t="s">
        <v>666</v>
      </c>
      <c r="L793" s="16" t="s">
        <v>584</v>
      </c>
      <c r="M793" s="16"/>
      <c r="N793" s="16" t="s">
        <v>610</v>
      </c>
      <c r="O793" s="7" t="n">
        <f aca="false">IF(OR(E793="Closed Won",E793="Closed Lost"),0,1)</f>
        <v>0</v>
      </c>
      <c r="P793" s="17" t="str">
        <f aca="false">INDEX(Accounts!$K$5:$K$336,MATCH(B793,Accounts!$A$5:$A$336,0))</f>
        <v>Financial Services</v>
      </c>
      <c r="Q793" s="17" t="str">
        <f aca="false">INDEX(Accounts!$D$5:$D$336,MATCH(B793,Accounts!$A$5:$A$336,0))</f>
        <v>Priority</v>
      </c>
      <c r="R793" s="7" t="n">
        <f aca="false">INDEX(Inputs!$B$11:$B$16,MATCH(E793,Inputs!$A$11:$A$16,0))</f>
        <v>0</v>
      </c>
      <c r="S793" s="27" t="n">
        <f aca="false">IF(F793="",0,F793)*R793/100</f>
        <v>0</v>
      </c>
      <c r="T793" s="7" t="n">
        <f aca="false">Inputs!$B$4-J793</f>
        <v>63</v>
      </c>
      <c r="U793" s="7" t="n">
        <f aca="false">IF(OR(F793="",F793=0),1,0)</f>
        <v>0</v>
      </c>
      <c r="V793" s="7" t="n">
        <f aca="false">IF(K793="",1,0)</f>
        <v>0</v>
      </c>
      <c r="W793" s="7" t="n">
        <f aca="false">IF(AND(O793=1,K793&lt;&gt;"",COUNTIFS(Owners!$A$5:$A$32,K793,Owners!$E$5:$E$32,"No")&gt;0),1,0)</f>
        <v>0</v>
      </c>
      <c r="X793" s="7" t="n">
        <f aca="false">IF(AND(O793=1,I793&lt;Inputs!$B$4),1,0)</f>
        <v>0</v>
      </c>
      <c r="Y793" s="7" t="n">
        <f aca="false">IF(AND(O793=1,T793&gt;Inputs!$B$5),1,0)</f>
        <v>0</v>
      </c>
      <c r="Z793" s="7" t="n">
        <f aca="false">IF(AND(O793=1,G793&lt;&gt;R793),1,0)</f>
        <v>0</v>
      </c>
      <c r="AA793" s="7" t="n">
        <f aca="false">IF(AND(O793=1,M793=""),1,0)</f>
        <v>0</v>
      </c>
      <c r="AB793" s="7" t="n">
        <f aca="false">IF(AND(E793="Closed Lost",N793=""),1,0)</f>
        <v>0</v>
      </c>
      <c r="AC793" s="7" t="n">
        <f aca="false">SUM(U793:AB793)</f>
        <v>0</v>
      </c>
      <c r="AD793" s="7" t="n">
        <f aca="false">IF(AC793=0,1,0)</f>
        <v>1</v>
      </c>
      <c r="AE793" s="7" t="n">
        <f aca="false">IF(AND(O793=1,I793&gt;=Inputs!$B$6,I793&lt;=Inputs!$B$7),1,0)</f>
        <v>0</v>
      </c>
      <c r="AF793" s="7" t="n">
        <f aca="false">IF(AND(E793="Closed Won",I793&gt;=Inputs!$B$6,I793&lt;=Inputs!$B$4),1,0)</f>
        <v>0</v>
      </c>
      <c r="AG793" s="7" t="n">
        <f aca="false">IF(AND(O793=0,I793&gt;Inputs!$B$4-Inputs!$B$8,I793&lt;=Inputs!$B$4),1,0)</f>
        <v>1</v>
      </c>
      <c r="AH793" s="7" t="n">
        <f aca="false">I793-H793</f>
        <v>219</v>
      </c>
    </row>
    <row r="794" customFormat="false" ht="15" hidden="false" customHeight="false" outlineLevel="0" collapsed="false">
      <c r="A794" s="16" t="s">
        <v>2278</v>
      </c>
      <c r="B794" s="16" t="s">
        <v>2279</v>
      </c>
      <c r="C794" s="16" t="s">
        <v>2280</v>
      </c>
      <c r="D794" s="16" t="s">
        <v>162</v>
      </c>
      <c r="E794" s="16" t="s">
        <v>531</v>
      </c>
      <c r="F794" s="26" t="n">
        <v>2960000</v>
      </c>
      <c r="G794" s="25" t="n">
        <v>0</v>
      </c>
      <c r="H794" s="22" t="n">
        <v>46140</v>
      </c>
      <c r="I794" s="22" t="n">
        <v>46243</v>
      </c>
      <c r="J794" s="22" t="n">
        <v>46243</v>
      </c>
      <c r="K794" s="16" t="s">
        <v>860</v>
      </c>
      <c r="L794" s="16" t="s">
        <v>568</v>
      </c>
      <c r="M794" s="16"/>
      <c r="N794" s="16" t="s">
        <v>697</v>
      </c>
      <c r="O794" s="7" t="n">
        <f aca="false">IF(OR(E794="Closed Won",E794="Closed Lost"),0,1)</f>
        <v>0</v>
      </c>
      <c r="P794" s="17" t="str">
        <f aca="false">INDEX(Accounts!$K$5:$K$336,MATCH(B794,Accounts!$A$5:$A$336,0))</f>
        <v>Real Estate &amp; Infrastructure</v>
      </c>
      <c r="Q794" s="17" t="str">
        <f aca="false">INDEX(Accounts!$D$5:$D$336,MATCH(B794,Accounts!$A$5:$A$336,0))</f>
        <v>Standard</v>
      </c>
      <c r="R794" s="7" t="n">
        <f aca="false">INDEX(Inputs!$B$11:$B$16,MATCH(E794,Inputs!$A$11:$A$16,0))</f>
        <v>0</v>
      </c>
      <c r="S794" s="27" t="n">
        <f aca="false">IF(F794="",0,F794)*R794/100</f>
        <v>0</v>
      </c>
      <c r="T794" s="7" t="n">
        <f aca="false">Inputs!$B$4-J794</f>
        <v>71</v>
      </c>
      <c r="U794" s="7" t="n">
        <f aca="false">IF(OR(F794="",F794=0),1,0)</f>
        <v>0</v>
      </c>
      <c r="V794" s="7" t="n">
        <f aca="false">IF(K794="",1,0)</f>
        <v>0</v>
      </c>
      <c r="W794" s="7" t="n">
        <f aca="false">IF(AND(O794=1,K794&lt;&gt;"",COUNTIFS(Owners!$A$5:$A$32,K794,Owners!$E$5:$E$32,"No")&gt;0),1,0)</f>
        <v>0</v>
      </c>
      <c r="X794" s="7" t="n">
        <f aca="false">IF(AND(O794=1,I794&lt;Inputs!$B$4),1,0)</f>
        <v>0</v>
      </c>
      <c r="Y794" s="7" t="n">
        <f aca="false">IF(AND(O794=1,T794&gt;Inputs!$B$5),1,0)</f>
        <v>0</v>
      </c>
      <c r="Z794" s="7" t="n">
        <f aca="false">IF(AND(O794=1,G794&lt;&gt;R794),1,0)</f>
        <v>0</v>
      </c>
      <c r="AA794" s="7" t="n">
        <f aca="false">IF(AND(O794=1,M794=""),1,0)</f>
        <v>0</v>
      </c>
      <c r="AB794" s="7" t="n">
        <f aca="false">IF(AND(E794="Closed Lost",N794=""),1,0)</f>
        <v>0</v>
      </c>
      <c r="AC794" s="7" t="n">
        <f aca="false">SUM(U794:AB794)</f>
        <v>0</v>
      </c>
      <c r="AD794" s="7" t="n">
        <f aca="false">IF(AC794=0,1,0)</f>
        <v>1</v>
      </c>
      <c r="AE794" s="7" t="n">
        <f aca="false">IF(AND(O794=1,I794&gt;=Inputs!$B$6,I794&lt;=Inputs!$B$7),1,0)</f>
        <v>0</v>
      </c>
      <c r="AF794" s="7" t="n">
        <f aca="false">IF(AND(E794="Closed Won",I794&gt;=Inputs!$B$6,I794&lt;=Inputs!$B$4),1,0)</f>
        <v>0</v>
      </c>
      <c r="AG794" s="7" t="n">
        <f aca="false">IF(AND(O794=0,I794&gt;Inputs!$B$4-Inputs!$B$8,I794&lt;=Inputs!$B$4),1,0)</f>
        <v>1</v>
      </c>
      <c r="AH794" s="7" t="n">
        <f aca="false">I794-H794</f>
        <v>103</v>
      </c>
    </row>
    <row r="795" customFormat="false" ht="15" hidden="false" customHeight="false" outlineLevel="0" collapsed="false">
      <c r="A795" s="16" t="s">
        <v>2281</v>
      </c>
      <c r="B795" s="16" t="s">
        <v>1503</v>
      </c>
      <c r="C795" s="16" t="s">
        <v>2282</v>
      </c>
      <c r="D795" s="16" t="s">
        <v>162</v>
      </c>
      <c r="E795" s="16" t="s">
        <v>531</v>
      </c>
      <c r="F795" s="26"/>
      <c r="G795" s="25" t="n">
        <v>0</v>
      </c>
      <c r="H795" s="22" t="n">
        <v>46042</v>
      </c>
      <c r="I795" s="22" t="n">
        <v>46271</v>
      </c>
      <c r="J795" s="22" t="n">
        <v>46271</v>
      </c>
      <c r="K795" s="16" t="s">
        <v>860</v>
      </c>
      <c r="L795" s="16" t="s">
        <v>568</v>
      </c>
      <c r="M795" s="16"/>
      <c r="N795" s="16" t="s">
        <v>697</v>
      </c>
      <c r="O795" s="7" t="n">
        <f aca="false">IF(OR(E795="Closed Won",E795="Closed Lost"),0,1)</f>
        <v>0</v>
      </c>
      <c r="P795" s="17" t="str">
        <f aca="false">INDEX(Accounts!$K$5:$K$336,MATCH(B795,Accounts!$A$5:$A$336,0))</f>
        <v>Financial Services</v>
      </c>
      <c r="Q795" s="17" t="str">
        <f aca="false">INDEX(Accounts!$D$5:$D$336,MATCH(B795,Accounts!$A$5:$A$336,0))</f>
        <v>Standard</v>
      </c>
      <c r="R795" s="7" t="n">
        <f aca="false">INDEX(Inputs!$B$11:$B$16,MATCH(E795,Inputs!$A$11:$A$16,0))</f>
        <v>0</v>
      </c>
      <c r="S795" s="27" t="n">
        <f aca="false">IF(F795="",0,F795)*R795/100</f>
        <v>0</v>
      </c>
      <c r="T795" s="7" t="n">
        <f aca="false">Inputs!$B$4-J795</f>
        <v>43</v>
      </c>
      <c r="U795" s="7" t="n">
        <f aca="false">IF(OR(F795="",F795=0),1,0)</f>
        <v>1</v>
      </c>
      <c r="V795" s="7" t="n">
        <f aca="false">IF(K795="",1,0)</f>
        <v>0</v>
      </c>
      <c r="W795" s="7" t="n">
        <f aca="false">IF(AND(O795=1,K795&lt;&gt;"",COUNTIFS(Owners!$A$5:$A$32,K795,Owners!$E$5:$E$32,"No")&gt;0),1,0)</f>
        <v>0</v>
      </c>
      <c r="X795" s="7" t="n">
        <f aca="false">IF(AND(O795=1,I795&lt;Inputs!$B$4),1,0)</f>
        <v>0</v>
      </c>
      <c r="Y795" s="7" t="n">
        <f aca="false">IF(AND(O795=1,T795&gt;Inputs!$B$5),1,0)</f>
        <v>0</v>
      </c>
      <c r="Z795" s="7" t="n">
        <f aca="false">IF(AND(O795=1,G795&lt;&gt;R795),1,0)</f>
        <v>0</v>
      </c>
      <c r="AA795" s="7" t="n">
        <f aca="false">IF(AND(O795=1,M795=""),1,0)</f>
        <v>0</v>
      </c>
      <c r="AB795" s="7" t="n">
        <f aca="false">IF(AND(E795="Closed Lost",N795=""),1,0)</f>
        <v>0</v>
      </c>
      <c r="AC795" s="7" t="n">
        <f aca="false">SUM(U795:AB795)</f>
        <v>1</v>
      </c>
      <c r="AD795" s="7" t="n">
        <f aca="false">IF(AC795=0,1,0)</f>
        <v>0</v>
      </c>
      <c r="AE795" s="7" t="n">
        <f aca="false">IF(AND(O795=1,I795&gt;=Inputs!$B$6,I795&lt;=Inputs!$B$7),1,0)</f>
        <v>0</v>
      </c>
      <c r="AF795" s="7" t="n">
        <f aca="false">IF(AND(E795="Closed Won",I795&gt;=Inputs!$B$6,I795&lt;=Inputs!$B$4),1,0)</f>
        <v>0</v>
      </c>
      <c r="AG795" s="7" t="n">
        <f aca="false">IF(AND(O795=0,I795&gt;Inputs!$B$4-Inputs!$B$8,I795&lt;=Inputs!$B$4),1,0)</f>
        <v>1</v>
      </c>
      <c r="AH795" s="7" t="n">
        <f aca="false">I795-H795</f>
        <v>229</v>
      </c>
    </row>
    <row r="796" customFormat="false" ht="15" hidden="false" customHeight="false" outlineLevel="0" collapsed="false">
      <c r="A796" s="16" t="s">
        <v>2283</v>
      </c>
      <c r="B796" s="16" t="s">
        <v>852</v>
      </c>
      <c r="C796" s="16" t="s">
        <v>2284</v>
      </c>
      <c r="D796" s="16" t="s">
        <v>167</v>
      </c>
      <c r="E796" s="16" t="s">
        <v>530</v>
      </c>
      <c r="F796" s="26" t="n">
        <v>3622000</v>
      </c>
      <c r="G796" s="25" t="n">
        <v>100</v>
      </c>
      <c r="H796" s="22" t="n">
        <v>46027</v>
      </c>
      <c r="I796" s="22" t="n">
        <v>46311</v>
      </c>
      <c r="J796" s="22" t="n">
        <v>46311</v>
      </c>
      <c r="K796" s="16" t="s">
        <v>637</v>
      </c>
      <c r="L796" s="16" t="s">
        <v>592</v>
      </c>
      <c r="M796" s="16"/>
      <c r="N796" s="16"/>
      <c r="O796" s="7" t="n">
        <f aca="false">IF(OR(E796="Closed Won",E796="Closed Lost"),0,1)</f>
        <v>0</v>
      </c>
      <c r="P796" s="17" t="str">
        <f aca="false">INDEX(Accounts!$K$5:$K$336,MATCH(B796,Accounts!$A$5:$A$336,0))</f>
        <v>Energy &amp; Resources</v>
      </c>
      <c r="Q796" s="17" t="str">
        <f aca="false">INDEX(Accounts!$D$5:$D$336,MATCH(B796,Accounts!$A$5:$A$336,0))</f>
        <v>Standard</v>
      </c>
      <c r="R796" s="7" t="n">
        <f aca="false">INDEX(Inputs!$B$11:$B$16,MATCH(E796,Inputs!$A$11:$A$16,0))</f>
        <v>100</v>
      </c>
      <c r="S796" s="27" t="n">
        <f aca="false">IF(F796="",0,F796)*R796/100</f>
        <v>3622000</v>
      </c>
      <c r="T796" s="7" t="n">
        <f aca="false">Inputs!$B$4-J796</f>
        <v>3</v>
      </c>
      <c r="U796" s="7" t="n">
        <f aca="false">IF(OR(F796="",F796=0),1,0)</f>
        <v>0</v>
      </c>
      <c r="V796" s="7" t="n">
        <f aca="false">IF(K796="",1,0)</f>
        <v>0</v>
      </c>
      <c r="W796" s="7" t="n">
        <f aca="false">IF(AND(O796=1,K796&lt;&gt;"",COUNTIFS(Owners!$A$5:$A$32,K796,Owners!$E$5:$E$32,"No")&gt;0),1,0)</f>
        <v>0</v>
      </c>
      <c r="X796" s="7" t="n">
        <f aca="false">IF(AND(O796=1,I796&lt;Inputs!$B$4),1,0)</f>
        <v>0</v>
      </c>
      <c r="Y796" s="7" t="n">
        <f aca="false">IF(AND(O796=1,T796&gt;Inputs!$B$5),1,0)</f>
        <v>0</v>
      </c>
      <c r="Z796" s="7" t="n">
        <f aca="false">IF(AND(O796=1,G796&lt;&gt;R796),1,0)</f>
        <v>0</v>
      </c>
      <c r="AA796" s="7" t="n">
        <f aca="false">IF(AND(O796=1,M796=""),1,0)</f>
        <v>0</v>
      </c>
      <c r="AB796" s="7" t="n">
        <f aca="false">IF(AND(E796="Closed Lost",N796=""),1,0)</f>
        <v>0</v>
      </c>
      <c r="AC796" s="7" t="n">
        <f aca="false">SUM(U796:AB796)</f>
        <v>0</v>
      </c>
      <c r="AD796" s="7" t="n">
        <f aca="false">IF(AC796=0,1,0)</f>
        <v>1</v>
      </c>
      <c r="AE796" s="7" t="n">
        <f aca="false">IF(AND(O796=1,I796&gt;=Inputs!$B$6,I796&lt;=Inputs!$B$7),1,0)</f>
        <v>0</v>
      </c>
      <c r="AF796" s="7" t="n">
        <f aca="false">IF(AND(E796="Closed Won",I796&gt;=Inputs!$B$6,I796&lt;=Inputs!$B$4),1,0)</f>
        <v>1</v>
      </c>
      <c r="AG796" s="7" t="n">
        <f aca="false">IF(AND(O796=0,I796&gt;Inputs!$B$4-Inputs!$B$8,I796&lt;=Inputs!$B$4),1,0)</f>
        <v>1</v>
      </c>
      <c r="AH796" s="7" t="n">
        <f aca="false">I796-H796</f>
        <v>284</v>
      </c>
    </row>
    <row r="797" customFormat="false" ht="15" hidden="false" customHeight="false" outlineLevel="0" collapsed="false">
      <c r="A797" s="16" t="s">
        <v>2285</v>
      </c>
      <c r="B797" s="16" t="s">
        <v>709</v>
      </c>
      <c r="C797" s="16" t="s">
        <v>2286</v>
      </c>
      <c r="D797" s="16" t="s">
        <v>162</v>
      </c>
      <c r="E797" s="16" t="s">
        <v>531</v>
      </c>
      <c r="F797" s="26" t="n">
        <v>24226000</v>
      </c>
      <c r="G797" s="25" t="n">
        <v>0</v>
      </c>
      <c r="H797" s="22" t="n">
        <v>45963</v>
      </c>
      <c r="I797" s="22" t="n">
        <v>46201</v>
      </c>
      <c r="J797" s="22" t="n">
        <v>46201</v>
      </c>
      <c r="K797" s="16" t="s">
        <v>600</v>
      </c>
      <c r="L797" s="16" t="s">
        <v>584</v>
      </c>
      <c r="M797" s="16"/>
      <c r="N797" s="16" t="s">
        <v>697</v>
      </c>
      <c r="O797" s="7" t="n">
        <f aca="false">IF(OR(E797="Closed Won",E797="Closed Lost"),0,1)</f>
        <v>0</v>
      </c>
      <c r="P797" s="17" t="str">
        <f aca="false">INDEX(Accounts!$K$5:$K$336,MATCH(B797,Accounts!$A$5:$A$336,0))</f>
        <v>Health</v>
      </c>
      <c r="Q797" s="17" t="str">
        <f aca="false">INDEX(Accounts!$D$5:$D$336,MATCH(B797,Accounts!$A$5:$A$336,0))</f>
        <v>Key</v>
      </c>
      <c r="R797" s="7" t="n">
        <f aca="false">INDEX(Inputs!$B$11:$B$16,MATCH(E797,Inputs!$A$11:$A$16,0))</f>
        <v>0</v>
      </c>
      <c r="S797" s="27" t="n">
        <f aca="false">IF(F797="",0,F797)*R797/100</f>
        <v>0</v>
      </c>
      <c r="T797" s="7" t="n">
        <f aca="false">Inputs!$B$4-J797</f>
        <v>113</v>
      </c>
      <c r="U797" s="7" t="n">
        <f aca="false">IF(OR(F797="",F797=0),1,0)</f>
        <v>0</v>
      </c>
      <c r="V797" s="7" t="n">
        <f aca="false">IF(K797="",1,0)</f>
        <v>0</v>
      </c>
      <c r="W797" s="7" t="n">
        <f aca="false">IF(AND(O797=1,K797&lt;&gt;"",COUNTIFS(Owners!$A$5:$A$32,K797,Owners!$E$5:$E$32,"No")&gt;0),1,0)</f>
        <v>0</v>
      </c>
      <c r="X797" s="7" t="n">
        <f aca="false">IF(AND(O797=1,I797&lt;Inputs!$B$4),1,0)</f>
        <v>0</v>
      </c>
      <c r="Y797" s="7" t="n">
        <f aca="false">IF(AND(O797=1,T797&gt;Inputs!$B$5),1,0)</f>
        <v>0</v>
      </c>
      <c r="Z797" s="7" t="n">
        <f aca="false">IF(AND(O797=1,G797&lt;&gt;R797),1,0)</f>
        <v>0</v>
      </c>
      <c r="AA797" s="7" t="n">
        <f aca="false">IF(AND(O797=1,M797=""),1,0)</f>
        <v>0</v>
      </c>
      <c r="AB797" s="7" t="n">
        <f aca="false">IF(AND(E797="Closed Lost",N797=""),1,0)</f>
        <v>0</v>
      </c>
      <c r="AC797" s="7" t="n">
        <f aca="false">SUM(U797:AB797)</f>
        <v>0</v>
      </c>
      <c r="AD797" s="7" t="n">
        <f aca="false">IF(AC797=0,1,0)</f>
        <v>1</v>
      </c>
      <c r="AE797" s="7" t="n">
        <f aca="false">IF(AND(O797=1,I797&gt;=Inputs!$B$6,I797&lt;=Inputs!$B$7),1,0)</f>
        <v>0</v>
      </c>
      <c r="AF797" s="7" t="n">
        <f aca="false">IF(AND(E797="Closed Won",I797&gt;=Inputs!$B$6,I797&lt;=Inputs!$B$4),1,0)</f>
        <v>0</v>
      </c>
      <c r="AG797" s="7" t="n">
        <f aca="false">IF(AND(O797=0,I797&gt;Inputs!$B$4-Inputs!$B$8,I797&lt;=Inputs!$B$4),1,0)</f>
        <v>1</v>
      </c>
      <c r="AH797" s="7" t="n">
        <f aca="false">I797-H797</f>
        <v>238</v>
      </c>
    </row>
    <row r="798" customFormat="false" ht="15" hidden="false" customHeight="false" outlineLevel="0" collapsed="false">
      <c r="A798" s="16" t="s">
        <v>2287</v>
      </c>
      <c r="B798" s="16" t="s">
        <v>2288</v>
      </c>
      <c r="C798" s="16" t="s">
        <v>2289</v>
      </c>
      <c r="D798" s="16" t="s">
        <v>162</v>
      </c>
      <c r="E798" s="16" t="s">
        <v>530</v>
      </c>
      <c r="F798" s="26" t="n">
        <v>0</v>
      </c>
      <c r="G798" s="25" t="n">
        <v>100</v>
      </c>
      <c r="H798" s="22" t="n">
        <v>46105</v>
      </c>
      <c r="I798" s="22" t="n">
        <v>46181</v>
      </c>
      <c r="J798" s="22" t="n">
        <v>46181</v>
      </c>
      <c r="K798" s="16"/>
      <c r="L798" s="16" t="s">
        <v>584</v>
      </c>
      <c r="M798" s="16"/>
      <c r="N798" s="16"/>
      <c r="O798" s="7" t="n">
        <f aca="false">IF(OR(E798="Closed Won",E798="Closed Lost"),0,1)</f>
        <v>0</v>
      </c>
      <c r="P798" s="17" t="str">
        <f aca="false">INDEX(Accounts!$K$5:$K$336,MATCH(B798,Accounts!$A$5:$A$336,0))</f>
        <v>Real Estate &amp; Infrastructure</v>
      </c>
      <c r="Q798" s="17" t="str">
        <f aca="false">INDEX(Accounts!$D$5:$D$336,MATCH(B798,Accounts!$A$5:$A$336,0))</f>
        <v>Standard</v>
      </c>
      <c r="R798" s="7" t="n">
        <f aca="false">INDEX(Inputs!$B$11:$B$16,MATCH(E798,Inputs!$A$11:$A$16,0))</f>
        <v>100</v>
      </c>
      <c r="S798" s="27" t="n">
        <f aca="false">IF(F798="",0,F798)*R798/100</f>
        <v>0</v>
      </c>
      <c r="T798" s="7" t="n">
        <f aca="false">Inputs!$B$4-J798</f>
        <v>133</v>
      </c>
      <c r="U798" s="7" t="n">
        <f aca="false">IF(OR(F798="",F798=0),1,0)</f>
        <v>1</v>
      </c>
      <c r="V798" s="7" t="n">
        <f aca="false">IF(K798="",1,0)</f>
        <v>1</v>
      </c>
      <c r="W798" s="7" t="n">
        <f aca="false">IF(AND(O798=1,K798&lt;&gt;"",COUNTIFS(Owners!$A$5:$A$32,K798,Owners!$E$5:$E$32,"No")&gt;0),1,0)</f>
        <v>0</v>
      </c>
      <c r="X798" s="7" t="n">
        <f aca="false">IF(AND(O798=1,I798&lt;Inputs!$B$4),1,0)</f>
        <v>0</v>
      </c>
      <c r="Y798" s="7" t="n">
        <f aca="false">IF(AND(O798=1,T798&gt;Inputs!$B$5),1,0)</f>
        <v>0</v>
      </c>
      <c r="Z798" s="7" t="n">
        <f aca="false">IF(AND(O798=1,G798&lt;&gt;R798),1,0)</f>
        <v>0</v>
      </c>
      <c r="AA798" s="7" t="n">
        <f aca="false">IF(AND(O798=1,M798=""),1,0)</f>
        <v>0</v>
      </c>
      <c r="AB798" s="7" t="n">
        <f aca="false">IF(AND(E798="Closed Lost",N798=""),1,0)</f>
        <v>0</v>
      </c>
      <c r="AC798" s="7" t="n">
        <f aca="false">SUM(U798:AB798)</f>
        <v>2</v>
      </c>
      <c r="AD798" s="7" t="n">
        <f aca="false">IF(AC798=0,1,0)</f>
        <v>0</v>
      </c>
      <c r="AE798" s="7" t="n">
        <f aca="false">IF(AND(O798=1,I798&gt;=Inputs!$B$6,I798&lt;=Inputs!$B$7),1,0)</f>
        <v>0</v>
      </c>
      <c r="AF798" s="7" t="n">
        <f aca="false">IF(AND(E798="Closed Won",I798&gt;=Inputs!$B$6,I798&lt;=Inputs!$B$4),1,0)</f>
        <v>0</v>
      </c>
      <c r="AG798" s="7" t="n">
        <f aca="false">IF(AND(O798=0,I798&gt;Inputs!$B$4-Inputs!$B$8,I798&lt;=Inputs!$B$4),1,0)</f>
        <v>1</v>
      </c>
      <c r="AH798" s="7" t="n">
        <f aca="false">I798-H798</f>
        <v>76</v>
      </c>
    </row>
    <row r="799" customFormat="false" ht="15" hidden="false" customHeight="false" outlineLevel="0" collapsed="false">
      <c r="A799" s="16" t="s">
        <v>2290</v>
      </c>
      <c r="B799" s="16" t="s">
        <v>87</v>
      </c>
      <c r="C799" s="16" t="s">
        <v>2291</v>
      </c>
      <c r="D799" s="16" t="s">
        <v>165</v>
      </c>
      <c r="E799" s="16" t="s">
        <v>527</v>
      </c>
      <c r="F799" s="26" t="n">
        <v>11653000</v>
      </c>
      <c r="G799" s="25" t="n">
        <v>25</v>
      </c>
      <c r="H799" s="22" t="n">
        <v>46259</v>
      </c>
      <c r="I799" s="22" t="n">
        <v>46375</v>
      </c>
      <c r="J799" s="22" t="n">
        <v>46293</v>
      </c>
      <c r="K799" s="16" t="s">
        <v>640</v>
      </c>
      <c r="L799" s="16" t="s">
        <v>584</v>
      </c>
      <c r="M799" s="16" t="s">
        <v>575</v>
      </c>
      <c r="N799" s="16"/>
      <c r="O799" s="7" t="n">
        <f aca="false">IF(OR(E799="Closed Won",E799="Closed Lost"),0,1)</f>
        <v>1</v>
      </c>
      <c r="P799" s="17" t="str">
        <f aca="false">INDEX(Accounts!$K$5:$K$336,MATCH(B799,Accounts!$A$5:$A$336,0))</f>
        <v>Unassigned</v>
      </c>
      <c r="Q799" s="17" t="str">
        <f aca="false">INDEX(Accounts!$D$5:$D$336,MATCH(B799,Accounts!$A$5:$A$336,0))</f>
        <v>Priority</v>
      </c>
      <c r="R799" s="7" t="n">
        <f aca="false">INDEX(Inputs!$B$11:$B$16,MATCH(E799,Inputs!$A$11:$A$16,0))</f>
        <v>25</v>
      </c>
      <c r="S799" s="27" t="n">
        <f aca="false">IF(F799="",0,F799)*R799/100</f>
        <v>2913250</v>
      </c>
      <c r="T799" s="7" t="n">
        <f aca="false">Inputs!$B$4-J799</f>
        <v>21</v>
      </c>
      <c r="U799" s="7" t="n">
        <f aca="false">IF(OR(F799="",F799=0),1,0)</f>
        <v>0</v>
      </c>
      <c r="V799" s="7" t="n">
        <f aca="false">IF(K799="",1,0)</f>
        <v>0</v>
      </c>
      <c r="W799" s="7" t="n">
        <f aca="false">IF(AND(O799=1,K799&lt;&gt;"",COUNTIFS(Owners!$A$5:$A$32,K799,Owners!$E$5:$E$32,"No")&gt;0),1,0)</f>
        <v>0</v>
      </c>
      <c r="X799" s="7" t="n">
        <f aca="false">IF(AND(O799=1,I799&lt;Inputs!$B$4),1,0)</f>
        <v>0</v>
      </c>
      <c r="Y799" s="7" t="n">
        <f aca="false">IF(AND(O799=1,T799&gt;Inputs!$B$5),1,0)</f>
        <v>0</v>
      </c>
      <c r="Z799" s="7" t="n">
        <f aca="false">IF(AND(O799=1,G799&lt;&gt;R799),1,0)</f>
        <v>0</v>
      </c>
      <c r="AA799" s="7" t="n">
        <f aca="false">IF(AND(O799=1,M799=""),1,0)</f>
        <v>0</v>
      </c>
      <c r="AB799" s="7" t="n">
        <f aca="false">IF(AND(E799="Closed Lost",N799=""),1,0)</f>
        <v>0</v>
      </c>
      <c r="AC799" s="7" t="n">
        <f aca="false">SUM(U799:AB799)</f>
        <v>0</v>
      </c>
      <c r="AD799" s="7" t="n">
        <f aca="false">IF(AC799=0,1,0)</f>
        <v>1</v>
      </c>
      <c r="AE799" s="7" t="n">
        <f aca="false">IF(AND(O799=1,I799&gt;=Inputs!$B$6,I799&lt;=Inputs!$B$7),1,0)</f>
        <v>1</v>
      </c>
      <c r="AF799" s="7" t="n">
        <f aca="false">IF(AND(E799="Closed Won",I799&gt;=Inputs!$B$6,I799&lt;=Inputs!$B$4),1,0)</f>
        <v>0</v>
      </c>
      <c r="AG799" s="7" t="n">
        <f aca="false">IF(AND(O799=0,I799&gt;Inputs!$B$4-Inputs!$B$8,I799&lt;=Inputs!$B$4),1,0)</f>
        <v>0</v>
      </c>
      <c r="AH799" s="7" t="n">
        <f aca="false">I799-H799</f>
        <v>116</v>
      </c>
    </row>
    <row r="800" customFormat="false" ht="15" hidden="false" customHeight="false" outlineLevel="0" collapsed="false">
      <c r="A800" s="16" t="s">
        <v>2292</v>
      </c>
      <c r="B800" s="16" t="s">
        <v>804</v>
      </c>
      <c r="C800" s="16" t="s">
        <v>2293</v>
      </c>
      <c r="D800" s="16" t="s">
        <v>162</v>
      </c>
      <c r="E800" s="16" t="s">
        <v>531</v>
      </c>
      <c r="F800" s="26" t="n">
        <v>11671000</v>
      </c>
      <c r="G800" s="25" t="n">
        <v>0</v>
      </c>
      <c r="H800" s="22" t="n">
        <v>46069</v>
      </c>
      <c r="I800" s="22" t="n">
        <v>46146</v>
      </c>
      <c r="J800" s="22" t="n">
        <v>46146</v>
      </c>
      <c r="K800" s="16" t="s">
        <v>646</v>
      </c>
      <c r="L800" s="16" t="s">
        <v>500</v>
      </c>
      <c r="M800" s="16"/>
      <c r="N800" s="16" t="s">
        <v>722</v>
      </c>
      <c r="O800" s="7" t="n">
        <f aca="false">IF(OR(E800="Closed Won",E800="Closed Lost"),0,1)</f>
        <v>0</v>
      </c>
      <c r="P800" s="17" t="str">
        <f aca="false">INDEX(Accounts!$K$5:$K$336,MATCH(B800,Accounts!$A$5:$A$336,0))</f>
        <v>Health</v>
      </c>
      <c r="Q800" s="17" t="str">
        <f aca="false">INDEX(Accounts!$D$5:$D$336,MATCH(B800,Accounts!$A$5:$A$336,0))</f>
        <v>Key</v>
      </c>
      <c r="R800" s="7" t="n">
        <f aca="false">INDEX(Inputs!$B$11:$B$16,MATCH(E800,Inputs!$A$11:$A$16,0))</f>
        <v>0</v>
      </c>
      <c r="S800" s="27" t="n">
        <f aca="false">IF(F800="",0,F800)*R800/100</f>
        <v>0</v>
      </c>
      <c r="T800" s="7" t="n">
        <f aca="false">Inputs!$B$4-J800</f>
        <v>168</v>
      </c>
      <c r="U800" s="7" t="n">
        <f aca="false">IF(OR(F800="",F800=0),1,0)</f>
        <v>0</v>
      </c>
      <c r="V800" s="7" t="n">
        <f aca="false">IF(K800="",1,0)</f>
        <v>0</v>
      </c>
      <c r="W800" s="7" t="n">
        <f aca="false">IF(AND(O800=1,K800&lt;&gt;"",COUNTIFS(Owners!$A$5:$A$32,K800,Owners!$E$5:$E$32,"No")&gt;0),1,0)</f>
        <v>0</v>
      </c>
      <c r="X800" s="7" t="n">
        <f aca="false">IF(AND(O800=1,I800&lt;Inputs!$B$4),1,0)</f>
        <v>0</v>
      </c>
      <c r="Y800" s="7" t="n">
        <f aca="false">IF(AND(O800=1,T800&gt;Inputs!$B$5),1,0)</f>
        <v>0</v>
      </c>
      <c r="Z800" s="7" t="n">
        <f aca="false">IF(AND(O800=1,G800&lt;&gt;R800),1,0)</f>
        <v>0</v>
      </c>
      <c r="AA800" s="7" t="n">
        <f aca="false">IF(AND(O800=1,M800=""),1,0)</f>
        <v>0</v>
      </c>
      <c r="AB800" s="7" t="n">
        <f aca="false">IF(AND(E800="Closed Lost",N800=""),1,0)</f>
        <v>0</v>
      </c>
      <c r="AC800" s="7" t="n">
        <f aca="false">SUM(U800:AB800)</f>
        <v>0</v>
      </c>
      <c r="AD800" s="7" t="n">
        <f aca="false">IF(AC800=0,1,0)</f>
        <v>1</v>
      </c>
      <c r="AE800" s="7" t="n">
        <f aca="false">IF(AND(O800=1,I800&gt;=Inputs!$B$6,I800&lt;=Inputs!$B$7),1,0)</f>
        <v>0</v>
      </c>
      <c r="AF800" s="7" t="n">
        <f aca="false">IF(AND(E800="Closed Won",I800&gt;=Inputs!$B$6,I800&lt;=Inputs!$B$4),1,0)</f>
        <v>0</v>
      </c>
      <c r="AG800" s="7" t="n">
        <f aca="false">IF(AND(O800=0,I800&gt;Inputs!$B$4-Inputs!$B$8,I800&lt;=Inputs!$B$4),1,0)</f>
        <v>1</v>
      </c>
      <c r="AH800" s="7" t="n">
        <f aca="false">I800-H800</f>
        <v>77</v>
      </c>
    </row>
    <row r="801" customFormat="false" ht="15" hidden="false" customHeight="false" outlineLevel="0" collapsed="false">
      <c r="A801" s="16" t="s">
        <v>2294</v>
      </c>
      <c r="B801" s="16" t="s">
        <v>450</v>
      </c>
      <c r="C801" s="16" t="s">
        <v>2295</v>
      </c>
      <c r="D801" s="16" t="s">
        <v>167</v>
      </c>
      <c r="E801" s="16" t="s">
        <v>526</v>
      </c>
      <c r="F801" s="26" t="n">
        <v>35273000</v>
      </c>
      <c r="G801" s="25" t="n">
        <v>10</v>
      </c>
      <c r="H801" s="22" t="n">
        <v>46280</v>
      </c>
      <c r="I801" s="22" t="n">
        <v>46433</v>
      </c>
      <c r="J801" s="22" t="n">
        <v>46287</v>
      </c>
      <c r="K801" s="16" t="s">
        <v>831</v>
      </c>
      <c r="L801" s="16" t="s">
        <v>568</v>
      </c>
      <c r="M801" s="16" t="s">
        <v>601</v>
      </c>
      <c r="N801" s="16"/>
      <c r="O801" s="7" t="n">
        <f aca="false">IF(OR(E801="Closed Won",E801="Closed Lost"),0,1)</f>
        <v>1</v>
      </c>
      <c r="P801" s="17" t="str">
        <f aca="false">INDEX(Accounts!$K$5:$K$336,MATCH(B801,Accounts!$A$5:$A$336,0))</f>
        <v>Technology, Media &amp; Telecom</v>
      </c>
      <c r="Q801" s="17" t="str">
        <f aca="false">INDEX(Accounts!$D$5:$D$336,MATCH(B801,Accounts!$A$5:$A$336,0))</f>
        <v>Standard</v>
      </c>
      <c r="R801" s="7" t="n">
        <f aca="false">INDEX(Inputs!$B$11:$B$16,MATCH(E801,Inputs!$A$11:$A$16,0))</f>
        <v>10</v>
      </c>
      <c r="S801" s="27" t="n">
        <f aca="false">IF(F801="",0,F801)*R801/100</f>
        <v>3527300</v>
      </c>
      <c r="T801" s="7" t="n">
        <f aca="false">Inputs!$B$4-J801</f>
        <v>27</v>
      </c>
      <c r="U801" s="7" t="n">
        <f aca="false">IF(OR(F801="",F801=0),1,0)</f>
        <v>0</v>
      </c>
      <c r="V801" s="7" t="n">
        <f aca="false">IF(K801="",1,0)</f>
        <v>0</v>
      </c>
      <c r="W801" s="7" t="n">
        <f aca="false">IF(AND(O801=1,K801&lt;&gt;"",COUNTIFS(Owners!$A$5:$A$32,K801,Owners!$E$5:$E$32,"No")&gt;0),1,0)</f>
        <v>0</v>
      </c>
      <c r="X801" s="7" t="n">
        <f aca="false">IF(AND(O801=1,I801&lt;Inputs!$B$4),1,0)</f>
        <v>0</v>
      </c>
      <c r="Y801" s="7" t="n">
        <f aca="false">IF(AND(O801=1,T801&gt;Inputs!$B$5),1,0)</f>
        <v>0</v>
      </c>
      <c r="Z801" s="7" t="n">
        <f aca="false">IF(AND(O801=1,G801&lt;&gt;R801),1,0)</f>
        <v>0</v>
      </c>
      <c r="AA801" s="7" t="n">
        <f aca="false">IF(AND(O801=1,M801=""),1,0)</f>
        <v>0</v>
      </c>
      <c r="AB801" s="7" t="n">
        <f aca="false">IF(AND(E801="Closed Lost",N801=""),1,0)</f>
        <v>0</v>
      </c>
      <c r="AC801" s="7" t="n">
        <f aca="false">SUM(U801:AB801)</f>
        <v>0</v>
      </c>
      <c r="AD801" s="7" t="n">
        <f aca="false">IF(AC801=0,1,0)</f>
        <v>1</v>
      </c>
      <c r="AE801" s="7" t="n">
        <f aca="false">IF(AND(O801=1,I801&gt;=Inputs!$B$6,I801&lt;=Inputs!$B$7),1,0)</f>
        <v>1</v>
      </c>
      <c r="AF801" s="7" t="n">
        <f aca="false">IF(AND(E801="Closed Won",I801&gt;=Inputs!$B$6,I801&lt;=Inputs!$B$4),1,0)</f>
        <v>0</v>
      </c>
      <c r="AG801" s="7" t="n">
        <f aca="false">IF(AND(O801=0,I801&gt;Inputs!$B$4-Inputs!$B$8,I801&lt;=Inputs!$B$4),1,0)</f>
        <v>0</v>
      </c>
      <c r="AH801" s="7" t="n">
        <f aca="false">I801-H801</f>
        <v>153</v>
      </c>
    </row>
    <row r="802" customFormat="false" ht="15" hidden="false" customHeight="false" outlineLevel="0" collapsed="false">
      <c r="A802" s="16" t="s">
        <v>2296</v>
      </c>
      <c r="B802" s="16" t="s">
        <v>66</v>
      </c>
      <c r="C802" s="16" t="s">
        <v>2297</v>
      </c>
      <c r="D802" s="16" t="s">
        <v>165</v>
      </c>
      <c r="E802" s="16" t="s">
        <v>528</v>
      </c>
      <c r="F802" s="26" t="n">
        <v>118714000</v>
      </c>
      <c r="G802" s="25" t="n">
        <v>50</v>
      </c>
      <c r="H802" s="22" t="n">
        <v>46260</v>
      </c>
      <c r="I802" s="22" t="n">
        <v>46446</v>
      </c>
      <c r="J802" s="22" t="n">
        <v>46277</v>
      </c>
      <c r="K802" s="16" t="s">
        <v>640</v>
      </c>
      <c r="L802" s="16" t="s">
        <v>574</v>
      </c>
      <c r="M802" s="16" t="s">
        <v>593</v>
      </c>
      <c r="N802" s="16"/>
      <c r="O802" s="7" t="n">
        <f aca="false">IF(OR(E802="Closed Won",E802="Closed Lost"),0,1)</f>
        <v>1</v>
      </c>
      <c r="P802" s="17" t="str">
        <f aca="false">INDEX(Accounts!$K$5:$K$336,MATCH(B802,Accounts!$A$5:$A$336,0))</f>
        <v>Financial Services</v>
      </c>
      <c r="Q802" s="17" t="str">
        <f aca="false">INDEX(Accounts!$D$5:$D$336,MATCH(B802,Accounts!$A$5:$A$336,0))</f>
        <v>Priority</v>
      </c>
      <c r="R802" s="7" t="n">
        <f aca="false">INDEX(Inputs!$B$11:$B$16,MATCH(E802,Inputs!$A$11:$A$16,0))</f>
        <v>50</v>
      </c>
      <c r="S802" s="27" t="n">
        <f aca="false">IF(F802="",0,F802)*R802/100</f>
        <v>59357000</v>
      </c>
      <c r="T802" s="7" t="n">
        <f aca="false">Inputs!$B$4-J802</f>
        <v>37</v>
      </c>
      <c r="U802" s="7" t="n">
        <f aca="false">IF(OR(F802="",F802=0),1,0)</f>
        <v>0</v>
      </c>
      <c r="V802" s="7" t="n">
        <f aca="false">IF(K802="",1,0)</f>
        <v>0</v>
      </c>
      <c r="W802" s="7" t="n">
        <f aca="false">IF(AND(O802=1,K802&lt;&gt;"",COUNTIFS(Owners!$A$5:$A$32,K802,Owners!$E$5:$E$32,"No")&gt;0),1,0)</f>
        <v>0</v>
      </c>
      <c r="X802" s="7" t="n">
        <f aca="false">IF(AND(O802=1,I802&lt;Inputs!$B$4),1,0)</f>
        <v>0</v>
      </c>
      <c r="Y802" s="7" t="n">
        <f aca="false">IF(AND(O802=1,T802&gt;Inputs!$B$5),1,0)</f>
        <v>0</v>
      </c>
      <c r="Z802" s="7" t="n">
        <f aca="false">IF(AND(O802=1,G802&lt;&gt;R802),1,0)</f>
        <v>0</v>
      </c>
      <c r="AA802" s="7" t="n">
        <f aca="false">IF(AND(O802=1,M802=""),1,0)</f>
        <v>0</v>
      </c>
      <c r="AB802" s="7" t="n">
        <f aca="false">IF(AND(E802="Closed Lost",N802=""),1,0)</f>
        <v>0</v>
      </c>
      <c r="AC802" s="7" t="n">
        <f aca="false">SUM(U802:AB802)</f>
        <v>0</v>
      </c>
      <c r="AD802" s="7" t="n">
        <f aca="false">IF(AC802=0,1,0)</f>
        <v>1</v>
      </c>
      <c r="AE802" s="7" t="n">
        <f aca="false">IF(AND(O802=1,I802&gt;=Inputs!$B$6,I802&lt;=Inputs!$B$7),1,0)</f>
        <v>1</v>
      </c>
      <c r="AF802" s="7" t="n">
        <f aca="false">IF(AND(E802="Closed Won",I802&gt;=Inputs!$B$6,I802&lt;=Inputs!$B$4),1,0)</f>
        <v>0</v>
      </c>
      <c r="AG802" s="7" t="n">
        <f aca="false">IF(AND(O802=0,I802&gt;Inputs!$B$4-Inputs!$B$8,I802&lt;=Inputs!$B$4),1,0)</f>
        <v>0</v>
      </c>
      <c r="AH802" s="7" t="n">
        <f aca="false">I802-H802</f>
        <v>186</v>
      </c>
    </row>
    <row r="803" customFormat="false" ht="15" hidden="false" customHeight="false" outlineLevel="0" collapsed="false">
      <c r="A803" s="16" t="s">
        <v>2298</v>
      </c>
      <c r="B803" s="16" t="s">
        <v>1170</v>
      </c>
      <c r="C803" s="16" t="s">
        <v>2299</v>
      </c>
      <c r="D803" s="16" t="s">
        <v>165</v>
      </c>
      <c r="E803" s="16" t="s">
        <v>526</v>
      </c>
      <c r="F803" s="26"/>
      <c r="G803" s="25" t="n">
        <v>10</v>
      </c>
      <c r="H803" s="22" t="n">
        <v>46176</v>
      </c>
      <c r="I803" s="22" t="n">
        <v>46527</v>
      </c>
      <c r="J803" s="22" t="n">
        <v>46141</v>
      </c>
      <c r="K803" s="16" t="s">
        <v>717</v>
      </c>
      <c r="L803" s="16" t="s">
        <v>568</v>
      </c>
      <c r="M803" s="16" t="s">
        <v>569</v>
      </c>
      <c r="N803" s="16"/>
      <c r="O803" s="7" t="n">
        <f aca="false">IF(OR(E803="Closed Won",E803="Closed Lost"),0,1)</f>
        <v>1</v>
      </c>
      <c r="P803" s="17" t="str">
        <f aca="false">INDEX(Accounts!$K$5:$K$336,MATCH(B803,Accounts!$A$5:$A$336,0))</f>
        <v>Financial Services</v>
      </c>
      <c r="Q803" s="17" t="str">
        <f aca="false">INDEX(Accounts!$D$5:$D$336,MATCH(B803,Accounts!$A$5:$A$336,0))</f>
        <v>Standard</v>
      </c>
      <c r="R803" s="7" t="n">
        <f aca="false">INDEX(Inputs!$B$11:$B$16,MATCH(E803,Inputs!$A$11:$A$16,0))</f>
        <v>10</v>
      </c>
      <c r="S803" s="27" t="n">
        <f aca="false">IF(F803="",0,F803)*R803/100</f>
        <v>0</v>
      </c>
      <c r="T803" s="7" t="n">
        <f aca="false">Inputs!$B$4-J803</f>
        <v>173</v>
      </c>
      <c r="U803" s="7" t="n">
        <f aca="false">IF(OR(F803="",F803=0),1,0)</f>
        <v>1</v>
      </c>
      <c r="V803" s="7" t="n">
        <f aca="false">IF(K803="",1,0)</f>
        <v>0</v>
      </c>
      <c r="W803" s="7" t="n">
        <f aca="false">IF(AND(O803=1,K803&lt;&gt;"",COUNTIFS(Owners!$A$5:$A$32,K803,Owners!$E$5:$E$32,"No")&gt;0),1,0)</f>
        <v>0</v>
      </c>
      <c r="X803" s="7" t="n">
        <f aca="false">IF(AND(O803=1,I803&lt;Inputs!$B$4),1,0)</f>
        <v>0</v>
      </c>
      <c r="Y803" s="7" t="n">
        <f aca="false">IF(AND(O803=1,T803&gt;Inputs!$B$5),1,0)</f>
        <v>1</v>
      </c>
      <c r="Z803" s="7" t="n">
        <f aca="false">IF(AND(O803=1,G803&lt;&gt;R803),1,0)</f>
        <v>0</v>
      </c>
      <c r="AA803" s="7" t="n">
        <f aca="false">IF(AND(O803=1,M803=""),1,0)</f>
        <v>0</v>
      </c>
      <c r="AB803" s="7" t="n">
        <f aca="false">IF(AND(E803="Closed Lost",N803=""),1,0)</f>
        <v>0</v>
      </c>
      <c r="AC803" s="7" t="n">
        <f aca="false">SUM(U803:AB803)</f>
        <v>2</v>
      </c>
      <c r="AD803" s="7" t="n">
        <f aca="false">IF(AC803=0,1,0)</f>
        <v>0</v>
      </c>
      <c r="AE803" s="7" t="n">
        <f aca="false">IF(AND(O803=1,I803&gt;=Inputs!$B$6,I803&lt;=Inputs!$B$7),1,0)</f>
        <v>1</v>
      </c>
      <c r="AF803" s="7" t="n">
        <f aca="false">IF(AND(E803="Closed Won",I803&gt;=Inputs!$B$6,I803&lt;=Inputs!$B$4),1,0)</f>
        <v>0</v>
      </c>
      <c r="AG803" s="7" t="n">
        <f aca="false">IF(AND(O803=0,I803&gt;Inputs!$B$4-Inputs!$B$8,I803&lt;=Inputs!$B$4),1,0)</f>
        <v>0</v>
      </c>
      <c r="AH803" s="7" t="n">
        <f aca="false">I803-H803</f>
        <v>351</v>
      </c>
    </row>
    <row r="804" customFormat="false" ht="15" hidden="false" customHeight="false" outlineLevel="0" collapsed="false">
      <c r="A804" s="16" t="s">
        <v>2300</v>
      </c>
      <c r="B804" s="16" t="s">
        <v>2301</v>
      </c>
      <c r="C804" s="16" t="s">
        <v>2302</v>
      </c>
      <c r="D804" s="16" t="s">
        <v>167</v>
      </c>
      <c r="E804" s="16" t="s">
        <v>531</v>
      </c>
      <c r="F804" s="26" t="n">
        <v>9638000</v>
      </c>
      <c r="G804" s="25" t="n">
        <v>0</v>
      </c>
      <c r="H804" s="22" t="n">
        <v>46062</v>
      </c>
      <c r="I804" s="22" t="n">
        <v>46153</v>
      </c>
      <c r="J804" s="22" t="n">
        <v>46153</v>
      </c>
      <c r="K804" s="16" t="s">
        <v>604</v>
      </c>
      <c r="L804" s="16" t="s">
        <v>584</v>
      </c>
      <c r="M804" s="16"/>
      <c r="N804" s="16" t="s">
        <v>610</v>
      </c>
      <c r="O804" s="7" t="n">
        <f aca="false">IF(OR(E804="Closed Won",E804="Closed Lost"),0,1)</f>
        <v>0</v>
      </c>
      <c r="P804" s="17" t="str">
        <f aca="false">INDEX(Accounts!$K$5:$K$336,MATCH(B804,Accounts!$A$5:$A$336,0))</f>
        <v>Technology, Media &amp; Telecom</v>
      </c>
      <c r="Q804" s="17" t="str">
        <f aca="false">INDEX(Accounts!$D$5:$D$336,MATCH(B804,Accounts!$A$5:$A$336,0))</f>
        <v>Standard</v>
      </c>
      <c r="R804" s="7" t="n">
        <f aca="false">INDEX(Inputs!$B$11:$B$16,MATCH(E804,Inputs!$A$11:$A$16,0))</f>
        <v>0</v>
      </c>
      <c r="S804" s="27" t="n">
        <f aca="false">IF(F804="",0,F804)*R804/100</f>
        <v>0</v>
      </c>
      <c r="T804" s="7" t="n">
        <f aca="false">Inputs!$B$4-J804</f>
        <v>161</v>
      </c>
      <c r="U804" s="7" t="n">
        <f aca="false">IF(OR(F804="",F804=0),1,0)</f>
        <v>0</v>
      </c>
      <c r="V804" s="7" t="n">
        <f aca="false">IF(K804="",1,0)</f>
        <v>0</v>
      </c>
      <c r="W804" s="7" t="n">
        <f aca="false">IF(AND(O804=1,K804&lt;&gt;"",COUNTIFS(Owners!$A$5:$A$32,K804,Owners!$E$5:$E$32,"No")&gt;0),1,0)</f>
        <v>0</v>
      </c>
      <c r="X804" s="7" t="n">
        <f aca="false">IF(AND(O804=1,I804&lt;Inputs!$B$4),1,0)</f>
        <v>0</v>
      </c>
      <c r="Y804" s="7" t="n">
        <f aca="false">IF(AND(O804=1,T804&gt;Inputs!$B$5),1,0)</f>
        <v>0</v>
      </c>
      <c r="Z804" s="7" t="n">
        <f aca="false">IF(AND(O804=1,G804&lt;&gt;R804),1,0)</f>
        <v>0</v>
      </c>
      <c r="AA804" s="7" t="n">
        <f aca="false">IF(AND(O804=1,M804=""),1,0)</f>
        <v>0</v>
      </c>
      <c r="AB804" s="7" t="n">
        <f aca="false">IF(AND(E804="Closed Lost",N804=""),1,0)</f>
        <v>0</v>
      </c>
      <c r="AC804" s="7" t="n">
        <f aca="false">SUM(U804:AB804)</f>
        <v>0</v>
      </c>
      <c r="AD804" s="7" t="n">
        <f aca="false">IF(AC804=0,1,0)</f>
        <v>1</v>
      </c>
      <c r="AE804" s="7" t="n">
        <f aca="false">IF(AND(O804=1,I804&gt;=Inputs!$B$6,I804&lt;=Inputs!$B$7),1,0)</f>
        <v>0</v>
      </c>
      <c r="AF804" s="7" t="n">
        <f aca="false">IF(AND(E804="Closed Won",I804&gt;=Inputs!$B$6,I804&lt;=Inputs!$B$4),1,0)</f>
        <v>0</v>
      </c>
      <c r="AG804" s="7" t="n">
        <f aca="false">IF(AND(O804=0,I804&gt;Inputs!$B$4-Inputs!$B$8,I804&lt;=Inputs!$B$4),1,0)</f>
        <v>1</v>
      </c>
      <c r="AH804" s="7" t="n">
        <f aca="false">I804-H804</f>
        <v>91</v>
      </c>
    </row>
    <row r="805" customFormat="false" ht="15" hidden="false" customHeight="false" outlineLevel="0" collapsed="false">
      <c r="A805" s="16" t="s">
        <v>2303</v>
      </c>
      <c r="B805" s="16" t="s">
        <v>2304</v>
      </c>
      <c r="C805" s="16" t="s">
        <v>2305</v>
      </c>
      <c r="D805" s="16" t="s">
        <v>162</v>
      </c>
      <c r="E805" s="16" t="s">
        <v>531</v>
      </c>
      <c r="F805" s="26" t="n">
        <v>0</v>
      </c>
      <c r="G805" s="25" t="n">
        <v>0</v>
      </c>
      <c r="H805" s="22" t="n">
        <v>45998</v>
      </c>
      <c r="I805" s="22" t="n">
        <v>46213</v>
      </c>
      <c r="J805" s="22" t="n">
        <v>46213</v>
      </c>
      <c r="K805" s="16" t="s">
        <v>596</v>
      </c>
      <c r="L805" s="16" t="s">
        <v>568</v>
      </c>
      <c r="M805" s="16"/>
      <c r="N805" s="16" t="s">
        <v>713</v>
      </c>
      <c r="O805" s="7" t="n">
        <f aca="false">IF(OR(E805="Closed Won",E805="Closed Lost"),0,1)</f>
        <v>0</v>
      </c>
      <c r="P805" s="17" t="str">
        <f aca="false">INDEX(Accounts!$K$5:$K$336,MATCH(B805,Accounts!$A$5:$A$336,0))</f>
        <v>Public Sector &amp; Development</v>
      </c>
      <c r="Q805" s="17" t="str">
        <f aca="false">INDEX(Accounts!$D$5:$D$336,MATCH(B805,Accounts!$A$5:$A$336,0))</f>
        <v>Standard</v>
      </c>
      <c r="R805" s="7" t="n">
        <f aca="false">INDEX(Inputs!$B$11:$B$16,MATCH(E805,Inputs!$A$11:$A$16,0))</f>
        <v>0</v>
      </c>
      <c r="S805" s="27" t="n">
        <f aca="false">IF(F805="",0,F805)*R805/100</f>
        <v>0</v>
      </c>
      <c r="T805" s="7" t="n">
        <f aca="false">Inputs!$B$4-J805</f>
        <v>101</v>
      </c>
      <c r="U805" s="7" t="n">
        <f aca="false">IF(OR(F805="",F805=0),1,0)</f>
        <v>1</v>
      </c>
      <c r="V805" s="7" t="n">
        <f aca="false">IF(K805="",1,0)</f>
        <v>0</v>
      </c>
      <c r="W805" s="7" t="n">
        <f aca="false">IF(AND(O805=1,K805&lt;&gt;"",COUNTIFS(Owners!$A$5:$A$32,K805,Owners!$E$5:$E$32,"No")&gt;0),1,0)</f>
        <v>0</v>
      </c>
      <c r="X805" s="7" t="n">
        <f aca="false">IF(AND(O805=1,I805&lt;Inputs!$B$4),1,0)</f>
        <v>0</v>
      </c>
      <c r="Y805" s="7" t="n">
        <f aca="false">IF(AND(O805=1,T805&gt;Inputs!$B$5),1,0)</f>
        <v>0</v>
      </c>
      <c r="Z805" s="7" t="n">
        <f aca="false">IF(AND(O805=1,G805&lt;&gt;R805),1,0)</f>
        <v>0</v>
      </c>
      <c r="AA805" s="7" t="n">
        <f aca="false">IF(AND(O805=1,M805=""),1,0)</f>
        <v>0</v>
      </c>
      <c r="AB805" s="7" t="n">
        <f aca="false">IF(AND(E805="Closed Lost",N805=""),1,0)</f>
        <v>0</v>
      </c>
      <c r="AC805" s="7" t="n">
        <f aca="false">SUM(U805:AB805)</f>
        <v>1</v>
      </c>
      <c r="AD805" s="7" t="n">
        <f aca="false">IF(AC805=0,1,0)</f>
        <v>0</v>
      </c>
      <c r="AE805" s="7" t="n">
        <f aca="false">IF(AND(O805=1,I805&gt;=Inputs!$B$6,I805&lt;=Inputs!$B$7),1,0)</f>
        <v>0</v>
      </c>
      <c r="AF805" s="7" t="n">
        <f aca="false">IF(AND(E805="Closed Won",I805&gt;=Inputs!$B$6,I805&lt;=Inputs!$B$4),1,0)</f>
        <v>0</v>
      </c>
      <c r="AG805" s="7" t="n">
        <f aca="false">IF(AND(O805=0,I805&gt;Inputs!$B$4-Inputs!$B$8,I805&lt;=Inputs!$B$4),1,0)</f>
        <v>1</v>
      </c>
      <c r="AH805" s="7" t="n">
        <f aca="false">I805-H805</f>
        <v>215</v>
      </c>
    </row>
    <row r="806" customFormat="false" ht="15" hidden="false" customHeight="false" outlineLevel="0" collapsed="false">
      <c r="A806" s="16" t="s">
        <v>2306</v>
      </c>
      <c r="B806" s="16" t="s">
        <v>86</v>
      </c>
      <c r="C806" s="16" t="s">
        <v>2307</v>
      </c>
      <c r="D806" s="16" t="s">
        <v>158</v>
      </c>
      <c r="E806" s="16" t="s">
        <v>526</v>
      </c>
      <c r="F806" s="26" t="n">
        <v>149543000</v>
      </c>
      <c r="G806" s="25" t="n">
        <v>10</v>
      </c>
      <c r="H806" s="22" t="n">
        <v>46268</v>
      </c>
      <c r="I806" s="22" t="n">
        <v>46345</v>
      </c>
      <c r="J806" s="22" t="n">
        <v>46283</v>
      </c>
      <c r="K806" s="16"/>
      <c r="L806" s="16" t="s">
        <v>584</v>
      </c>
      <c r="M806" s="16" t="s">
        <v>575</v>
      </c>
      <c r="N806" s="16"/>
      <c r="O806" s="7" t="n">
        <f aca="false">IF(OR(E806="Closed Won",E806="Closed Lost"),0,1)</f>
        <v>1</v>
      </c>
      <c r="P806" s="17" t="str">
        <f aca="false">INDEX(Accounts!$K$5:$K$336,MATCH(B806,Accounts!$A$5:$A$336,0))</f>
        <v>Technology, Media &amp; Telecom</v>
      </c>
      <c r="Q806" s="17" t="str">
        <f aca="false">INDEX(Accounts!$D$5:$D$336,MATCH(B806,Accounts!$A$5:$A$336,0))</f>
        <v>Priority</v>
      </c>
      <c r="R806" s="7" t="n">
        <f aca="false">INDEX(Inputs!$B$11:$B$16,MATCH(E806,Inputs!$A$11:$A$16,0))</f>
        <v>10</v>
      </c>
      <c r="S806" s="27" t="n">
        <f aca="false">IF(F806="",0,F806)*R806/100</f>
        <v>14954300</v>
      </c>
      <c r="T806" s="7" t="n">
        <f aca="false">Inputs!$B$4-J806</f>
        <v>31</v>
      </c>
      <c r="U806" s="7" t="n">
        <f aca="false">IF(OR(F806="",F806=0),1,0)</f>
        <v>0</v>
      </c>
      <c r="V806" s="7" t="n">
        <f aca="false">IF(K806="",1,0)</f>
        <v>1</v>
      </c>
      <c r="W806" s="7" t="n">
        <f aca="false">IF(AND(O806=1,K806&lt;&gt;"",COUNTIFS(Owners!$A$5:$A$32,K806,Owners!$E$5:$E$32,"No")&gt;0),1,0)</f>
        <v>0</v>
      </c>
      <c r="X806" s="7" t="n">
        <f aca="false">IF(AND(O806=1,I806&lt;Inputs!$B$4),1,0)</f>
        <v>0</v>
      </c>
      <c r="Y806" s="7" t="n">
        <f aca="false">IF(AND(O806=1,T806&gt;Inputs!$B$5),1,0)</f>
        <v>0</v>
      </c>
      <c r="Z806" s="7" t="n">
        <f aca="false">IF(AND(O806=1,G806&lt;&gt;R806),1,0)</f>
        <v>0</v>
      </c>
      <c r="AA806" s="7" t="n">
        <f aca="false">IF(AND(O806=1,M806=""),1,0)</f>
        <v>0</v>
      </c>
      <c r="AB806" s="7" t="n">
        <f aca="false">IF(AND(E806="Closed Lost",N806=""),1,0)</f>
        <v>0</v>
      </c>
      <c r="AC806" s="7" t="n">
        <f aca="false">SUM(U806:AB806)</f>
        <v>1</v>
      </c>
      <c r="AD806" s="7" t="n">
        <f aca="false">IF(AC806=0,1,0)</f>
        <v>0</v>
      </c>
      <c r="AE806" s="7" t="n">
        <f aca="false">IF(AND(O806=1,I806&gt;=Inputs!$B$6,I806&lt;=Inputs!$B$7),1,0)</f>
        <v>1</v>
      </c>
      <c r="AF806" s="7" t="n">
        <f aca="false">IF(AND(E806="Closed Won",I806&gt;=Inputs!$B$6,I806&lt;=Inputs!$B$4),1,0)</f>
        <v>0</v>
      </c>
      <c r="AG806" s="7" t="n">
        <f aca="false">IF(AND(O806=0,I806&gt;Inputs!$B$4-Inputs!$B$8,I806&lt;=Inputs!$B$4),1,0)</f>
        <v>0</v>
      </c>
      <c r="AH806" s="7" t="n">
        <f aca="false">I806-H806</f>
        <v>77</v>
      </c>
    </row>
    <row r="807" customFormat="false" ht="15" hidden="false" customHeight="false" outlineLevel="0" collapsed="false">
      <c r="A807" s="16" t="s">
        <v>2308</v>
      </c>
      <c r="B807" s="16" t="s">
        <v>2309</v>
      </c>
      <c r="C807" s="16" t="s">
        <v>2310</v>
      </c>
      <c r="D807" s="16" t="s">
        <v>162</v>
      </c>
      <c r="E807" s="16" t="s">
        <v>530</v>
      </c>
      <c r="F807" s="26" t="n">
        <v>15146000</v>
      </c>
      <c r="G807" s="25" t="n">
        <v>100</v>
      </c>
      <c r="H807" s="22" t="n">
        <v>46178</v>
      </c>
      <c r="I807" s="22" t="n">
        <v>46263</v>
      </c>
      <c r="J807" s="22" t="n">
        <v>46263</v>
      </c>
      <c r="K807" s="16" t="s">
        <v>573</v>
      </c>
      <c r="L807" s="16" t="s">
        <v>584</v>
      </c>
      <c r="M807" s="16"/>
      <c r="N807" s="16"/>
      <c r="O807" s="7" t="n">
        <f aca="false">IF(OR(E807="Closed Won",E807="Closed Lost"),0,1)</f>
        <v>0</v>
      </c>
      <c r="P807" s="17" t="str">
        <f aca="false">INDEX(Accounts!$K$5:$K$336,MATCH(B807,Accounts!$A$5:$A$336,0))</f>
        <v>Financial Services</v>
      </c>
      <c r="Q807" s="17" t="str">
        <f aca="false">INDEX(Accounts!$D$5:$D$336,MATCH(B807,Accounts!$A$5:$A$336,0))</f>
        <v>Standard</v>
      </c>
      <c r="R807" s="7" t="n">
        <f aca="false">INDEX(Inputs!$B$11:$B$16,MATCH(E807,Inputs!$A$11:$A$16,0))</f>
        <v>100</v>
      </c>
      <c r="S807" s="27" t="n">
        <f aca="false">IF(F807="",0,F807)*R807/100</f>
        <v>15146000</v>
      </c>
      <c r="T807" s="7" t="n">
        <f aca="false">Inputs!$B$4-J807</f>
        <v>51</v>
      </c>
      <c r="U807" s="7" t="n">
        <f aca="false">IF(OR(F807="",F807=0),1,0)</f>
        <v>0</v>
      </c>
      <c r="V807" s="7" t="n">
        <f aca="false">IF(K807="",1,0)</f>
        <v>0</v>
      </c>
      <c r="W807" s="7" t="n">
        <f aca="false">IF(AND(O807=1,K807&lt;&gt;"",COUNTIFS(Owners!$A$5:$A$32,K807,Owners!$E$5:$E$32,"No")&gt;0),1,0)</f>
        <v>0</v>
      </c>
      <c r="X807" s="7" t="n">
        <f aca="false">IF(AND(O807=1,I807&lt;Inputs!$B$4),1,0)</f>
        <v>0</v>
      </c>
      <c r="Y807" s="7" t="n">
        <f aca="false">IF(AND(O807=1,T807&gt;Inputs!$B$5),1,0)</f>
        <v>0</v>
      </c>
      <c r="Z807" s="7" t="n">
        <f aca="false">IF(AND(O807=1,G807&lt;&gt;R807),1,0)</f>
        <v>0</v>
      </c>
      <c r="AA807" s="7" t="n">
        <f aca="false">IF(AND(O807=1,M807=""),1,0)</f>
        <v>0</v>
      </c>
      <c r="AB807" s="7" t="n">
        <f aca="false">IF(AND(E807="Closed Lost",N807=""),1,0)</f>
        <v>0</v>
      </c>
      <c r="AC807" s="7" t="n">
        <f aca="false">SUM(U807:AB807)</f>
        <v>0</v>
      </c>
      <c r="AD807" s="7" t="n">
        <f aca="false">IF(AC807=0,1,0)</f>
        <v>1</v>
      </c>
      <c r="AE807" s="7" t="n">
        <f aca="false">IF(AND(O807=1,I807&gt;=Inputs!$B$6,I807&lt;=Inputs!$B$7),1,0)</f>
        <v>0</v>
      </c>
      <c r="AF807" s="7" t="n">
        <f aca="false">IF(AND(E807="Closed Won",I807&gt;=Inputs!$B$6,I807&lt;=Inputs!$B$4),1,0)</f>
        <v>1</v>
      </c>
      <c r="AG807" s="7" t="n">
        <f aca="false">IF(AND(O807=0,I807&gt;Inputs!$B$4-Inputs!$B$8,I807&lt;=Inputs!$B$4),1,0)</f>
        <v>1</v>
      </c>
      <c r="AH807" s="7" t="n">
        <f aca="false">I807-H807</f>
        <v>85</v>
      </c>
    </row>
    <row r="808" customFormat="false" ht="15" hidden="false" customHeight="false" outlineLevel="0" collapsed="false">
      <c r="A808" s="16" t="s">
        <v>2311</v>
      </c>
      <c r="B808" s="16" t="s">
        <v>90</v>
      </c>
      <c r="C808" s="16" t="s">
        <v>1964</v>
      </c>
      <c r="D808" s="16" t="s">
        <v>167</v>
      </c>
      <c r="E808" s="16" t="s">
        <v>530</v>
      </c>
      <c r="F808" s="26" t="n">
        <v>7085000</v>
      </c>
      <c r="G808" s="25" t="n">
        <v>100</v>
      </c>
      <c r="H808" s="22" t="n">
        <v>45929</v>
      </c>
      <c r="I808" s="22" t="n">
        <v>46167</v>
      </c>
      <c r="J808" s="22" t="n">
        <v>46167</v>
      </c>
      <c r="K808" s="16" t="s">
        <v>604</v>
      </c>
      <c r="L808" s="16" t="s">
        <v>584</v>
      </c>
      <c r="M808" s="16"/>
      <c r="N808" s="16"/>
      <c r="O808" s="7" t="n">
        <f aca="false">IF(OR(E808="Closed Won",E808="Closed Lost"),0,1)</f>
        <v>0</v>
      </c>
      <c r="P808" s="17" t="str">
        <f aca="false">INDEX(Accounts!$K$5:$K$336,MATCH(B808,Accounts!$A$5:$A$336,0))</f>
        <v>Financial Services</v>
      </c>
      <c r="Q808" s="17" t="str">
        <f aca="false">INDEX(Accounts!$D$5:$D$336,MATCH(B808,Accounts!$A$5:$A$336,0))</f>
        <v>Priority</v>
      </c>
      <c r="R808" s="7" t="n">
        <f aca="false">INDEX(Inputs!$B$11:$B$16,MATCH(E808,Inputs!$A$11:$A$16,0))</f>
        <v>100</v>
      </c>
      <c r="S808" s="27" t="n">
        <f aca="false">IF(F808="",0,F808)*R808/100</f>
        <v>7085000</v>
      </c>
      <c r="T808" s="7" t="n">
        <f aca="false">Inputs!$B$4-J808</f>
        <v>147</v>
      </c>
      <c r="U808" s="7" t="n">
        <f aca="false">IF(OR(F808="",F808=0),1,0)</f>
        <v>0</v>
      </c>
      <c r="V808" s="7" t="n">
        <f aca="false">IF(K808="",1,0)</f>
        <v>0</v>
      </c>
      <c r="W808" s="7" t="n">
        <f aca="false">IF(AND(O808=1,K808&lt;&gt;"",COUNTIFS(Owners!$A$5:$A$32,K808,Owners!$E$5:$E$32,"No")&gt;0),1,0)</f>
        <v>0</v>
      </c>
      <c r="X808" s="7" t="n">
        <f aca="false">IF(AND(O808=1,I808&lt;Inputs!$B$4),1,0)</f>
        <v>0</v>
      </c>
      <c r="Y808" s="7" t="n">
        <f aca="false">IF(AND(O808=1,T808&gt;Inputs!$B$5),1,0)</f>
        <v>0</v>
      </c>
      <c r="Z808" s="7" t="n">
        <f aca="false">IF(AND(O808=1,G808&lt;&gt;R808),1,0)</f>
        <v>0</v>
      </c>
      <c r="AA808" s="7" t="n">
        <f aca="false">IF(AND(O808=1,M808=""),1,0)</f>
        <v>0</v>
      </c>
      <c r="AB808" s="7" t="n">
        <f aca="false">IF(AND(E808="Closed Lost",N808=""),1,0)</f>
        <v>0</v>
      </c>
      <c r="AC808" s="7" t="n">
        <f aca="false">SUM(U808:AB808)</f>
        <v>0</v>
      </c>
      <c r="AD808" s="7" t="n">
        <f aca="false">IF(AC808=0,1,0)</f>
        <v>1</v>
      </c>
      <c r="AE808" s="7" t="n">
        <f aca="false">IF(AND(O808=1,I808&gt;=Inputs!$B$6,I808&lt;=Inputs!$B$7),1,0)</f>
        <v>0</v>
      </c>
      <c r="AF808" s="7" t="n">
        <f aca="false">IF(AND(E808="Closed Won",I808&gt;=Inputs!$B$6,I808&lt;=Inputs!$B$4),1,0)</f>
        <v>0</v>
      </c>
      <c r="AG808" s="7" t="n">
        <f aca="false">IF(AND(O808=0,I808&gt;Inputs!$B$4-Inputs!$B$8,I808&lt;=Inputs!$B$4),1,0)</f>
        <v>1</v>
      </c>
      <c r="AH808" s="7" t="n">
        <f aca="false">I808-H808</f>
        <v>238</v>
      </c>
    </row>
    <row r="809" customFormat="false" ht="15" hidden="false" customHeight="false" outlineLevel="0" collapsed="false">
      <c r="A809" s="16" t="s">
        <v>2312</v>
      </c>
      <c r="B809" s="16" t="s">
        <v>991</v>
      </c>
      <c r="C809" s="16" t="s">
        <v>2313</v>
      </c>
      <c r="D809" s="16" t="s">
        <v>162</v>
      </c>
      <c r="E809" s="16" t="s">
        <v>531</v>
      </c>
      <c r="F809" s="26" t="n">
        <v>0</v>
      </c>
      <c r="G809" s="25" t="n">
        <v>0</v>
      </c>
      <c r="H809" s="22" t="n">
        <v>46053</v>
      </c>
      <c r="I809" s="22" t="n">
        <v>46179</v>
      </c>
      <c r="J809" s="22" t="n">
        <v>46179</v>
      </c>
      <c r="K809" s="16" t="s">
        <v>831</v>
      </c>
      <c r="L809" s="16" t="s">
        <v>584</v>
      </c>
      <c r="M809" s="16"/>
      <c r="N809" s="16" t="s">
        <v>697</v>
      </c>
      <c r="O809" s="7" t="n">
        <f aca="false">IF(OR(E809="Closed Won",E809="Closed Lost"),0,1)</f>
        <v>0</v>
      </c>
      <c r="P809" s="17" t="str">
        <f aca="false">INDEX(Accounts!$K$5:$K$336,MATCH(B809,Accounts!$A$5:$A$336,0))</f>
        <v>Energy &amp; Resources</v>
      </c>
      <c r="Q809" s="17" t="str">
        <f aca="false">INDEX(Accounts!$D$5:$D$336,MATCH(B809,Accounts!$A$5:$A$336,0))</f>
        <v>Standard</v>
      </c>
      <c r="R809" s="7" t="n">
        <f aca="false">INDEX(Inputs!$B$11:$B$16,MATCH(E809,Inputs!$A$11:$A$16,0))</f>
        <v>0</v>
      </c>
      <c r="S809" s="27" t="n">
        <f aca="false">IF(F809="",0,F809)*R809/100</f>
        <v>0</v>
      </c>
      <c r="T809" s="7" t="n">
        <f aca="false">Inputs!$B$4-J809</f>
        <v>135</v>
      </c>
      <c r="U809" s="7" t="n">
        <f aca="false">IF(OR(F809="",F809=0),1,0)</f>
        <v>1</v>
      </c>
      <c r="V809" s="7" t="n">
        <f aca="false">IF(K809="",1,0)</f>
        <v>0</v>
      </c>
      <c r="W809" s="7" t="n">
        <f aca="false">IF(AND(O809=1,K809&lt;&gt;"",COUNTIFS(Owners!$A$5:$A$32,K809,Owners!$E$5:$E$32,"No")&gt;0),1,0)</f>
        <v>0</v>
      </c>
      <c r="X809" s="7" t="n">
        <f aca="false">IF(AND(O809=1,I809&lt;Inputs!$B$4),1,0)</f>
        <v>0</v>
      </c>
      <c r="Y809" s="7" t="n">
        <f aca="false">IF(AND(O809=1,T809&gt;Inputs!$B$5),1,0)</f>
        <v>0</v>
      </c>
      <c r="Z809" s="7" t="n">
        <f aca="false">IF(AND(O809=1,G809&lt;&gt;R809),1,0)</f>
        <v>0</v>
      </c>
      <c r="AA809" s="7" t="n">
        <f aca="false">IF(AND(O809=1,M809=""),1,0)</f>
        <v>0</v>
      </c>
      <c r="AB809" s="7" t="n">
        <f aca="false">IF(AND(E809="Closed Lost",N809=""),1,0)</f>
        <v>0</v>
      </c>
      <c r="AC809" s="7" t="n">
        <f aca="false">SUM(U809:AB809)</f>
        <v>1</v>
      </c>
      <c r="AD809" s="7" t="n">
        <f aca="false">IF(AC809=0,1,0)</f>
        <v>0</v>
      </c>
      <c r="AE809" s="7" t="n">
        <f aca="false">IF(AND(O809=1,I809&gt;=Inputs!$B$6,I809&lt;=Inputs!$B$7),1,0)</f>
        <v>0</v>
      </c>
      <c r="AF809" s="7" t="n">
        <f aca="false">IF(AND(E809="Closed Won",I809&gt;=Inputs!$B$6,I809&lt;=Inputs!$B$4),1,0)</f>
        <v>0</v>
      </c>
      <c r="AG809" s="7" t="n">
        <f aca="false">IF(AND(O809=0,I809&gt;Inputs!$B$4-Inputs!$B$8,I809&lt;=Inputs!$B$4),1,0)</f>
        <v>1</v>
      </c>
      <c r="AH809" s="7" t="n">
        <f aca="false">I809-H809</f>
        <v>126</v>
      </c>
    </row>
    <row r="810" customFormat="false" ht="15" hidden="false" customHeight="false" outlineLevel="0" collapsed="false">
      <c r="A810" s="16" t="s">
        <v>2314</v>
      </c>
      <c r="B810" s="16" t="s">
        <v>254</v>
      </c>
      <c r="C810" s="16" t="s">
        <v>2315</v>
      </c>
      <c r="D810" s="16" t="s">
        <v>165</v>
      </c>
      <c r="E810" s="16" t="s">
        <v>531</v>
      </c>
      <c r="F810" s="26" t="n">
        <v>8525000</v>
      </c>
      <c r="G810" s="25" t="n">
        <v>0</v>
      </c>
      <c r="H810" s="22" t="n">
        <v>45960</v>
      </c>
      <c r="I810" s="22" t="n">
        <v>46144</v>
      </c>
      <c r="J810" s="22" t="n">
        <v>46144</v>
      </c>
      <c r="K810" s="16" t="s">
        <v>591</v>
      </c>
      <c r="L810" s="16" t="s">
        <v>584</v>
      </c>
      <c r="M810" s="16"/>
      <c r="N810" s="16" t="s">
        <v>713</v>
      </c>
      <c r="O810" s="7" t="n">
        <f aca="false">IF(OR(E810="Closed Won",E810="Closed Lost"),0,1)</f>
        <v>0</v>
      </c>
      <c r="P810" s="17" t="str">
        <f aca="false">INDEX(Accounts!$K$5:$K$336,MATCH(B810,Accounts!$A$5:$A$336,0))</f>
        <v>Technology, Media &amp; Telecom</v>
      </c>
      <c r="Q810" s="17" t="str">
        <f aca="false">INDEX(Accounts!$D$5:$D$336,MATCH(B810,Accounts!$A$5:$A$336,0))</f>
        <v>Key</v>
      </c>
      <c r="R810" s="7" t="n">
        <f aca="false">INDEX(Inputs!$B$11:$B$16,MATCH(E810,Inputs!$A$11:$A$16,0))</f>
        <v>0</v>
      </c>
      <c r="S810" s="27" t="n">
        <f aca="false">IF(F810="",0,F810)*R810/100</f>
        <v>0</v>
      </c>
      <c r="T810" s="7" t="n">
        <f aca="false">Inputs!$B$4-J810</f>
        <v>170</v>
      </c>
      <c r="U810" s="7" t="n">
        <f aca="false">IF(OR(F810="",F810=0),1,0)</f>
        <v>0</v>
      </c>
      <c r="V810" s="7" t="n">
        <f aca="false">IF(K810="",1,0)</f>
        <v>0</v>
      </c>
      <c r="W810" s="7" t="n">
        <f aca="false">IF(AND(O810=1,K810&lt;&gt;"",COUNTIFS(Owners!$A$5:$A$32,K810,Owners!$E$5:$E$32,"No")&gt;0),1,0)</f>
        <v>0</v>
      </c>
      <c r="X810" s="7" t="n">
        <f aca="false">IF(AND(O810=1,I810&lt;Inputs!$B$4),1,0)</f>
        <v>0</v>
      </c>
      <c r="Y810" s="7" t="n">
        <f aca="false">IF(AND(O810=1,T810&gt;Inputs!$B$5),1,0)</f>
        <v>0</v>
      </c>
      <c r="Z810" s="7" t="n">
        <f aca="false">IF(AND(O810=1,G810&lt;&gt;R810),1,0)</f>
        <v>0</v>
      </c>
      <c r="AA810" s="7" t="n">
        <f aca="false">IF(AND(O810=1,M810=""),1,0)</f>
        <v>0</v>
      </c>
      <c r="AB810" s="7" t="n">
        <f aca="false">IF(AND(E810="Closed Lost",N810=""),1,0)</f>
        <v>0</v>
      </c>
      <c r="AC810" s="7" t="n">
        <f aca="false">SUM(U810:AB810)</f>
        <v>0</v>
      </c>
      <c r="AD810" s="7" t="n">
        <f aca="false">IF(AC810=0,1,0)</f>
        <v>1</v>
      </c>
      <c r="AE810" s="7" t="n">
        <f aca="false">IF(AND(O810=1,I810&gt;=Inputs!$B$6,I810&lt;=Inputs!$B$7),1,0)</f>
        <v>0</v>
      </c>
      <c r="AF810" s="7" t="n">
        <f aca="false">IF(AND(E810="Closed Won",I810&gt;=Inputs!$B$6,I810&lt;=Inputs!$B$4),1,0)</f>
        <v>0</v>
      </c>
      <c r="AG810" s="7" t="n">
        <f aca="false">IF(AND(O810=0,I810&gt;Inputs!$B$4-Inputs!$B$8,I810&lt;=Inputs!$B$4),1,0)</f>
        <v>1</v>
      </c>
      <c r="AH810" s="7" t="n">
        <f aca="false">I810-H810</f>
        <v>184</v>
      </c>
    </row>
    <row r="811" customFormat="false" ht="15" hidden="false" customHeight="false" outlineLevel="0" collapsed="false">
      <c r="A811" s="16" t="s">
        <v>2316</v>
      </c>
      <c r="B811" s="16" t="s">
        <v>64</v>
      </c>
      <c r="C811" s="16" t="s">
        <v>1730</v>
      </c>
      <c r="D811" s="16" t="s">
        <v>158</v>
      </c>
      <c r="E811" s="16" t="s">
        <v>530</v>
      </c>
      <c r="F811" s="26" t="n">
        <v>17779000</v>
      </c>
      <c r="G811" s="25" t="n">
        <v>100</v>
      </c>
      <c r="H811" s="22" t="n">
        <v>45992</v>
      </c>
      <c r="I811" s="22" t="n">
        <v>46233</v>
      </c>
      <c r="J811" s="22" t="n">
        <v>46233</v>
      </c>
      <c r="K811" s="16" t="s">
        <v>663</v>
      </c>
      <c r="L811" s="16" t="s">
        <v>592</v>
      </c>
      <c r="M811" s="16"/>
      <c r="N811" s="16"/>
      <c r="O811" s="7" t="n">
        <f aca="false">IF(OR(E811="Closed Won",E811="Closed Lost"),0,1)</f>
        <v>0</v>
      </c>
      <c r="P811" s="17" t="str">
        <f aca="false">INDEX(Accounts!$K$5:$K$336,MATCH(B811,Accounts!$A$5:$A$336,0))</f>
        <v>Financial Services</v>
      </c>
      <c r="Q811" s="17" t="str">
        <f aca="false">INDEX(Accounts!$D$5:$D$336,MATCH(B811,Accounts!$A$5:$A$336,0))</f>
        <v>Priority</v>
      </c>
      <c r="R811" s="7" t="n">
        <f aca="false">INDEX(Inputs!$B$11:$B$16,MATCH(E811,Inputs!$A$11:$A$16,0))</f>
        <v>100</v>
      </c>
      <c r="S811" s="27" t="n">
        <f aca="false">IF(F811="",0,F811)*R811/100</f>
        <v>17779000</v>
      </c>
      <c r="T811" s="7" t="n">
        <f aca="false">Inputs!$B$4-J811</f>
        <v>81</v>
      </c>
      <c r="U811" s="7" t="n">
        <f aca="false">IF(OR(F811="",F811=0),1,0)</f>
        <v>0</v>
      </c>
      <c r="V811" s="7" t="n">
        <f aca="false">IF(K811="",1,0)</f>
        <v>0</v>
      </c>
      <c r="W811" s="7" t="n">
        <f aca="false">IF(AND(O811=1,K811&lt;&gt;"",COUNTIFS(Owners!$A$5:$A$32,K811,Owners!$E$5:$E$32,"No")&gt;0),1,0)</f>
        <v>0</v>
      </c>
      <c r="X811" s="7" t="n">
        <f aca="false">IF(AND(O811=1,I811&lt;Inputs!$B$4),1,0)</f>
        <v>0</v>
      </c>
      <c r="Y811" s="7" t="n">
        <f aca="false">IF(AND(O811=1,T811&gt;Inputs!$B$5),1,0)</f>
        <v>0</v>
      </c>
      <c r="Z811" s="7" t="n">
        <f aca="false">IF(AND(O811=1,G811&lt;&gt;R811),1,0)</f>
        <v>0</v>
      </c>
      <c r="AA811" s="7" t="n">
        <f aca="false">IF(AND(O811=1,M811=""),1,0)</f>
        <v>0</v>
      </c>
      <c r="AB811" s="7" t="n">
        <f aca="false">IF(AND(E811="Closed Lost",N811=""),1,0)</f>
        <v>0</v>
      </c>
      <c r="AC811" s="7" t="n">
        <f aca="false">SUM(U811:AB811)</f>
        <v>0</v>
      </c>
      <c r="AD811" s="7" t="n">
        <f aca="false">IF(AC811=0,1,0)</f>
        <v>1</v>
      </c>
      <c r="AE811" s="7" t="n">
        <f aca="false">IF(AND(O811=1,I811&gt;=Inputs!$B$6,I811&lt;=Inputs!$B$7),1,0)</f>
        <v>0</v>
      </c>
      <c r="AF811" s="7" t="n">
        <f aca="false">IF(AND(E811="Closed Won",I811&gt;=Inputs!$B$6,I811&lt;=Inputs!$B$4),1,0)</f>
        <v>1</v>
      </c>
      <c r="AG811" s="7" t="n">
        <f aca="false">IF(AND(O811=0,I811&gt;Inputs!$B$4-Inputs!$B$8,I811&lt;=Inputs!$B$4),1,0)</f>
        <v>1</v>
      </c>
      <c r="AH811" s="7" t="n">
        <f aca="false">I811-H811</f>
        <v>241</v>
      </c>
    </row>
    <row r="812" customFormat="false" ht="15" hidden="false" customHeight="false" outlineLevel="0" collapsed="false">
      <c r="A812" s="16" t="s">
        <v>2317</v>
      </c>
      <c r="B812" s="16" t="s">
        <v>79</v>
      </c>
      <c r="C812" s="16" t="s">
        <v>2318</v>
      </c>
      <c r="D812" s="16" t="s">
        <v>167</v>
      </c>
      <c r="E812" s="16" t="s">
        <v>530</v>
      </c>
      <c r="F812" s="26" t="n">
        <v>3787000</v>
      </c>
      <c r="G812" s="25" t="n">
        <v>100</v>
      </c>
      <c r="H812" s="22" t="n">
        <v>45914</v>
      </c>
      <c r="I812" s="22" t="n">
        <v>46101</v>
      </c>
      <c r="J812" s="22" t="n">
        <v>46101</v>
      </c>
      <c r="K812" s="16" t="s">
        <v>622</v>
      </c>
      <c r="L812" s="16" t="s">
        <v>592</v>
      </c>
      <c r="M812" s="16"/>
      <c r="N812" s="16"/>
      <c r="O812" s="7" t="n">
        <f aca="false">IF(OR(E812="Closed Won",E812="Closed Lost"),0,1)</f>
        <v>0</v>
      </c>
      <c r="P812" s="17" t="str">
        <f aca="false">INDEX(Accounts!$K$5:$K$336,MATCH(B812,Accounts!$A$5:$A$336,0))</f>
        <v>Energy &amp; Resources</v>
      </c>
      <c r="Q812" s="17" t="str">
        <f aca="false">INDEX(Accounts!$D$5:$D$336,MATCH(B812,Accounts!$A$5:$A$336,0))</f>
        <v>Priority</v>
      </c>
      <c r="R812" s="7" t="n">
        <f aca="false">INDEX(Inputs!$B$11:$B$16,MATCH(E812,Inputs!$A$11:$A$16,0))</f>
        <v>100</v>
      </c>
      <c r="S812" s="27" t="n">
        <f aca="false">IF(F812="",0,F812)*R812/100</f>
        <v>3787000</v>
      </c>
      <c r="T812" s="7" t="n">
        <f aca="false">Inputs!$B$4-J812</f>
        <v>213</v>
      </c>
      <c r="U812" s="7" t="n">
        <f aca="false">IF(OR(F812="",F812=0),1,0)</f>
        <v>0</v>
      </c>
      <c r="V812" s="7" t="n">
        <f aca="false">IF(K812="",1,0)</f>
        <v>0</v>
      </c>
      <c r="W812" s="7" t="n">
        <f aca="false">IF(AND(O812=1,K812&lt;&gt;"",COUNTIFS(Owners!$A$5:$A$32,K812,Owners!$E$5:$E$32,"No")&gt;0),1,0)</f>
        <v>0</v>
      </c>
      <c r="X812" s="7" t="n">
        <f aca="false">IF(AND(O812=1,I812&lt;Inputs!$B$4),1,0)</f>
        <v>0</v>
      </c>
      <c r="Y812" s="7" t="n">
        <f aca="false">IF(AND(O812=1,T812&gt;Inputs!$B$5),1,0)</f>
        <v>0</v>
      </c>
      <c r="Z812" s="7" t="n">
        <f aca="false">IF(AND(O812=1,G812&lt;&gt;R812),1,0)</f>
        <v>0</v>
      </c>
      <c r="AA812" s="7" t="n">
        <f aca="false">IF(AND(O812=1,M812=""),1,0)</f>
        <v>0</v>
      </c>
      <c r="AB812" s="7" t="n">
        <f aca="false">IF(AND(E812="Closed Lost",N812=""),1,0)</f>
        <v>0</v>
      </c>
      <c r="AC812" s="7" t="n">
        <f aca="false">SUM(U812:AB812)</f>
        <v>0</v>
      </c>
      <c r="AD812" s="7" t="n">
        <f aca="false">IF(AC812=0,1,0)</f>
        <v>1</v>
      </c>
      <c r="AE812" s="7" t="n">
        <f aca="false">IF(AND(O812=1,I812&gt;=Inputs!$B$6,I812&lt;=Inputs!$B$7),1,0)</f>
        <v>0</v>
      </c>
      <c r="AF812" s="7" t="n">
        <f aca="false">IF(AND(E812="Closed Won",I812&gt;=Inputs!$B$6,I812&lt;=Inputs!$B$4),1,0)</f>
        <v>0</v>
      </c>
      <c r="AG812" s="7" t="n">
        <f aca="false">IF(AND(O812=0,I812&gt;Inputs!$B$4-Inputs!$B$8,I812&lt;=Inputs!$B$4),1,0)</f>
        <v>1</v>
      </c>
      <c r="AH812" s="7" t="n">
        <f aca="false">I812-H812</f>
        <v>187</v>
      </c>
    </row>
    <row r="813" customFormat="false" ht="15" hidden="false" customHeight="false" outlineLevel="0" collapsed="false">
      <c r="A813" s="16" t="s">
        <v>2319</v>
      </c>
      <c r="B813" s="16" t="s">
        <v>80</v>
      </c>
      <c r="C813" s="16" t="s">
        <v>2320</v>
      </c>
      <c r="D813" s="16" t="s">
        <v>158</v>
      </c>
      <c r="E813" s="16" t="s">
        <v>531</v>
      </c>
      <c r="F813" s="26" t="n">
        <v>2288000</v>
      </c>
      <c r="G813" s="25" t="n">
        <v>0</v>
      </c>
      <c r="H813" s="22" t="n">
        <v>45980</v>
      </c>
      <c r="I813" s="22" t="n">
        <v>46275</v>
      </c>
      <c r="J813" s="22" t="n">
        <v>46275</v>
      </c>
      <c r="K813" s="16" t="s">
        <v>640</v>
      </c>
      <c r="L813" s="16" t="s">
        <v>584</v>
      </c>
      <c r="M813" s="16"/>
      <c r="N813" s="16"/>
      <c r="O813" s="7" t="n">
        <f aca="false">IF(OR(E813="Closed Won",E813="Closed Lost"),0,1)</f>
        <v>0</v>
      </c>
      <c r="P813" s="17" t="str">
        <f aca="false">INDEX(Accounts!$K$5:$K$336,MATCH(B813,Accounts!$A$5:$A$336,0))</f>
        <v>Public Sector &amp; Development</v>
      </c>
      <c r="Q813" s="17" t="str">
        <f aca="false">INDEX(Accounts!$D$5:$D$336,MATCH(B813,Accounts!$A$5:$A$336,0))</f>
        <v>Priority</v>
      </c>
      <c r="R813" s="7" t="n">
        <f aca="false">INDEX(Inputs!$B$11:$B$16,MATCH(E813,Inputs!$A$11:$A$16,0))</f>
        <v>0</v>
      </c>
      <c r="S813" s="27" t="n">
        <f aca="false">IF(F813="",0,F813)*R813/100</f>
        <v>0</v>
      </c>
      <c r="T813" s="7" t="n">
        <f aca="false">Inputs!$B$4-J813</f>
        <v>39</v>
      </c>
      <c r="U813" s="7" t="n">
        <f aca="false">IF(OR(F813="",F813=0),1,0)</f>
        <v>0</v>
      </c>
      <c r="V813" s="7" t="n">
        <f aca="false">IF(K813="",1,0)</f>
        <v>0</v>
      </c>
      <c r="W813" s="7" t="n">
        <f aca="false">IF(AND(O813=1,K813&lt;&gt;"",COUNTIFS(Owners!$A$5:$A$32,K813,Owners!$E$5:$E$32,"No")&gt;0),1,0)</f>
        <v>0</v>
      </c>
      <c r="X813" s="7" t="n">
        <f aca="false">IF(AND(O813=1,I813&lt;Inputs!$B$4),1,0)</f>
        <v>0</v>
      </c>
      <c r="Y813" s="7" t="n">
        <f aca="false">IF(AND(O813=1,T813&gt;Inputs!$B$5),1,0)</f>
        <v>0</v>
      </c>
      <c r="Z813" s="7" t="n">
        <f aca="false">IF(AND(O813=1,G813&lt;&gt;R813),1,0)</f>
        <v>0</v>
      </c>
      <c r="AA813" s="7" t="n">
        <f aca="false">IF(AND(O813=1,M813=""),1,0)</f>
        <v>0</v>
      </c>
      <c r="AB813" s="7" t="n">
        <f aca="false">IF(AND(E813="Closed Lost",N813=""),1,0)</f>
        <v>1</v>
      </c>
      <c r="AC813" s="7" t="n">
        <f aca="false">SUM(U813:AB813)</f>
        <v>1</v>
      </c>
      <c r="AD813" s="7" t="n">
        <f aca="false">IF(AC813=0,1,0)</f>
        <v>0</v>
      </c>
      <c r="AE813" s="7" t="n">
        <f aca="false">IF(AND(O813=1,I813&gt;=Inputs!$B$6,I813&lt;=Inputs!$B$7),1,0)</f>
        <v>0</v>
      </c>
      <c r="AF813" s="7" t="n">
        <f aca="false">IF(AND(E813="Closed Won",I813&gt;=Inputs!$B$6,I813&lt;=Inputs!$B$4),1,0)</f>
        <v>0</v>
      </c>
      <c r="AG813" s="7" t="n">
        <f aca="false">IF(AND(O813=0,I813&gt;Inputs!$B$4-Inputs!$B$8,I813&lt;=Inputs!$B$4),1,0)</f>
        <v>1</v>
      </c>
      <c r="AH813" s="7" t="n">
        <f aca="false">I813-H813</f>
        <v>295</v>
      </c>
    </row>
    <row r="814" customFormat="false" ht="15" hidden="false" customHeight="false" outlineLevel="0" collapsed="false">
      <c r="A814" s="16" t="s">
        <v>2321</v>
      </c>
      <c r="B814" s="16" t="s">
        <v>61</v>
      </c>
      <c r="C814" s="16" t="s">
        <v>2322</v>
      </c>
      <c r="D814" s="16" t="s">
        <v>158</v>
      </c>
      <c r="E814" s="16" t="s">
        <v>528</v>
      </c>
      <c r="F814" s="26" t="n">
        <v>0</v>
      </c>
      <c r="G814" s="25" t="n">
        <v>50</v>
      </c>
      <c r="H814" s="22" t="n">
        <v>46279</v>
      </c>
      <c r="I814" s="22" t="n">
        <v>46502</v>
      </c>
      <c r="J814" s="22" t="n">
        <v>46308</v>
      </c>
      <c r="K814" s="16" t="s">
        <v>704</v>
      </c>
      <c r="L814" s="16" t="s">
        <v>592</v>
      </c>
      <c r="M814" s="16" t="s">
        <v>575</v>
      </c>
      <c r="N814" s="16"/>
      <c r="O814" s="7" t="n">
        <f aca="false">IF(OR(E814="Closed Won",E814="Closed Lost"),0,1)</f>
        <v>1</v>
      </c>
      <c r="P814" s="17" t="str">
        <f aca="false">INDEX(Accounts!$K$5:$K$336,MATCH(B814,Accounts!$A$5:$A$336,0))</f>
        <v>Agribusiness</v>
      </c>
      <c r="Q814" s="17" t="str">
        <f aca="false">INDEX(Accounts!$D$5:$D$336,MATCH(B814,Accounts!$A$5:$A$336,0))</f>
        <v>Priority</v>
      </c>
      <c r="R814" s="7" t="n">
        <f aca="false">INDEX(Inputs!$B$11:$B$16,MATCH(E814,Inputs!$A$11:$A$16,0))</f>
        <v>50</v>
      </c>
      <c r="S814" s="27" t="n">
        <f aca="false">IF(F814="",0,F814)*R814/100</f>
        <v>0</v>
      </c>
      <c r="T814" s="7" t="n">
        <f aca="false">Inputs!$B$4-J814</f>
        <v>6</v>
      </c>
      <c r="U814" s="7" t="n">
        <f aca="false">IF(OR(F814="",F814=0),1,0)</f>
        <v>1</v>
      </c>
      <c r="V814" s="7" t="n">
        <f aca="false">IF(K814="",1,0)</f>
        <v>0</v>
      </c>
      <c r="W814" s="7" t="n">
        <f aca="false">IF(AND(O814=1,K814&lt;&gt;"",COUNTIFS(Owners!$A$5:$A$32,K814,Owners!$E$5:$E$32,"No")&gt;0),1,0)</f>
        <v>0</v>
      </c>
      <c r="X814" s="7" t="n">
        <f aca="false">IF(AND(O814=1,I814&lt;Inputs!$B$4),1,0)</f>
        <v>0</v>
      </c>
      <c r="Y814" s="7" t="n">
        <f aca="false">IF(AND(O814=1,T814&gt;Inputs!$B$5),1,0)</f>
        <v>0</v>
      </c>
      <c r="Z814" s="7" t="n">
        <f aca="false">IF(AND(O814=1,G814&lt;&gt;R814),1,0)</f>
        <v>0</v>
      </c>
      <c r="AA814" s="7" t="n">
        <f aca="false">IF(AND(O814=1,M814=""),1,0)</f>
        <v>0</v>
      </c>
      <c r="AB814" s="7" t="n">
        <f aca="false">IF(AND(E814="Closed Lost",N814=""),1,0)</f>
        <v>0</v>
      </c>
      <c r="AC814" s="7" t="n">
        <f aca="false">SUM(U814:AB814)</f>
        <v>1</v>
      </c>
      <c r="AD814" s="7" t="n">
        <f aca="false">IF(AC814=0,1,0)</f>
        <v>0</v>
      </c>
      <c r="AE814" s="7" t="n">
        <f aca="false">IF(AND(O814=1,I814&gt;=Inputs!$B$6,I814&lt;=Inputs!$B$7),1,0)</f>
        <v>1</v>
      </c>
      <c r="AF814" s="7" t="n">
        <f aca="false">IF(AND(E814="Closed Won",I814&gt;=Inputs!$B$6,I814&lt;=Inputs!$B$4),1,0)</f>
        <v>0</v>
      </c>
      <c r="AG814" s="7" t="n">
        <f aca="false">IF(AND(O814=0,I814&gt;Inputs!$B$4-Inputs!$B$8,I814&lt;=Inputs!$B$4),1,0)</f>
        <v>0</v>
      </c>
      <c r="AH814" s="7" t="n">
        <f aca="false">I814-H814</f>
        <v>223</v>
      </c>
    </row>
    <row r="815" customFormat="false" ht="15" hidden="false" customHeight="false" outlineLevel="0" collapsed="false">
      <c r="A815" s="16" t="s">
        <v>2323</v>
      </c>
      <c r="B815" s="16" t="s">
        <v>1512</v>
      </c>
      <c r="C815" s="16" t="s">
        <v>2324</v>
      </c>
      <c r="D815" s="16" t="s">
        <v>177</v>
      </c>
      <c r="E815" s="16" t="s">
        <v>531</v>
      </c>
      <c r="F815" s="26" t="n">
        <v>22961000</v>
      </c>
      <c r="G815" s="25" t="n">
        <v>0</v>
      </c>
      <c r="H815" s="22" t="n">
        <v>46229</v>
      </c>
      <c r="I815" s="22" t="n">
        <v>46305</v>
      </c>
      <c r="J815" s="22" t="n">
        <v>46305</v>
      </c>
      <c r="K815" s="16" t="s">
        <v>646</v>
      </c>
      <c r="L815" s="16" t="s">
        <v>584</v>
      </c>
      <c r="M815" s="16"/>
      <c r="N815" s="16" t="s">
        <v>697</v>
      </c>
      <c r="O815" s="7" t="n">
        <f aca="false">IF(OR(E815="Closed Won",E815="Closed Lost"),0,1)</f>
        <v>0</v>
      </c>
      <c r="P815" s="17" t="str">
        <f aca="false">INDEX(Accounts!$K$5:$K$336,MATCH(B815,Accounts!$A$5:$A$336,0))</f>
        <v>Financial Services</v>
      </c>
      <c r="Q815" s="17" t="str">
        <f aca="false">INDEX(Accounts!$D$5:$D$336,MATCH(B815,Accounts!$A$5:$A$336,0))</f>
        <v>Standard</v>
      </c>
      <c r="R815" s="7" t="n">
        <f aca="false">INDEX(Inputs!$B$11:$B$16,MATCH(E815,Inputs!$A$11:$A$16,0))</f>
        <v>0</v>
      </c>
      <c r="S815" s="27" t="n">
        <f aca="false">IF(F815="",0,F815)*R815/100</f>
        <v>0</v>
      </c>
      <c r="T815" s="7" t="n">
        <f aca="false">Inputs!$B$4-J815</f>
        <v>9</v>
      </c>
      <c r="U815" s="7" t="n">
        <f aca="false">IF(OR(F815="",F815=0),1,0)</f>
        <v>0</v>
      </c>
      <c r="V815" s="7" t="n">
        <f aca="false">IF(K815="",1,0)</f>
        <v>0</v>
      </c>
      <c r="W815" s="7" t="n">
        <f aca="false">IF(AND(O815=1,K815&lt;&gt;"",COUNTIFS(Owners!$A$5:$A$32,K815,Owners!$E$5:$E$32,"No")&gt;0),1,0)</f>
        <v>0</v>
      </c>
      <c r="X815" s="7" t="n">
        <f aca="false">IF(AND(O815=1,I815&lt;Inputs!$B$4),1,0)</f>
        <v>0</v>
      </c>
      <c r="Y815" s="7" t="n">
        <f aca="false">IF(AND(O815=1,T815&gt;Inputs!$B$5),1,0)</f>
        <v>0</v>
      </c>
      <c r="Z815" s="7" t="n">
        <f aca="false">IF(AND(O815=1,G815&lt;&gt;R815),1,0)</f>
        <v>0</v>
      </c>
      <c r="AA815" s="7" t="n">
        <f aca="false">IF(AND(O815=1,M815=""),1,0)</f>
        <v>0</v>
      </c>
      <c r="AB815" s="7" t="n">
        <f aca="false">IF(AND(E815="Closed Lost",N815=""),1,0)</f>
        <v>0</v>
      </c>
      <c r="AC815" s="7" t="n">
        <f aca="false">SUM(U815:AB815)</f>
        <v>0</v>
      </c>
      <c r="AD815" s="7" t="n">
        <f aca="false">IF(AC815=0,1,0)</f>
        <v>1</v>
      </c>
      <c r="AE815" s="7" t="n">
        <f aca="false">IF(AND(O815=1,I815&gt;=Inputs!$B$6,I815&lt;=Inputs!$B$7),1,0)</f>
        <v>0</v>
      </c>
      <c r="AF815" s="7" t="n">
        <f aca="false">IF(AND(E815="Closed Won",I815&gt;=Inputs!$B$6,I815&lt;=Inputs!$B$4),1,0)</f>
        <v>0</v>
      </c>
      <c r="AG815" s="7" t="n">
        <f aca="false">IF(AND(O815=0,I815&gt;Inputs!$B$4-Inputs!$B$8,I815&lt;=Inputs!$B$4),1,0)</f>
        <v>1</v>
      </c>
      <c r="AH815" s="7" t="n">
        <f aca="false">I815-H815</f>
        <v>76</v>
      </c>
    </row>
    <row r="816" customFormat="false" ht="15" hidden="false" customHeight="false" outlineLevel="0" collapsed="false">
      <c r="A816" s="16" t="s">
        <v>2325</v>
      </c>
      <c r="B816" s="16" t="s">
        <v>361</v>
      </c>
      <c r="C816" s="16" t="s">
        <v>2326</v>
      </c>
      <c r="D816" s="16" t="s">
        <v>162</v>
      </c>
      <c r="E816" s="16" t="s">
        <v>531</v>
      </c>
      <c r="F816" s="26" t="n">
        <v>9233000</v>
      </c>
      <c r="G816" s="25" t="n">
        <v>0</v>
      </c>
      <c r="H816" s="22" t="n">
        <v>45900</v>
      </c>
      <c r="I816" s="22" t="n">
        <v>46019</v>
      </c>
      <c r="J816" s="22" t="n">
        <v>46019</v>
      </c>
      <c r="K816" s="16" t="s">
        <v>633</v>
      </c>
      <c r="L816" s="16" t="s">
        <v>609</v>
      </c>
      <c r="M816" s="16"/>
      <c r="N816" s="16" t="s">
        <v>697</v>
      </c>
      <c r="O816" s="7" t="n">
        <f aca="false">IF(OR(E816="Closed Won",E816="Closed Lost"),0,1)</f>
        <v>0</v>
      </c>
      <c r="P816" s="17" t="str">
        <f aca="false">INDEX(Accounts!$K$5:$K$336,MATCH(B816,Accounts!$A$5:$A$336,0))</f>
        <v>Technology, Media &amp; Telecom</v>
      </c>
      <c r="Q816" s="17" t="str">
        <f aca="false">INDEX(Accounts!$D$5:$D$336,MATCH(B816,Accounts!$A$5:$A$336,0))</f>
        <v>Key</v>
      </c>
      <c r="R816" s="7" t="n">
        <f aca="false">INDEX(Inputs!$B$11:$B$16,MATCH(E816,Inputs!$A$11:$A$16,0))</f>
        <v>0</v>
      </c>
      <c r="S816" s="27" t="n">
        <f aca="false">IF(F816="",0,F816)*R816/100</f>
        <v>0</v>
      </c>
      <c r="T816" s="7" t="n">
        <f aca="false">Inputs!$B$4-J816</f>
        <v>295</v>
      </c>
      <c r="U816" s="7" t="n">
        <f aca="false">IF(OR(F816="",F816=0),1,0)</f>
        <v>0</v>
      </c>
      <c r="V816" s="7" t="n">
        <f aca="false">IF(K816="",1,0)</f>
        <v>0</v>
      </c>
      <c r="W816" s="7" t="n">
        <f aca="false">IF(AND(O816=1,K816&lt;&gt;"",COUNTIFS(Owners!$A$5:$A$32,K816,Owners!$E$5:$E$32,"No")&gt;0),1,0)</f>
        <v>0</v>
      </c>
      <c r="X816" s="7" t="n">
        <f aca="false">IF(AND(O816=1,I816&lt;Inputs!$B$4),1,0)</f>
        <v>0</v>
      </c>
      <c r="Y816" s="7" t="n">
        <f aca="false">IF(AND(O816=1,T816&gt;Inputs!$B$5),1,0)</f>
        <v>0</v>
      </c>
      <c r="Z816" s="7" t="n">
        <f aca="false">IF(AND(O816=1,G816&lt;&gt;R816),1,0)</f>
        <v>0</v>
      </c>
      <c r="AA816" s="7" t="n">
        <f aca="false">IF(AND(O816=1,M816=""),1,0)</f>
        <v>0</v>
      </c>
      <c r="AB816" s="7" t="n">
        <f aca="false">IF(AND(E816="Closed Lost",N816=""),1,0)</f>
        <v>0</v>
      </c>
      <c r="AC816" s="7" t="n">
        <f aca="false">SUM(U816:AB816)</f>
        <v>0</v>
      </c>
      <c r="AD816" s="7" t="n">
        <f aca="false">IF(AC816=0,1,0)</f>
        <v>1</v>
      </c>
      <c r="AE816" s="7" t="n">
        <f aca="false">IF(AND(O816=1,I816&gt;=Inputs!$B$6,I816&lt;=Inputs!$B$7),1,0)</f>
        <v>0</v>
      </c>
      <c r="AF816" s="7" t="n">
        <f aca="false">IF(AND(E816="Closed Won",I816&gt;=Inputs!$B$6,I816&lt;=Inputs!$B$4),1,0)</f>
        <v>0</v>
      </c>
      <c r="AG816" s="7" t="n">
        <f aca="false">IF(AND(O816=0,I816&gt;Inputs!$B$4-Inputs!$B$8,I816&lt;=Inputs!$B$4),1,0)</f>
        <v>1</v>
      </c>
      <c r="AH816" s="7" t="n">
        <f aca="false">I816-H816</f>
        <v>119</v>
      </c>
    </row>
    <row r="817" customFormat="false" ht="15" hidden="false" customHeight="false" outlineLevel="0" collapsed="false">
      <c r="A817" s="16" t="s">
        <v>2327</v>
      </c>
      <c r="B817" s="16" t="s">
        <v>59</v>
      </c>
      <c r="C817" s="16" t="s">
        <v>2277</v>
      </c>
      <c r="D817" s="16" t="s">
        <v>165</v>
      </c>
      <c r="E817" s="16" t="s">
        <v>527</v>
      </c>
      <c r="F817" s="26"/>
      <c r="G817" s="25" t="n">
        <v>25</v>
      </c>
      <c r="H817" s="22" t="n">
        <v>46258</v>
      </c>
      <c r="I817" s="22" t="n">
        <v>46407</v>
      </c>
      <c r="J817" s="22" t="n">
        <v>46289</v>
      </c>
      <c r="K817" s="16" t="s">
        <v>583</v>
      </c>
      <c r="L817" s="16" t="s">
        <v>609</v>
      </c>
      <c r="M817" s="16" t="s">
        <v>569</v>
      </c>
      <c r="N817" s="16"/>
      <c r="O817" s="7" t="n">
        <f aca="false">IF(OR(E817="Closed Won",E817="Closed Lost"),0,1)</f>
        <v>1</v>
      </c>
      <c r="P817" s="17" t="str">
        <f aca="false">INDEX(Accounts!$K$5:$K$336,MATCH(B817,Accounts!$A$5:$A$336,0))</f>
        <v>Financial Services</v>
      </c>
      <c r="Q817" s="17" t="str">
        <f aca="false">INDEX(Accounts!$D$5:$D$336,MATCH(B817,Accounts!$A$5:$A$336,0))</f>
        <v>Priority</v>
      </c>
      <c r="R817" s="7" t="n">
        <f aca="false">INDEX(Inputs!$B$11:$B$16,MATCH(E817,Inputs!$A$11:$A$16,0))</f>
        <v>25</v>
      </c>
      <c r="S817" s="27" t="n">
        <f aca="false">IF(F817="",0,F817)*R817/100</f>
        <v>0</v>
      </c>
      <c r="T817" s="7" t="n">
        <f aca="false">Inputs!$B$4-J817</f>
        <v>25</v>
      </c>
      <c r="U817" s="7" t="n">
        <f aca="false">IF(OR(F817="",F817=0),1,0)</f>
        <v>1</v>
      </c>
      <c r="V817" s="7" t="n">
        <f aca="false">IF(K817="",1,0)</f>
        <v>0</v>
      </c>
      <c r="W817" s="7" t="n">
        <f aca="false">IF(AND(O817=1,K817&lt;&gt;"",COUNTIFS(Owners!$A$5:$A$32,K817,Owners!$E$5:$E$32,"No")&gt;0),1,0)</f>
        <v>1</v>
      </c>
      <c r="X817" s="7" t="n">
        <f aca="false">IF(AND(O817=1,I817&lt;Inputs!$B$4),1,0)</f>
        <v>0</v>
      </c>
      <c r="Y817" s="7" t="n">
        <f aca="false">IF(AND(O817=1,T817&gt;Inputs!$B$5),1,0)</f>
        <v>0</v>
      </c>
      <c r="Z817" s="7" t="n">
        <f aca="false">IF(AND(O817=1,G817&lt;&gt;R817),1,0)</f>
        <v>0</v>
      </c>
      <c r="AA817" s="7" t="n">
        <f aca="false">IF(AND(O817=1,M817=""),1,0)</f>
        <v>0</v>
      </c>
      <c r="AB817" s="7" t="n">
        <f aca="false">IF(AND(E817="Closed Lost",N817=""),1,0)</f>
        <v>0</v>
      </c>
      <c r="AC817" s="7" t="n">
        <f aca="false">SUM(U817:AB817)</f>
        <v>2</v>
      </c>
      <c r="AD817" s="7" t="n">
        <f aca="false">IF(AC817=0,1,0)</f>
        <v>0</v>
      </c>
      <c r="AE817" s="7" t="n">
        <f aca="false">IF(AND(O817=1,I817&gt;=Inputs!$B$6,I817&lt;=Inputs!$B$7),1,0)</f>
        <v>1</v>
      </c>
      <c r="AF817" s="7" t="n">
        <f aca="false">IF(AND(E817="Closed Won",I817&gt;=Inputs!$B$6,I817&lt;=Inputs!$B$4),1,0)</f>
        <v>0</v>
      </c>
      <c r="AG817" s="7" t="n">
        <f aca="false">IF(AND(O817=0,I817&gt;Inputs!$B$4-Inputs!$B$8,I817&lt;=Inputs!$B$4),1,0)</f>
        <v>0</v>
      </c>
      <c r="AH817" s="7" t="n">
        <f aca="false">I817-H817</f>
        <v>149</v>
      </c>
    </row>
    <row r="818" customFormat="false" ht="15" hidden="false" customHeight="false" outlineLevel="0" collapsed="false">
      <c r="A818" s="16" t="s">
        <v>2328</v>
      </c>
      <c r="B818" s="16" t="s">
        <v>72</v>
      </c>
      <c r="C818" s="16" t="s">
        <v>2329</v>
      </c>
      <c r="D818" s="16" t="s">
        <v>167</v>
      </c>
      <c r="E818" s="16" t="s">
        <v>531</v>
      </c>
      <c r="F818" s="26" t="n">
        <v>800000</v>
      </c>
      <c r="G818" s="25" t="n">
        <v>0</v>
      </c>
      <c r="H818" s="22" t="n">
        <v>45957</v>
      </c>
      <c r="I818" s="22" t="n">
        <v>46087</v>
      </c>
      <c r="J818" s="22" t="n">
        <v>46087</v>
      </c>
      <c r="K818" s="16" t="s">
        <v>583</v>
      </c>
      <c r="L818" s="16" t="s">
        <v>574</v>
      </c>
      <c r="M818" s="16"/>
      <c r="N818" s="16" t="s">
        <v>697</v>
      </c>
      <c r="O818" s="7" t="n">
        <f aca="false">IF(OR(E818="Closed Won",E818="Closed Lost"),0,1)</f>
        <v>0</v>
      </c>
      <c r="P818" s="17" t="str">
        <f aca="false">INDEX(Accounts!$K$5:$K$336,MATCH(B818,Accounts!$A$5:$A$336,0))</f>
        <v>Consumer &amp; Retail</v>
      </c>
      <c r="Q818" s="17" t="str">
        <f aca="false">INDEX(Accounts!$D$5:$D$336,MATCH(B818,Accounts!$A$5:$A$336,0))</f>
        <v>Priority</v>
      </c>
      <c r="R818" s="7" t="n">
        <f aca="false">INDEX(Inputs!$B$11:$B$16,MATCH(E818,Inputs!$A$11:$A$16,0))</f>
        <v>0</v>
      </c>
      <c r="S818" s="27" t="n">
        <f aca="false">IF(F818="",0,F818)*R818/100</f>
        <v>0</v>
      </c>
      <c r="T818" s="7" t="n">
        <f aca="false">Inputs!$B$4-J818</f>
        <v>227</v>
      </c>
      <c r="U818" s="7" t="n">
        <f aca="false">IF(OR(F818="",F818=0),1,0)</f>
        <v>0</v>
      </c>
      <c r="V818" s="7" t="n">
        <f aca="false">IF(K818="",1,0)</f>
        <v>0</v>
      </c>
      <c r="W818" s="7" t="n">
        <f aca="false">IF(AND(O818=1,K818&lt;&gt;"",COUNTIFS(Owners!$A$5:$A$32,K818,Owners!$E$5:$E$32,"No")&gt;0),1,0)</f>
        <v>0</v>
      </c>
      <c r="X818" s="7" t="n">
        <f aca="false">IF(AND(O818=1,I818&lt;Inputs!$B$4),1,0)</f>
        <v>0</v>
      </c>
      <c r="Y818" s="7" t="n">
        <f aca="false">IF(AND(O818=1,T818&gt;Inputs!$B$5),1,0)</f>
        <v>0</v>
      </c>
      <c r="Z818" s="7" t="n">
        <f aca="false">IF(AND(O818=1,G818&lt;&gt;R818),1,0)</f>
        <v>0</v>
      </c>
      <c r="AA818" s="7" t="n">
        <f aca="false">IF(AND(O818=1,M818=""),1,0)</f>
        <v>0</v>
      </c>
      <c r="AB818" s="7" t="n">
        <f aca="false">IF(AND(E818="Closed Lost",N818=""),1,0)</f>
        <v>0</v>
      </c>
      <c r="AC818" s="7" t="n">
        <f aca="false">SUM(U818:AB818)</f>
        <v>0</v>
      </c>
      <c r="AD818" s="7" t="n">
        <f aca="false">IF(AC818=0,1,0)</f>
        <v>1</v>
      </c>
      <c r="AE818" s="7" t="n">
        <f aca="false">IF(AND(O818=1,I818&gt;=Inputs!$B$6,I818&lt;=Inputs!$B$7),1,0)</f>
        <v>0</v>
      </c>
      <c r="AF818" s="7" t="n">
        <f aca="false">IF(AND(E818="Closed Won",I818&gt;=Inputs!$B$6,I818&lt;=Inputs!$B$4),1,0)</f>
        <v>0</v>
      </c>
      <c r="AG818" s="7" t="n">
        <f aca="false">IF(AND(O818=0,I818&gt;Inputs!$B$4-Inputs!$B$8,I818&lt;=Inputs!$B$4),1,0)</f>
        <v>1</v>
      </c>
      <c r="AH818" s="7" t="n">
        <f aca="false">I818-H818</f>
        <v>130</v>
      </c>
    </row>
    <row r="819" customFormat="false" ht="15" hidden="false" customHeight="false" outlineLevel="0" collapsed="false">
      <c r="A819" s="16" t="s">
        <v>2330</v>
      </c>
      <c r="B819" s="16" t="s">
        <v>681</v>
      </c>
      <c r="C819" s="16" t="s">
        <v>2331</v>
      </c>
      <c r="D819" s="16" t="s">
        <v>165</v>
      </c>
      <c r="E819" s="16" t="s">
        <v>530</v>
      </c>
      <c r="F819" s="26" t="n">
        <v>4341000</v>
      </c>
      <c r="G819" s="25" t="n">
        <v>100</v>
      </c>
      <c r="H819" s="22" t="n">
        <v>46160</v>
      </c>
      <c r="I819" s="22" t="n">
        <v>46298</v>
      </c>
      <c r="J819" s="22" t="n">
        <v>46298</v>
      </c>
      <c r="K819" s="16" t="s">
        <v>880</v>
      </c>
      <c r="L819" s="16" t="s">
        <v>592</v>
      </c>
      <c r="M819" s="16"/>
      <c r="N819" s="16"/>
      <c r="O819" s="7" t="n">
        <f aca="false">IF(OR(E819="Closed Won",E819="Closed Lost"),0,1)</f>
        <v>0</v>
      </c>
      <c r="P819" s="17" t="str">
        <f aca="false">INDEX(Accounts!$K$5:$K$336,MATCH(B819,Accounts!$A$5:$A$336,0))</f>
        <v>Real Estate &amp; Infrastructure</v>
      </c>
      <c r="Q819" s="17" t="str">
        <f aca="false">INDEX(Accounts!$D$5:$D$336,MATCH(B819,Accounts!$A$5:$A$336,0))</f>
        <v>Key</v>
      </c>
      <c r="R819" s="7" t="n">
        <f aca="false">INDEX(Inputs!$B$11:$B$16,MATCH(E819,Inputs!$A$11:$A$16,0))</f>
        <v>100</v>
      </c>
      <c r="S819" s="27" t="n">
        <f aca="false">IF(F819="",0,F819)*R819/100</f>
        <v>4341000</v>
      </c>
      <c r="T819" s="7" t="n">
        <f aca="false">Inputs!$B$4-J819</f>
        <v>16</v>
      </c>
      <c r="U819" s="7" t="n">
        <f aca="false">IF(OR(F819="",F819=0),1,0)</f>
        <v>0</v>
      </c>
      <c r="V819" s="7" t="n">
        <f aca="false">IF(K819="",1,0)</f>
        <v>0</v>
      </c>
      <c r="W819" s="7" t="n">
        <f aca="false">IF(AND(O819=1,K819&lt;&gt;"",COUNTIFS(Owners!$A$5:$A$32,K819,Owners!$E$5:$E$32,"No")&gt;0),1,0)</f>
        <v>0</v>
      </c>
      <c r="X819" s="7" t="n">
        <f aca="false">IF(AND(O819=1,I819&lt;Inputs!$B$4),1,0)</f>
        <v>0</v>
      </c>
      <c r="Y819" s="7" t="n">
        <f aca="false">IF(AND(O819=1,T819&gt;Inputs!$B$5),1,0)</f>
        <v>0</v>
      </c>
      <c r="Z819" s="7" t="n">
        <f aca="false">IF(AND(O819=1,G819&lt;&gt;R819),1,0)</f>
        <v>0</v>
      </c>
      <c r="AA819" s="7" t="n">
        <f aca="false">IF(AND(O819=1,M819=""),1,0)</f>
        <v>0</v>
      </c>
      <c r="AB819" s="7" t="n">
        <f aca="false">IF(AND(E819="Closed Lost",N819=""),1,0)</f>
        <v>0</v>
      </c>
      <c r="AC819" s="7" t="n">
        <f aca="false">SUM(U819:AB819)</f>
        <v>0</v>
      </c>
      <c r="AD819" s="7" t="n">
        <f aca="false">IF(AC819=0,1,0)</f>
        <v>1</v>
      </c>
      <c r="AE819" s="7" t="n">
        <f aca="false">IF(AND(O819=1,I819&gt;=Inputs!$B$6,I819&lt;=Inputs!$B$7),1,0)</f>
        <v>0</v>
      </c>
      <c r="AF819" s="7" t="n">
        <f aca="false">IF(AND(E819="Closed Won",I819&gt;=Inputs!$B$6,I819&lt;=Inputs!$B$4),1,0)</f>
        <v>1</v>
      </c>
      <c r="AG819" s="7" t="n">
        <f aca="false">IF(AND(O819=0,I819&gt;Inputs!$B$4-Inputs!$B$8,I819&lt;=Inputs!$B$4),1,0)</f>
        <v>1</v>
      </c>
      <c r="AH819" s="7" t="n">
        <f aca="false">I819-H819</f>
        <v>138</v>
      </c>
    </row>
    <row r="820" customFormat="false" ht="15" hidden="false" customHeight="false" outlineLevel="0" collapsed="false">
      <c r="A820" s="16" t="s">
        <v>2332</v>
      </c>
      <c r="B820" s="16" t="s">
        <v>586</v>
      </c>
      <c r="C820" s="16" t="s">
        <v>2333</v>
      </c>
      <c r="D820" s="16" t="s">
        <v>162</v>
      </c>
      <c r="E820" s="16" t="s">
        <v>527</v>
      </c>
      <c r="F820" s="26" t="n">
        <v>7438000</v>
      </c>
      <c r="G820" s="25" t="n">
        <v>25</v>
      </c>
      <c r="H820" s="22" t="n">
        <v>46298</v>
      </c>
      <c r="I820" s="22" t="n">
        <v>46573</v>
      </c>
      <c r="J820" s="22" t="n">
        <v>46293</v>
      </c>
      <c r="K820" s="16" t="s">
        <v>573</v>
      </c>
      <c r="L820" s="16" t="s">
        <v>592</v>
      </c>
      <c r="M820" s="16" t="s">
        <v>569</v>
      </c>
      <c r="N820" s="16"/>
      <c r="O820" s="7" t="n">
        <f aca="false">IF(OR(E820="Closed Won",E820="Closed Lost"),0,1)</f>
        <v>1</v>
      </c>
      <c r="P820" s="17" t="str">
        <f aca="false">INDEX(Accounts!$K$5:$K$336,MATCH(B820,Accounts!$A$5:$A$336,0))</f>
        <v>Technology, Media &amp; Telecom</v>
      </c>
      <c r="Q820" s="17" t="str">
        <f aca="false">INDEX(Accounts!$D$5:$D$336,MATCH(B820,Accounts!$A$5:$A$336,0))</f>
        <v>Standard</v>
      </c>
      <c r="R820" s="7" t="n">
        <f aca="false">INDEX(Inputs!$B$11:$B$16,MATCH(E820,Inputs!$A$11:$A$16,0))</f>
        <v>25</v>
      </c>
      <c r="S820" s="27" t="n">
        <f aca="false">IF(F820="",0,F820)*R820/100</f>
        <v>1859500</v>
      </c>
      <c r="T820" s="7" t="n">
        <f aca="false">Inputs!$B$4-J820</f>
        <v>21</v>
      </c>
      <c r="U820" s="7" t="n">
        <f aca="false">IF(OR(F820="",F820=0),1,0)</f>
        <v>0</v>
      </c>
      <c r="V820" s="7" t="n">
        <f aca="false">IF(K820="",1,0)</f>
        <v>0</v>
      </c>
      <c r="W820" s="7" t="n">
        <f aca="false">IF(AND(O820=1,K820&lt;&gt;"",COUNTIFS(Owners!$A$5:$A$32,K820,Owners!$E$5:$E$32,"No")&gt;0),1,0)</f>
        <v>0</v>
      </c>
      <c r="X820" s="7" t="n">
        <f aca="false">IF(AND(O820=1,I820&lt;Inputs!$B$4),1,0)</f>
        <v>0</v>
      </c>
      <c r="Y820" s="7" t="n">
        <f aca="false">IF(AND(O820=1,T820&gt;Inputs!$B$5),1,0)</f>
        <v>0</v>
      </c>
      <c r="Z820" s="7" t="n">
        <f aca="false">IF(AND(O820=1,G820&lt;&gt;R820),1,0)</f>
        <v>0</v>
      </c>
      <c r="AA820" s="7" t="n">
        <f aca="false">IF(AND(O820=1,M820=""),1,0)</f>
        <v>0</v>
      </c>
      <c r="AB820" s="7" t="n">
        <f aca="false">IF(AND(E820="Closed Lost",N820=""),1,0)</f>
        <v>0</v>
      </c>
      <c r="AC820" s="7" t="n">
        <f aca="false">SUM(U820:AB820)</f>
        <v>0</v>
      </c>
      <c r="AD820" s="7" t="n">
        <f aca="false">IF(AC820=0,1,0)</f>
        <v>1</v>
      </c>
      <c r="AE820" s="7" t="n">
        <f aca="false">IF(AND(O820=1,I820&gt;=Inputs!$B$6,I820&lt;=Inputs!$B$7),1,0)</f>
        <v>0</v>
      </c>
      <c r="AF820" s="7" t="n">
        <f aca="false">IF(AND(E820="Closed Won",I820&gt;=Inputs!$B$6,I820&lt;=Inputs!$B$4),1,0)</f>
        <v>0</v>
      </c>
      <c r="AG820" s="7" t="n">
        <f aca="false">IF(AND(O820=0,I820&gt;Inputs!$B$4-Inputs!$B$8,I820&lt;=Inputs!$B$4),1,0)</f>
        <v>0</v>
      </c>
      <c r="AH820" s="7" t="n">
        <f aca="false">I820-H820</f>
        <v>275</v>
      </c>
    </row>
    <row r="821" customFormat="false" ht="15" hidden="false" customHeight="false" outlineLevel="0" collapsed="false">
      <c r="A821" s="16" t="s">
        <v>2334</v>
      </c>
      <c r="B821" s="16" t="s">
        <v>1755</v>
      </c>
      <c r="C821" s="16" t="s">
        <v>2335</v>
      </c>
      <c r="D821" s="16" t="s">
        <v>167</v>
      </c>
      <c r="E821" s="16" t="s">
        <v>528</v>
      </c>
      <c r="F821" s="26" t="n">
        <v>2808000</v>
      </c>
      <c r="G821" s="25" t="n">
        <v>50</v>
      </c>
      <c r="H821" s="22" t="n">
        <v>46296</v>
      </c>
      <c r="I821" s="22" t="n">
        <v>46476</v>
      </c>
      <c r="J821" s="22" t="n">
        <v>46226</v>
      </c>
      <c r="K821" s="16" t="s">
        <v>583</v>
      </c>
      <c r="L821" s="16" t="s">
        <v>568</v>
      </c>
      <c r="M821" s="16" t="s">
        <v>593</v>
      </c>
      <c r="N821" s="16"/>
      <c r="O821" s="7" t="n">
        <f aca="false">IF(OR(E821="Closed Won",E821="Closed Lost"),0,1)</f>
        <v>1</v>
      </c>
      <c r="P821" s="17" t="str">
        <f aca="false">INDEX(Accounts!$K$5:$K$336,MATCH(B821,Accounts!$A$5:$A$336,0))</f>
        <v>Real Estate &amp; Infrastructure</v>
      </c>
      <c r="Q821" s="17" t="str">
        <f aca="false">INDEX(Accounts!$D$5:$D$336,MATCH(B821,Accounts!$A$5:$A$336,0))</f>
        <v>Standard</v>
      </c>
      <c r="R821" s="7" t="n">
        <f aca="false">INDEX(Inputs!$B$11:$B$16,MATCH(E821,Inputs!$A$11:$A$16,0))</f>
        <v>50</v>
      </c>
      <c r="S821" s="27" t="n">
        <f aca="false">IF(F821="",0,F821)*R821/100</f>
        <v>1404000</v>
      </c>
      <c r="T821" s="7" t="n">
        <f aca="false">Inputs!$B$4-J821</f>
        <v>88</v>
      </c>
      <c r="U821" s="7" t="n">
        <f aca="false">IF(OR(F821="",F821=0),1,0)</f>
        <v>0</v>
      </c>
      <c r="V821" s="7" t="n">
        <f aca="false">IF(K821="",1,0)</f>
        <v>0</v>
      </c>
      <c r="W821" s="7" t="n">
        <f aca="false">IF(AND(O821=1,K821&lt;&gt;"",COUNTIFS(Owners!$A$5:$A$32,K821,Owners!$E$5:$E$32,"No")&gt;0),1,0)</f>
        <v>1</v>
      </c>
      <c r="X821" s="7" t="n">
        <f aca="false">IF(AND(O821=1,I821&lt;Inputs!$B$4),1,0)</f>
        <v>0</v>
      </c>
      <c r="Y821" s="7" t="n">
        <f aca="false">IF(AND(O821=1,T821&gt;Inputs!$B$5),1,0)</f>
        <v>1</v>
      </c>
      <c r="Z821" s="7" t="n">
        <f aca="false">IF(AND(O821=1,G821&lt;&gt;R821),1,0)</f>
        <v>0</v>
      </c>
      <c r="AA821" s="7" t="n">
        <f aca="false">IF(AND(O821=1,M821=""),1,0)</f>
        <v>0</v>
      </c>
      <c r="AB821" s="7" t="n">
        <f aca="false">IF(AND(E821="Closed Lost",N821=""),1,0)</f>
        <v>0</v>
      </c>
      <c r="AC821" s="7" t="n">
        <f aca="false">SUM(U821:AB821)</f>
        <v>2</v>
      </c>
      <c r="AD821" s="7" t="n">
        <f aca="false">IF(AC821=0,1,0)</f>
        <v>0</v>
      </c>
      <c r="AE821" s="7" t="n">
        <f aca="false">IF(AND(O821=1,I821&gt;=Inputs!$B$6,I821&lt;=Inputs!$B$7),1,0)</f>
        <v>1</v>
      </c>
      <c r="AF821" s="7" t="n">
        <f aca="false">IF(AND(E821="Closed Won",I821&gt;=Inputs!$B$6,I821&lt;=Inputs!$B$4),1,0)</f>
        <v>0</v>
      </c>
      <c r="AG821" s="7" t="n">
        <f aca="false">IF(AND(O821=0,I821&gt;Inputs!$B$4-Inputs!$B$8,I821&lt;=Inputs!$B$4),1,0)</f>
        <v>0</v>
      </c>
      <c r="AH821" s="7" t="n">
        <f aca="false">I821-H821</f>
        <v>180</v>
      </c>
    </row>
    <row r="822" customFormat="false" ht="15" hidden="false" customHeight="false" outlineLevel="0" collapsed="false">
      <c r="A822" s="16" t="s">
        <v>2336</v>
      </c>
      <c r="B822" s="16" t="s">
        <v>87</v>
      </c>
      <c r="C822" s="16" t="s">
        <v>2337</v>
      </c>
      <c r="D822" s="16" t="s">
        <v>158</v>
      </c>
      <c r="E822" s="16" t="s">
        <v>531</v>
      </c>
      <c r="F822" s="26" t="n">
        <v>28709000</v>
      </c>
      <c r="G822" s="25" t="n">
        <v>0</v>
      </c>
      <c r="H822" s="22" t="n">
        <v>45977</v>
      </c>
      <c r="I822" s="22" t="n">
        <v>46191</v>
      </c>
      <c r="J822" s="22" t="n">
        <v>46191</v>
      </c>
      <c r="K822" s="16" t="s">
        <v>640</v>
      </c>
      <c r="L822" s="16" t="s">
        <v>584</v>
      </c>
      <c r="M822" s="16"/>
      <c r="N822" s="16" t="s">
        <v>579</v>
      </c>
      <c r="O822" s="7" t="n">
        <f aca="false">IF(OR(E822="Closed Won",E822="Closed Lost"),0,1)</f>
        <v>0</v>
      </c>
      <c r="P822" s="17" t="str">
        <f aca="false">INDEX(Accounts!$K$5:$K$336,MATCH(B822,Accounts!$A$5:$A$336,0))</f>
        <v>Unassigned</v>
      </c>
      <c r="Q822" s="17" t="str">
        <f aca="false">INDEX(Accounts!$D$5:$D$336,MATCH(B822,Accounts!$A$5:$A$336,0))</f>
        <v>Priority</v>
      </c>
      <c r="R822" s="7" t="n">
        <f aca="false">INDEX(Inputs!$B$11:$B$16,MATCH(E822,Inputs!$A$11:$A$16,0))</f>
        <v>0</v>
      </c>
      <c r="S822" s="27" t="n">
        <f aca="false">IF(F822="",0,F822)*R822/100</f>
        <v>0</v>
      </c>
      <c r="T822" s="7" t="n">
        <f aca="false">Inputs!$B$4-J822</f>
        <v>123</v>
      </c>
      <c r="U822" s="7" t="n">
        <f aca="false">IF(OR(F822="",F822=0),1,0)</f>
        <v>0</v>
      </c>
      <c r="V822" s="7" t="n">
        <f aca="false">IF(K822="",1,0)</f>
        <v>0</v>
      </c>
      <c r="W822" s="7" t="n">
        <f aca="false">IF(AND(O822=1,K822&lt;&gt;"",COUNTIFS(Owners!$A$5:$A$32,K822,Owners!$E$5:$E$32,"No")&gt;0),1,0)</f>
        <v>0</v>
      </c>
      <c r="X822" s="7" t="n">
        <f aca="false">IF(AND(O822=1,I822&lt;Inputs!$B$4),1,0)</f>
        <v>0</v>
      </c>
      <c r="Y822" s="7" t="n">
        <f aca="false">IF(AND(O822=1,T822&gt;Inputs!$B$5),1,0)</f>
        <v>0</v>
      </c>
      <c r="Z822" s="7" t="n">
        <f aca="false">IF(AND(O822=1,G822&lt;&gt;R822),1,0)</f>
        <v>0</v>
      </c>
      <c r="AA822" s="7" t="n">
        <f aca="false">IF(AND(O822=1,M822=""),1,0)</f>
        <v>0</v>
      </c>
      <c r="AB822" s="7" t="n">
        <f aca="false">IF(AND(E822="Closed Lost",N822=""),1,0)</f>
        <v>0</v>
      </c>
      <c r="AC822" s="7" t="n">
        <f aca="false">SUM(U822:AB822)</f>
        <v>0</v>
      </c>
      <c r="AD822" s="7" t="n">
        <f aca="false">IF(AC822=0,1,0)</f>
        <v>1</v>
      </c>
      <c r="AE822" s="7" t="n">
        <f aca="false">IF(AND(O822=1,I822&gt;=Inputs!$B$6,I822&lt;=Inputs!$B$7),1,0)</f>
        <v>0</v>
      </c>
      <c r="AF822" s="7" t="n">
        <f aca="false">IF(AND(E822="Closed Won",I822&gt;=Inputs!$B$6,I822&lt;=Inputs!$B$4),1,0)</f>
        <v>0</v>
      </c>
      <c r="AG822" s="7" t="n">
        <f aca="false">IF(AND(O822=0,I822&gt;Inputs!$B$4-Inputs!$B$8,I822&lt;=Inputs!$B$4),1,0)</f>
        <v>1</v>
      </c>
      <c r="AH822" s="7" t="n">
        <f aca="false">I822-H822</f>
        <v>214</v>
      </c>
    </row>
    <row r="823" customFormat="false" ht="15" hidden="false" customHeight="false" outlineLevel="0" collapsed="false">
      <c r="A823" s="16" t="s">
        <v>2338</v>
      </c>
      <c r="B823" s="16" t="s">
        <v>182</v>
      </c>
      <c r="C823" s="16" t="s">
        <v>2339</v>
      </c>
      <c r="D823" s="16" t="s">
        <v>177</v>
      </c>
      <c r="E823" s="16" t="s">
        <v>527</v>
      </c>
      <c r="F823" s="26" t="n">
        <v>4851000</v>
      </c>
      <c r="G823" s="25" t="n">
        <v>25</v>
      </c>
      <c r="H823" s="22" t="n">
        <v>46305</v>
      </c>
      <c r="I823" s="22" t="n">
        <v>46543</v>
      </c>
      <c r="J823" s="22" t="n">
        <v>46290</v>
      </c>
      <c r="K823" s="16" t="s">
        <v>860</v>
      </c>
      <c r="L823" s="16" t="s">
        <v>584</v>
      </c>
      <c r="M823" s="16" t="s">
        <v>601</v>
      </c>
      <c r="N823" s="16"/>
      <c r="O823" s="7" t="n">
        <f aca="false">IF(OR(E823="Closed Won",E823="Closed Lost"),0,1)</f>
        <v>1</v>
      </c>
      <c r="P823" s="17" t="str">
        <f aca="false">INDEX(Accounts!$K$5:$K$336,MATCH(B823,Accounts!$A$5:$A$336,0))</f>
        <v>Public Sector &amp; Development</v>
      </c>
      <c r="Q823" s="17" t="str">
        <f aca="false">INDEX(Accounts!$D$5:$D$336,MATCH(B823,Accounts!$A$5:$A$336,0))</f>
        <v>Key</v>
      </c>
      <c r="R823" s="7" t="n">
        <f aca="false">INDEX(Inputs!$B$11:$B$16,MATCH(E823,Inputs!$A$11:$A$16,0))</f>
        <v>25</v>
      </c>
      <c r="S823" s="27" t="n">
        <f aca="false">IF(F823="",0,F823)*R823/100</f>
        <v>1212750</v>
      </c>
      <c r="T823" s="7" t="n">
        <f aca="false">Inputs!$B$4-J823</f>
        <v>24</v>
      </c>
      <c r="U823" s="7" t="n">
        <f aca="false">IF(OR(F823="",F823=0),1,0)</f>
        <v>0</v>
      </c>
      <c r="V823" s="7" t="n">
        <f aca="false">IF(K823="",1,0)</f>
        <v>0</v>
      </c>
      <c r="W823" s="7" t="n">
        <f aca="false">IF(AND(O823=1,K823&lt;&gt;"",COUNTIFS(Owners!$A$5:$A$32,K823,Owners!$E$5:$E$32,"No")&gt;0),1,0)</f>
        <v>0</v>
      </c>
      <c r="X823" s="7" t="n">
        <f aca="false">IF(AND(O823=1,I823&lt;Inputs!$B$4),1,0)</f>
        <v>0</v>
      </c>
      <c r="Y823" s="7" t="n">
        <f aca="false">IF(AND(O823=1,T823&gt;Inputs!$B$5),1,0)</f>
        <v>0</v>
      </c>
      <c r="Z823" s="7" t="n">
        <f aca="false">IF(AND(O823=1,G823&lt;&gt;R823),1,0)</f>
        <v>0</v>
      </c>
      <c r="AA823" s="7" t="n">
        <f aca="false">IF(AND(O823=1,M823=""),1,0)</f>
        <v>0</v>
      </c>
      <c r="AB823" s="7" t="n">
        <f aca="false">IF(AND(E823="Closed Lost",N823=""),1,0)</f>
        <v>0</v>
      </c>
      <c r="AC823" s="7" t="n">
        <f aca="false">SUM(U823:AB823)</f>
        <v>0</v>
      </c>
      <c r="AD823" s="7" t="n">
        <f aca="false">IF(AC823=0,1,0)</f>
        <v>1</v>
      </c>
      <c r="AE823" s="7" t="n">
        <f aca="false">IF(AND(O823=1,I823&gt;=Inputs!$B$6,I823&lt;=Inputs!$B$7),1,0)</f>
        <v>1</v>
      </c>
      <c r="AF823" s="7" t="n">
        <f aca="false">IF(AND(E823="Closed Won",I823&gt;=Inputs!$B$6,I823&lt;=Inputs!$B$4),1,0)</f>
        <v>0</v>
      </c>
      <c r="AG823" s="7" t="n">
        <f aca="false">IF(AND(O823=0,I823&gt;Inputs!$B$4-Inputs!$B$8,I823&lt;=Inputs!$B$4),1,0)</f>
        <v>0</v>
      </c>
      <c r="AH823" s="7" t="n">
        <f aca="false">I823-H823</f>
        <v>238</v>
      </c>
    </row>
    <row r="824" customFormat="false" ht="15" hidden="false" customHeight="false" outlineLevel="0" collapsed="false">
      <c r="A824" s="16" t="s">
        <v>2340</v>
      </c>
      <c r="B824" s="16" t="s">
        <v>80</v>
      </c>
      <c r="C824" s="16" t="s">
        <v>924</v>
      </c>
      <c r="D824" s="16" t="s">
        <v>165</v>
      </c>
      <c r="E824" s="16" t="s">
        <v>527</v>
      </c>
      <c r="F824" s="26" t="n">
        <v>26800000</v>
      </c>
      <c r="G824" s="25" t="n">
        <v>25</v>
      </c>
      <c r="H824" s="22" t="n">
        <v>46170</v>
      </c>
      <c r="I824" s="22" t="n">
        <v>46424</v>
      </c>
      <c r="J824" s="22" t="n">
        <v>46286</v>
      </c>
      <c r="K824" s="16" t="s">
        <v>765</v>
      </c>
      <c r="L824" s="16" t="s">
        <v>500</v>
      </c>
      <c r="M824" s="16" t="s">
        <v>613</v>
      </c>
      <c r="N824" s="16"/>
      <c r="O824" s="7" t="n">
        <f aca="false">IF(OR(E824="Closed Won",E824="Closed Lost"),0,1)</f>
        <v>1</v>
      </c>
      <c r="P824" s="17" t="str">
        <f aca="false">INDEX(Accounts!$K$5:$K$336,MATCH(B824,Accounts!$A$5:$A$336,0))</f>
        <v>Public Sector &amp; Development</v>
      </c>
      <c r="Q824" s="17" t="str">
        <f aca="false">INDEX(Accounts!$D$5:$D$336,MATCH(B824,Accounts!$A$5:$A$336,0))</f>
        <v>Priority</v>
      </c>
      <c r="R824" s="7" t="n">
        <f aca="false">INDEX(Inputs!$B$11:$B$16,MATCH(E824,Inputs!$A$11:$A$16,0))</f>
        <v>25</v>
      </c>
      <c r="S824" s="27" t="n">
        <f aca="false">IF(F824="",0,F824)*R824/100</f>
        <v>6700000</v>
      </c>
      <c r="T824" s="7" t="n">
        <f aca="false">Inputs!$B$4-J824</f>
        <v>28</v>
      </c>
      <c r="U824" s="7" t="n">
        <f aca="false">IF(OR(F824="",F824=0),1,0)</f>
        <v>0</v>
      </c>
      <c r="V824" s="7" t="n">
        <f aca="false">IF(K824="",1,0)</f>
        <v>0</v>
      </c>
      <c r="W824" s="7" t="n">
        <f aca="false">IF(AND(O824=1,K824&lt;&gt;"",COUNTIFS(Owners!$A$5:$A$32,K824,Owners!$E$5:$E$32,"No")&gt;0),1,0)</f>
        <v>0</v>
      </c>
      <c r="X824" s="7" t="n">
        <f aca="false">IF(AND(O824=1,I824&lt;Inputs!$B$4),1,0)</f>
        <v>0</v>
      </c>
      <c r="Y824" s="7" t="n">
        <f aca="false">IF(AND(O824=1,T824&gt;Inputs!$B$5),1,0)</f>
        <v>0</v>
      </c>
      <c r="Z824" s="7" t="n">
        <f aca="false">IF(AND(O824=1,G824&lt;&gt;R824),1,0)</f>
        <v>0</v>
      </c>
      <c r="AA824" s="7" t="n">
        <f aca="false">IF(AND(O824=1,M824=""),1,0)</f>
        <v>0</v>
      </c>
      <c r="AB824" s="7" t="n">
        <f aca="false">IF(AND(E824="Closed Lost",N824=""),1,0)</f>
        <v>0</v>
      </c>
      <c r="AC824" s="7" t="n">
        <f aca="false">SUM(U824:AB824)</f>
        <v>0</v>
      </c>
      <c r="AD824" s="7" t="n">
        <f aca="false">IF(AC824=0,1,0)</f>
        <v>1</v>
      </c>
      <c r="AE824" s="7" t="n">
        <f aca="false">IF(AND(O824=1,I824&gt;=Inputs!$B$6,I824&lt;=Inputs!$B$7),1,0)</f>
        <v>1</v>
      </c>
      <c r="AF824" s="7" t="n">
        <f aca="false">IF(AND(E824="Closed Won",I824&gt;=Inputs!$B$6,I824&lt;=Inputs!$B$4),1,0)</f>
        <v>0</v>
      </c>
      <c r="AG824" s="7" t="n">
        <f aca="false">IF(AND(O824=0,I824&gt;Inputs!$B$4-Inputs!$B$8,I824&lt;=Inputs!$B$4),1,0)</f>
        <v>0</v>
      </c>
      <c r="AH824" s="7" t="n">
        <f aca="false">I824-H824</f>
        <v>254</v>
      </c>
    </row>
    <row r="825" customFormat="false" ht="15" hidden="false" customHeight="false" outlineLevel="0" collapsed="false">
      <c r="A825" s="16" t="s">
        <v>2341</v>
      </c>
      <c r="B825" s="16" t="s">
        <v>57</v>
      </c>
      <c r="C825" s="16" t="s">
        <v>2342</v>
      </c>
      <c r="D825" s="16" t="s">
        <v>158</v>
      </c>
      <c r="E825" s="16" t="s">
        <v>531</v>
      </c>
      <c r="F825" s="26" t="n">
        <v>44716000</v>
      </c>
      <c r="G825" s="25" t="n">
        <v>0</v>
      </c>
      <c r="H825" s="22" t="n">
        <v>46105</v>
      </c>
      <c r="I825" s="22" t="n">
        <v>46178</v>
      </c>
      <c r="J825" s="22" t="n">
        <v>46178</v>
      </c>
      <c r="K825" s="16" t="s">
        <v>691</v>
      </c>
      <c r="L825" s="16" t="s">
        <v>584</v>
      </c>
      <c r="M825" s="16"/>
      <c r="N825" s="16" t="s">
        <v>610</v>
      </c>
      <c r="O825" s="7" t="n">
        <f aca="false">IF(OR(E825="Closed Won",E825="Closed Lost"),0,1)</f>
        <v>0</v>
      </c>
      <c r="P825" s="17" t="str">
        <f aca="false">INDEX(Accounts!$K$5:$K$336,MATCH(B825,Accounts!$A$5:$A$336,0))</f>
        <v>Financial Services</v>
      </c>
      <c r="Q825" s="17" t="str">
        <f aca="false">INDEX(Accounts!$D$5:$D$336,MATCH(B825,Accounts!$A$5:$A$336,0))</f>
        <v>Priority</v>
      </c>
      <c r="R825" s="7" t="n">
        <f aca="false">INDEX(Inputs!$B$11:$B$16,MATCH(E825,Inputs!$A$11:$A$16,0))</f>
        <v>0</v>
      </c>
      <c r="S825" s="27" t="n">
        <f aca="false">IF(F825="",0,F825)*R825/100</f>
        <v>0</v>
      </c>
      <c r="T825" s="7" t="n">
        <f aca="false">Inputs!$B$4-J825</f>
        <v>136</v>
      </c>
      <c r="U825" s="7" t="n">
        <f aca="false">IF(OR(F825="",F825=0),1,0)</f>
        <v>0</v>
      </c>
      <c r="V825" s="7" t="n">
        <f aca="false">IF(K825="",1,0)</f>
        <v>0</v>
      </c>
      <c r="W825" s="7" t="n">
        <f aca="false">IF(AND(O825=1,K825&lt;&gt;"",COUNTIFS(Owners!$A$5:$A$32,K825,Owners!$E$5:$E$32,"No")&gt;0),1,0)</f>
        <v>0</v>
      </c>
      <c r="X825" s="7" t="n">
        <f aca="false">IF(AND(O825=1,I825&lt;Inputs!$B$4),1,0)</f>
        <v>0</v>
      </c>
      <c r="Y825" s="7" t="n">
        <f aca="false">IF(AND(O825=1,T825&gt;Inputs!$B$5),1,0)</f>
        <v>0</v>
      </c>
      <c r="Z825" s="7" t="n">
        <f aca="false">IF(AND(O825=1,G825&lt;&gt;R825),1,0)</f>
        <v>0</v>
      </c>
      <c r="AA825" s="7" t="n">
        <f aca="false">IF(AND(O825=1,M825=""),1,0)</f>
        <v>0</v>
      </c>
      <c r="AB825" s="7" t="n">
        <f aca="false">IF(AND(E825="Closed Lost",N825=""),1,0)</f>
        <v>0</v>
      </c>
      <c r="AC825" s="7" t="n">
        <f aca="false">SUM(U825:AB825)</f>
        <v>0</v>
      </c>
      <c r="AD825" s="7" t="n">
        <f aca="false">IF(AC825=0,1,0)</f>
        <v>1</v>
      </c>
      <c r="AE825" s="7" t="n">
        <f aca="false">IF(AND(O825=1,I825&gt;=Inputs!$B$6,I825&lt;=Inputs!$B$7),1,0)</f>
        <v>0</v>
      </c>
      <c r="AF825" s="7" t="n">
        <f aca="false">IF(AND(E825="Closed Won",I825&gt;=Inputs!$B$6,I825&lt;=Inputs!$B$4),1,0)</f>
        <v>0</v>
      </c>
      <c r="AG825" s="7" t="n">
        <f aca="false">IF(AND(O825=0,I825&gt;Inputs!$B$4-Inputs!$B$8,I825&lt;=Inputs!$B$4),1,0)</f>
        <v>1</v>
      </c>
      <c r="AH825" s="7" t="n">
        <f aca="false">I825-H825</f>
        <v>73</v>
      </c>
    </row>
    <row r="826" customFormat="false" ht="15" hidden="false" customHeight="false" outlineLevel="0" collapsed="false">
      <c r="A826" s="16" t="s">
        <v>2343</v>
      </c>
      <c r="B826" s="16" t="s">
        <v>72</v>
      </c>
      <c r="C826" s="16" t="s">
        <v>2344</v>
      </c>
      <c r="D826" s="16" t="s">
        <v>162</v>
      </c>
      <c r="E826" s="16" t="s">
        <v>530</v>
      </c>
      <c r="F826" s="26" t="n">
        <v>7702000</v>
      </c>
      <c r="G826" s="25" t="n">
        <v>100</v>
      </c>
      <c r="H826" s="22" t="n">
        <v>45974</v>
      </c>
      <c r="I826" s="22" t="n">
        <v>46132</v>
      </c>
      <c r="J826" s="22" t="n">
        <v>46132</v>
      </c>
      <c r="K826" s="16" t="s">
        <v>654</v>
      </c>
      <c r="L826" s="16" t="s">
        <v>609</v>
      </c>
      <c r="M826" s="16"/>
      <c r="N826" s="16"/>
      <c r="O826" s="7" t="n">
        <f aca="false">IF(OR(E826="Closed Won",E826="Closed Lost"),0,1)</f>
        <v>0</v>
      </c>
      <c r="P826" s="17" t="str">
        <f aca="false">INDEX(Accounts!$K$5:$K$336,MATCH(B826,Accounts!$A$5:$A$336,0))</f>
        <v>Consumer &amp; Retail</v>
      </c>
      <c r="Q826" s="17" t="str">
        <f aca="false">INDEX(Accounts!$D$5:$D$336,MATCH(B826,Accounts!$A$5:$A$336,0))</f>
        <v>Priority</v>
      </c>
      <c r="R826" s="7" t="n">
        <f aca="false">INDEX(Inputs!$B$11:$B$16,MATCH(E826,Inputs!$A$11:$A$16,0))</f>
        <v>100</v>
      </c>
      <c r="S826" s="27" t="n">
        <f aca="false">IF(F826="",0,F826)*R826/100</f>
        <v>7702000</v>
      </c>
      <c r="T826" s="7" t="n">
        <f aca="false">Inputs!$B$4-J826</f>
        <v>182</v>
      </c>
      <c r="U826" s="7" t="n">
        <f aca="false">IF(OR(F826="",F826=0),1,0)</f>
        <v>0</v>
      </c>
      <c r="V826" s="7" t="n">
        <f aca="false">IF(K826="",1,0)</f>
        <v>0</v>
      </c>
      <c r="W826" s="7" t="n">
        <f aca="false">IF(AND(O826=1,K826&lt;&gt;"",COUNTIFS(Owners!$A$5:$A$32,K826,Owners!$E$5:$E$32,"No")&gt;0),1,0)</f>
        <v>0</v>
      </c>
      <c r="X826" s="7" t="n">
        <f aca="false">IF(AND(O826=1,I826&lt;Inputs!$B$4),1,0)</f>
        <v>0</v>
      </c>
      <c r="Y826" s="7" t="n">
        <f aca="false">IF(AND(O826=1,T826&gt;Inputs!$B$5),1,0)</f>
        <v>0</v>
      </c>
      <c r="Z826" s="7" t="n">
        <f aca="false">IF(AND(O826=1,G826&lt;&gt;R826),1,0)</f>
        <v>0</v>
      </c>
      <c r="AA826" s="7" t="n">
        <f aca="false">IF(AND(O826=1,M826=""),1,0)</f>
        <v>0</v>
      </c>
      <c r="AB826" s="7" t="n">
        <f aca="false">IF(AND(E826="Closed Lost",N826=""),1,0)</f>
        <v>0</v>
      </c>
      <c r="AC826" s="7" t="n">
        <f aca="false">SUM(U826:AB826)</f>
        <v>0</v>
      </c>
      <c r="AD826" s="7" t="n">
        <f aca="false">IF(AC826=0,1,0)</f>
        <v>1</v>
      </c>
      <c r="AE826" s="7" t="n">
        <f aca="false">IF(AND(O826=1,I826&gt;=Inputs!$B$6,I826&lt;=Inputs!$B$7),1,0)</f>
        <v>0</v>
      </c>
      <c r="AF826" s="7" t="n">
        <f aca="false">IF(AND(E826="Closed Won",I826&gt;=Inputs!$B$6,I826&lt;=Inputs!$B$4),1,0)</f>
        <v>0</v>
      </c>
      <c r="AG826" s="7" t="n">
        <f aca="false">IF(AND(O826=0,I826&gt;Inputs!$B$4-Inputs!$B$8,I826&lt;=Inputs!$B$4),1,0)</f>
        <v>1</v>
      </c>
      <c r="AH826" s="7" t="n">
        <f aca="false">I826-H826</f>
        <v>158</v>
      </c>
    </row>
    <row r="827" customFormat="false" ht="15" hidden="false" customHeight="false" outlineLevel="0" collapsed="false">
      <c r="A827" s="16" t="s">
        <v>2345</v>
      </c>
      <c r="B827" s="16" t="s">
        <v>1060</v>
      </c>
      <c r="C827" s="16" t="s">
        <v>2346</v>
      </c>
      <c r="D827" s="16" t="s">
        <v>177</v>
      </c>
      <c r="E827" s="16" t="s">
        <v>528</v>
      </c>
      <c r="F827" s="26" t="n">
        <v>50591000</v>
      </c>
      <c r="G827" s="25" t="n">
        <v>50</v>
      </c>
      <c r="H827" s="22" t="n">
        <v>46232</v>
      </c>
      <c r="I827" s="22" t="n">
        <v>46446</v>
      </c>
      <c r="J827" s="22" t="n">
        <v>46289</v>
      </c>
      <c r="K827" s="16" t="s">
        <v>880</v>
      </c>
      <c r="L827" s="16" t="s">
        <v>500</v>
      </c>
      <c r="M827" s="16" t="s">
        <v>613</v>
      </c>
      <c r="N827" s="16"/>
      <c r="O827" s="7" t="n">
        <f aca="false">IF(OR(E827="Closed Won",E827="Closed Lost"),0,1)</f>
        <v>1</v>
      </c>
      <c r="P827" s="17" t="str">
        <f aca="false">INDEX(Accounts!$K$5:$K$336,MATCH(B827,Accounts!$A$5:$A$336,0))</f>
        <v>Consumer &amp; Retail</v>
      </c>
      <c r="Q827" s="17" t="str">
        <f aca="false">INDEX(Accounts!$D$5:$D$336,MATCH(B827,Accounts!$A$5:$A$336,0))</f>
        <v>Standard</v>
      </c>
      <c r="R827" s="7" t="n">
        <f aca="false">INDEX(Inputs!$B$11:$B$16,MATCH(E827,Inputs!$A$11:$A$16,0))</f>
        <v>50</v>
      </c>
      <c r="S827" s="27" t="n">
        <f aca="false">IF(F827="",0,F827)*R827/100</f>
        <v>25295500</v>
      </c>
      <c r="T827" s="7" t="n">
        <f aca="false">Inputs!$B$4-J827</f>
        <v>25</v>
      </c>
      <c r="U827" s="7" t="n">
        <f aca="false">IF(OR(F827="",F827=0),1,0)</f>
        <v>0</v>
      </c>
      <c r="V827" s="7" t="n">
        <f aca="false">IF(K827="",1,0)</f>
        <v>0</v>
      </c>
      <c r="W827" s="7" t="n">
        <f aca="false">IF(AND(O827=1,K827&lt;&gt;"",COUNTIFS(Owners!$A$5:$A$32,K827,Owners!$E$5:$E$32,"No")&gt;0),1,0)</f>
        <v>1</v>
      </c>
      <c r="X827" s="7" t="n">
        <f aca="false">IF(AND(O827=1,I827&lt;Inputs!$B$4),1,0)</f>
        <v>0</v>
      </c>
      <c r="Y827" s="7" t="n">
        <f aca="false">IF(AND(O827=1,T827&gt;Inputs!$B$5),1,0)</f>
        <v>0</v>
      </c>
      <c r="Z827" s="7" t="n">
        <f aca="false">IF(AND(O827=1,G827&lt;&gt;R827),1,0)</f>
        <v>0</v>
      </c>
      <c r="AA827" s="7" t="n">
        <f aca="false">IF(AND(O827=1,M827=""),1,0)</f>
        <v>0</v>
      </c>
      <c r="AB827" s="7" t="n">
        <f aca="false">IF(AND(E827="Closed Lost",N827=""),1,0)</f>
        <v>0</v>
      </c>
      <c r="AC827" s="7" t="n">
        <f aca="false">SUM(U827:AB827)</f>
        <v>1</v>
      </c>
      <c r="AD827" s="7" t="n">
        <f aca="false">IF(AC827=0,1,0)</f>
        <v>0</v>
      </c>
      <c r="AE827" s="7" t="n">
        <f aca="false">IF(AND(O827=1,I827&gt;=Inputs!$B$6,I827&lt;=Inputs!$B$7),1,0)</f>
        <v>1</v>
      </c>
      <c r="AF827" s="7" t="n">
        <f aca="false">IF(AND(E827="Closed Won",I827&gt;=Inputs!$B$6,I827&lt;=Inputs!$B$4),1,0)</f>
        <v>0</v>
      </c>
      <c r="AG827" s="7" t="n">
        <f aca="false">IF(AND(O827=0,I827&gt;Inputs!$B$4-Inputs!$B$8,I827&lt;=Inputs!$B$4),1,0)</f>
        <v>0</v>
      </c>
      <c r="AH827" s="7" t="n">
        <f aca="false">I827-H827</f>
        <v>214</v>
      </c>
    </row>
    <row r="828" customFormat="false" ht="15" hidden="false" customHeight="false" outlineLevel="0" collapsed="false">
      <c r="A828" s="16" t="s">
        <v>2347</v>
      </c>
      <c r="B828" s="16" t="s">
        <v>2348</v>
      </c>
      <c r="C828" s="16" t="s">
        <v>2349</v>
      </c>
      <c r="D828" s="16" t="s">
        <v>162</v>
      </c>
      <c r="E828" s="16" t="s">
        <v>527</v>
      </c>
      <c r="F828" s="26" t="n">
        <v>12439000</v>
      </c>
      <c r="G828" s="25" t="n">
        <v>25</v>
      </c>
      <c r="H828" s="22" t="n">
        <v>46185</v>
      </c>
      <c r="I828" s="22" t="n">
        <v>46446</v>
      </c>
      <c r="J828" s="22" t="n">
        <v>46299</v>
      </c>
      <c r="K828" s="16" t="s">
        <v>640</v>
      </c>
      <c r="L828" s="16" t="s">
        <v>568</v>
      </c>
      <c r="M828" s="16" t="s">
        <v>569</v>
      </c>
      <c r="N828" s="16"/>
      <c r="O828" s="7" t="n">
        <f aca="false">IF(OR(E828="Closed Won",E828="Closed Lost"),0,1)</f>
        <v>1</v>
      </c>
      <c r="P828" s="17" t="str">
        <f aca="false">INDEX(Accounts!$K$5:$K$336,MATCH(B828,Accounts!$A$5:$A$336,0))</f>
        <v>Financial Services</v>
      </c>
      <c r="Q828" s="17" t="str">
        <f aca="false">INDEX(Accounts!$D$5:$D$336,MATCH(B828,Accounts!$A$5:$A$336,0))</f>
        <v>Standard</v>
      </c>
      <c r="R828" s="7" t="n">
        <f aca="false">INDEX(Inputs!$B$11:$B$16,MATCH(E828,Inputs!$A$11:$A$16,0))</f>
        <v>25</v>
      </c>
      <c r="S828" s="27" t="n">
        <f aca="false">IF(F828="",0,F828)*R828/100</f>
        <v>3109750</v>
      </c>
      <c r="T828" s="7" t="n">
        <f aca="false">Inputs!$B$4-J828</f>
        <v>15</v>
      </c>
      <c r="U828" s="7" t="n">
        <f aca="false">IF(OR(F828="",F828=0),1,0)</f>
        <v>0</v>
      </c>
      <c r="V828" s="7" t="n">
        <f aca="false">IF(K828="",1,0)</f>
        <v>0</v>
      </c>
      <c r="W828" s="7" t="n">
        <f aca="false">IF(AND(O828=1,K828&lt;&gt;"",COUNTIFS(Owners!$A$5:$A$32,K828,Owners!$E$5:$E$32,"No")&gt;0),1,0)</f>
        <v>0</v>
      </c>
      <c r="X828" s="7" t="n">
        <f aca="false">IF(AND(O828=1,I828&lt;Inputs!$B$4),1,0)</f>
        <v>0</v>
      </c>
      <c r="Y828" s="7" t="n">
        <f aca="false">IF(AND(O828=1,T828&gt;Inputs!$B$5),1,0)</f>
        <v>0</v>
      </c>
      <c r="Z828" s="7" t="n">
        <f aca="false">IF(AND(O828=1,G828&lt;&gt;R828),1,0)</f>
        <v>0</v>
      </c>
      <c r="AA828" s="7" t="n">
        <f aca="false">IF(AND(O828=1,M828=""),1,0)</f>
        <v>0</v>
      </c>
      <c r="AB828" s="7" t="n">
        <f aca="false">IF(AND(E828="Closed Lost",N828=""),1,0)</f>
        <v>0</v>
      </c>
      <c r="AC828" s="7" t="n">
        <f aca="false">SUM(U828:AB828)</f>
        <v>0</v>
      </c>
      <c r="AD828" s="7" t="n">
        <f aca="false">IF(AC828=0,1,0)</f>
        <v>1</v>
      </c>
      <c r="AE828" s="7" t="n">
        <f aca="false">IF(AND(O828=1,I828&gt;=Inputs!$B$6,I828&lt;=Inputs!$B$7),1,0)</f>
        <v>1</v>
      </c>
      <c r="AF828" s="7" t="n">
        <f aca="false">IF(AND(E828="Closed Won",I828&gt;=Inputs!$B$6,I828&lt;=Inputs!$B$4),1,0)</f>
        <v>0</v>
      </c>
      <c r="AG828" s="7" t="n">
        <f aca="false">IF(AND(O828=0,I828&gt;Inputs!$B$4-Inputs!$B$8,I828&lt;=Inputs!$B$4),1,0)</f>
        <v>0</v>
      </c>
      <c r="AH828" s="7" t="n">
        <f aca="false">I828-H828</f>
        <v>261</v>
      </c>
    </row>
    <row r="829" customFormat="false" ht="15" hidden="false" customHeight="false" outlineLevel="0" collapsed="false">
      <c r="A829" s="16" t="s">
        <v>2350</v>
      </c>
      <c r="B829" s="16" t="s">
        <v>238</v>
      </c>
      <c r="C829" s="16" t="s">
        <v>2351</v>
      </c>
      <c r="D829" s="16" t="s">
        <v>167</v>
      </c>
      <c r="E829" s="16" t="s">
        <v>526</v>
      </c>
      <c r="F829" s="26" t="n">
        <v>6980000</v>
      </c>
      <c r="G829" s="25" t="n">
        <v>10</v>
      </c>
      <c r="H829" s="22" t="n">
        <v>46248</v>
      </c>
      <c r="I829" s="22" t="n">
        <v>46286</v>
      </c>
      <c r="J829" s="22" t="n">
        <v>46279</v>
      </c>
      <c r="K829" s="16" t="s">
        <v>600</v>
      </c>
      <c r="L829" s="16" t="s">
        <v>568</v>
      </c>
      <c r="M829" s="16" t="s">
        <v>575</v>
      </c>
      <c r="N829" s="16"/>
      <c r="O829" s="7" t="n">
        <f aca="false">IF(OR(E829="Closed Won",E829="Closed Lost"),0,1)</f>
        <v>1</v>
      </c>
      <c r="P829" s="17" t="str">
        <f aca="false">INDEX(Accounts!$K$5:$K$336,MATCH(B829,Accounts!$A$5:$A$336,0))</f>
        <v>Energy &amp; Resources</v>
      </c>
      <c r="Q829" s="17" t="str">
        <f aca="false">INDEX(Accounts!$D$5:$D$336,MATCH(B829,Accounts!$A$5:$A$336,0))</f>
        <v>Key</v>
      </c>
      <c r="R829" s="7" t="n">
        <f aca="false">INDEX(Inputs!$B$11:$B$16,MATCH(E829,Inputs!$A$11:$A$16,0))</f>
        <v>10</v>
      </c>
      <c r="S829" s="27" t="n">
        <f aca="false">IF(F829="",0,F829)*R829/100</f>
        <v>698000</v>
      </c>
      <c r="T829" s="7" t="n">
        <f aca="false">Inputs!$B$4-J829</f>
        <v>35</v>
      </c>
      <c r="U829" s="7" t="n">
        <f aca="false">IF(OR(F829="",F829=0),1,0)</f>
        <v>0</v>
      </c>
      <c r="V829" s="7" t="n">
        <f aca="false">IF(K829="",1,0)</f>
        <v>0</v>
      </c>
      <c r="W829" s="7" t="n">
        <f aca="false">IF(AND(O829=1,K829&lt;&gt;"",COUNTIFS(Owners!$A$5:$A$32,K829,Owners!$E$5:$E$32,"No")&gt;0),1,0)</f>
        <v>0</v>
      </c>
      <c r="X829" s="7" t="n">
        <f aca="false">IF(AND(O829=1,I829&lt;Inputs!$B$4),1,0)</f>
        <v>1</v>
      </c>
      <c r="Y829" s="7" t="n">
        <f aca="false">IF(AND(O829=1,T829&gt;Inputs!$B$5),1,0)</f>
        <v>0</v>
      </c>
      <c r="Z829" s="7" t="n">
        <f aca="false">IF(AND(O829=1,G829&lt;&gt;R829),1,0)</f>
        <v>0</v>
      </c>
      <c r="AA829" s="7" t="n">
        <f aca="false">IF(AND(O829=1,M829=""),1,0)</f>
        <v>0</v>
      </c>
      <c r="AB829" s="7" t="n">
        <f aca="false">IF(AND(E829="Closed Lost",N829=""),1,0)</f>
        <v>0</v>
      </c>
      <c r="AC829" s="7" t="n">
        <f aca="false">SUM(U829:AB829)</f>
        <v>1</v>
      </c>
      <c r="AD829" s="7" t="n">
        <f aca="false">IF(AC829=0,1,0)</f>
        <v>0</v>
      </c>
      <c r="AE829" s="7" t="n">
        <f aca="false">IF(AND(O829=1,I829&gt;=Inputs!$B$6,I829&lt;=Inputs!$B$7),1,0)</f>
        <v>1</v>
      </c>
      <c r="AF829" s="7" t="n">
        <f aca="false">IF(AND(E829="Closed Won",I829&gt;=Inputs!$B$6,I829&lt;=Inputs!$B$4),1,0)</f>
        <v>0</v>
      </c>
      <c r="AG829" s="7" t="n">
        <f aca="false">IF(AND(O829=0,I829&gt;Inputs!$B$4-Inputs!$B$8,I829&lt;=Inputs!$B$4),1,0)</f>
        <v>0</v>
      </c>
      <c r="AH829" s="7" t="n">
        <f aca="false">I829-H829</f>
        <v>38</v>
      </c>
    </row>
    <row r="830" customFormat="false" ht="15" hidden="false" customHeight="false" outlineLevel="0" collapsed="false">
      <c r="A830" s="16" t="s">
        <v>2352</v>
      </c>
      <c r="B830" s="16" t="s">
        <v>58</v>
      </c>
      <c r="C830" s="16" t="s">
        <v>566</v>
      </c>
      <c r="D830" s="16" t="s">
        <v>162</v>
      </c>
      <c r="E830" s="16" t="s">
        <v>530</v>
      </c>
      <c r="F830" s="26" t="n">
        <v>11344000</v>
      </c>
      <c r="G830" s="25" t="n">
        <v>100</v>
      </c>
      <c r="H830" s="22" t="n">
        <v>46029</v>
      </c>
      <c r="I830" s="22" t="n">
        <v>46231</v>
      </c>
      <c r="J830" s="22" t="n">
        <v>46231</v>
      </c>
      <c r="K830" s="16" t="s">
        <v>573</v>
      </c>
      <c r="L830" s="16" t="s">
        <v>609</v>
      </c>
      <c r="M830" s="16"/>
      <c r="N830" s="16"/>
      <c r="O830" s="7" t="n">
        <f aca="false">IF(OR(E830="Closed Won",E830="Closed Lost"),0,1)</f>
        <v>0</v>
      </c>
      <c r="P830" s="17" t="str">
        <f aca="false">INDEX(Accounts!$K$5:$K$336,MATCH(B830,Accounts!$A$5:$A$336,0))</f>
        <v>Financial Services</v>
      </c>
      <c r="Q830" s="17" t="str">
        <f aca="false">INDEX(Accounts!$D$5:$D$336,MATCH(B830,Accounts!$A$5:$A$336,0))</f>
        <v>Priority</v>
      </c>
      <c r="R830" s="7" t="n">
        <f aca="false">INDEX(Inputs!$B$11:$B$16,MATCH(E830,Inputs!$A$11:$A$16,0))</f>
        <v>100</v>
      </c>
      <c r="S830" s="27" t="n">
        <f aca="false">IF(F830="",0,F830)*R830/100</f>
        <v>11344000</v>
      </c>
      <c r="T830" s="7" t="n">
        <f aca="false">Inputs!$B$4-J830</f>
        <v>83</v>
      </c>
      <c r="U830" s="7" t="n">
        <f aca="false">IF(OR(F830="",F830=0),1,0)</f>
        <v>0</v>
      </c>
      <c r="V830" s="7" t="n">
        <f aca="false">IF(K830="",1,0)</f>
        <v>0</v>
      </c>
      <c r="W830" s="7" t="n">
        <f aca="false">IF(AND(O830=1,K830&lt;&gt;"",COUNTIFS(Owners!$A$5:$A$32,K830,Owners!$E$5:$E$32,"No")&gt;0),1,0)</f>
        <v>0</v>
      </c>
      <c r="X830" s="7" t="n">
        <f aca="false">IF(AND(O830=1,I830&lt;Inputs!$B$4),1,0)</f>
        <v>0</v>
      </c>
      <c r="Y830" s="7" t="n">
        <f aca="false">IF(AND(O830=1,T830&gt;Inputs!$B$5),1,0)</f>
        <v>0</v>
      </c>
      <c r="Z830" s="7" t="n">
        <f aca="false">IF(AND(O830=1,G830&lt;&gt;R830),1,0)</f>
        <v>0</v>
      </c>
      <c r="AA830" s="7" t="n">
        <f aca="false">IF(AND(O830=1,M830=""),1,0)</f>
        <v>0</v>
      </c>
      <c r="AB830" s="7" t="n">
        <f aca="false">IF(AND(E830="Closed Lost",N830=""),1,0)</f>
        <v>0</v>
      </c>
      <c r="AC830" s="7" t="n">
        <f aca="false">SUM(U830:AB830)</f>
        <v>0</v>
      </c>
      <c r="AD830" s="7" t="n">
        <f aca="false">IF(AC830=0,1,0)</f>
        <v>1</v>
      </c>
      <c r="AE830" s="7" t="n">
        <f aca="false">IF(AND(O830=1,I830&gt;=Inputs!$B$6,I830&lt;=Inputs!$B$7),1,0)</f>
        <v>0</v>
      </c>
      <c r="AF830" s="7" t="n">
        <f aca="false">IF(AND(E830="Closed Won",I830&gt;=Inputs!$B$6,I830&lt;=Inputs!$B$4),1,0)</f>
        <v>1</v>
      </c>
      <c r="AG830" s="7" t="n">
        <f aca="false">IF(AND(O830=0,I830&gt;Inputs!$B$4-Inputs!$B$8,I830&lt;=Inputs!$B$4),1,0)</f>
        <v>1</v>
      </c>
      <c r="AH830" s="7" t="n">
        <f aca="false">I830-H830</f>
        <v>202</v>
      </c>
    </row>
    <row r="831" customFormat="false" ht="15" hidden="false" customHeight="false" outlineLevel="0" collapsed="false">
      <c r="A831" s="16" t="s">
        <v>2353</v>
      </c>
      <c r="B831" s="16" t="s">
        <v>810</v>
      </c>
      <c r="C831" s="16" t="s">
        <v>2354</v>
      </c>
      <c r="D831" s="16" t="s">
        <v>158</v>
      </c>
      <c r="E831" s="16" t="s">
        <v>528</v>
      </c>
      <c r="F831" s="26" t="n">
        <v>28346000</v>
      </c>
      <c r="G831" s="25" t="n">
        <v>50</v>
      </c>
      <c r="H831" s="22" t="n">
        <v>46126</v>
      </c>
      <c r="I831" s="22" t="n">
        <v>46322</v>
      </c>
      <c r="J831" s="22" t="n">
        <v>46284</v>
      </c>
      <c r="K831" s="16" t="s">
        <v>880</v>
      </c>
      <c r="L831" s="16" t="s">
        <v>574</v>
      </c>
      <c r="M831" s="16" t="s">
        <v>613</v>
      </c>
      <c r="N831" s="16"/>
      <c r="O831" s="7" t="n">
        <f aca="false">IF(OR(E831="Closed Won",E831="Closed Lost"),0,1)</f>
        <v>1</v>
      </c>
      <c r="P831" s="17" t="str">
        <f aca="false">INDEX(Accounts!$K$5:$K$336,MATCH(B831,Accounts!$A$5:$A$336,0))</f>
        <v>Financial Services</v>
      </c>
      <c r="Q831" s="17" t="str">
        <f aca="false">INDEX(Accounts!$D$5:$D$336,MATCH(B831,Accounts!$A$5:$A$336,0))</f>
        <v>Key</v>
      </c>
      <c r="R831" s="7" t="n">
        <f aca="false">INDEX(Inputs!$B$11:$B$16,MATCH(E831,Inputs!$A$11:$A$16,0))</f>
        <v>50</v>
      </c>
      <c r="S831" s="27" t="n">
        <f aca="false">IF(F831="",0,F831)*R831/100</f>
        <v>14173000</v>
      </c>
      <c r="T831" s="7" t="n">
        <f aca="false">Inputs!$B$4-J831</f>
        <v>30</v>
      </c>
      <c r="U831" s="7" t="n">
        <f aca="false">IF(OR(F831="",F831=0),1,0)</f>
        <v>0</v>
      </c>
      <c r="V831" s="7" t="n">
        <f aca="false">IF(K831="",1,0)</f>
        <v>0</v>
      </c>
      <c r="W831" s="7" t="n">
        <f aca="false">IF(AND(O831=1,K831&lt;&gt;"",COUNTIFS(Owners!$A$5:$A$32,K831,Owners!$E$5:$E$32,"No")&gt;0),1,0)</f>
        <v>1</v>
      </c>
      <c r="X831" s="7" t="n">
        <f aca="false">IF(AND(O831=1,I831&lt;Inputs!$B$4),1,0)</f>
        <v>0</v>
      </c>
      <c r="Y831" s="7" t="n">
        <f aca="false">IF(AND(O831=1,T831&gt;Inputs!$B$5),1,0)</f>
        <v>0</v>
      </c>
      <c r="Z831" s="7" t="n">
        <f aca="false">IF(AND(O831=1,G831&lt;&gt;R831),1,0)</f>
        <v>0</v>
      </c>
      <c r="AA831" s="7" t="n">
        <f aca="false">IF(AND(O831=1,M831=""),1,0)</f>
        <v>0</v>
      </c>
      <c r="AB831" s="7" t="n">
        <f aca="false">IF(AND(E831="Closed Lost",N831=""),1,0)</f>
        <v>0</v>
      </c>
      <c r="AC831" s="7" t="n">
        <f aca="false">SUM(U831:AB831)</f>
        <v>1</v>
      </c>
      <c r="AD831" s="7" t="n">
        <f aca="false">IF(AC831=0,1,0)</f>
        <v>0</v>
      </c>
      <c r="AE831" s="7" t="n">
        <f aca="false">IF(AND(O831=1,I831&gt;=Inputs!$B$6,I831&lt;=Inputs!$B$7),1,0)</f>
        <v>1</v>
      </c>
      <c r="AF831" s="7" t="n">
        <f aca="false">IF(AND(E831="Closed Won",I831&gt;=Inputs!$B$6,I831&lt;=Inputs!$B$4),1,0)</f>
        <v>0</v>
      </c>
      <c r="AG831" s="7" t="n">
        <f aca="false">IF(AND(O831=0,I831&gt;Inputs!$B$4-Inputs!$B$8,I831&lt;=Inputs!$B$4),1,0)</f>
        <v>0</v>
      </c>
      <c r="AH831" s="7" t="n">
        <f aca="false">I831-H831</f>
        <v>196</v>
      </c>
    </row>
    <row r="832" customFormat="false" ht="15" hidden="false" customHeight="false" outlineLevel="0" collapsed="false">
      <c r="A832" s="16" t="s">
        <v>2355</v>
      </c>
      <c r="B832" s="16" t="s">
        <v>1196</v>
      </c>
      <c r="C832" s="16" t="s">
        <v>2356</v>
      </c>
      <c r="D832" s="16" t="s">
        <v>167</v>
      </c>
      <c r="E832" s="16" t="s">
        <v>528</v>
      </c>
      <c r="F832" s="26" t="n">
        <v>5989000</v>
      </c>
      <c r="G832" s="25" t="n">
        <v>50</v>
      </c>
      <c r="H832" s="22" t="n">
        <v>46141</v>
      </c>
      <c r="I832" s="22" t="n">
        <v>46408</v>
      </c>
      <c r="J832" s="22" t="n">
        <v>46303</v>
      </c>
      <c r="K832" s="16" t="s">
        <v>685</v>
      </c>
      <c r="L832" s="16" t="s">
        <v>574</v>
      </c>
      <c r="M832" s="16"/>
      <c r="N832" s="16"/>
      <c r="O832" s="7" t="n">
        <f aca="false">IF(OR(E832="Closed Won",E832="Closed Lost"),0,1)</f>
        <v>1</v>
      </c>
      <c r="P832" s="17" t="str">
        <f aca="false">INDEX(Accounts!$K$5:$K$336,MATCH(B832,Accounts!$A$5:$A$336,0))</f>
        <v>Consumer &amp; Retail</v>
      </c>
      <c r="Q832" s="17" t="str">
        <f aca="false">INDEX(Accounts!$D$5:$D$336,MATCH(B832,Accounts!$A$5:$A$336,0))</f>
        <v>Key</v>
      </c>
      <c r="R832" s="7" t="n">
        <f aca="false">INDEX(Inputs!$B$11:$B$16,MATCH(E832,Inputs!$A$11:$A$16,0))</f>
        <v>50</v>
      </c>
      <c r="S832" s="27" t="n">
        <f aca="false">IF(F832="",0,F832)*R832/100</f>
        <v>2994500</v>
      </c>
      <c r="T832" s="7" t="n">
        <f aca="false">Inputs!$B$4-J832</f>
        <v>11</v>
      </c>
      <c r="U832" s="7" t="n">
        <f aca="false">IF(OR(F832="",F832=0),1,0)</f>
        <v>0</v>
      </c>
      <c r="V832" s="7" t="n">
        <f aca="false">IF(K832="",1,0)</f>
        <v>0</v>
      </c>
      <c r="W832" s="7" t="n">
        <f aca="false">IF(AND(O832=1,K832&lt;&gt;"",COUNTIFS(Owners!$A$5:$A$32,K832,Owners!$E$5:$E$32,"No")&gt;0),1,0)</f>
        <v>0</v>
      </c>
      <c r="X832" s="7" t="n">
        <f aca="false">IF(AND(O832=1,I832&lt;Inputs!$B$4),1,0)</f>
        <v>0</v>
      </c>
      <c r="Y832" s="7" t="n">
        <f aca="false">IF(AND(O832=1,T832&gt;Inputs!$B$5),1,0)</f>
        <v>0</v>
      </c>
      <c r="Z832" s="7" t="n">
        <f aca="false">IF(AND(O832=1,G832&lt;&gt;R832),1,0)</f>
        <v>0</v>
      </c>
      <c r="AA832" s="7" t="n">
        <f aca="false">IF(AND(O832=1,M832=""),1,0)</f>
        <v>1</v>
      </c>
      <c r="AB832" s="7" t="n">
        <f aca="false">IF(AND(E832="Closed Lost",N832=""),1,0)</f>
        <v>0</v>
      </c>
      <c r="AC832" s="7" t="n">
        <f aca="false">SUM(U832:AB832)</f>
        <v>1</v>
      </c>
      <c r="AD832" s="7" t="n">
        <f aca="false">IF(AC832=0,1,0)</f>
        <v>0</v>
      </c>
      <c r="AE832" s="7" t="n">
        <f aca="false">IF(AND(O832=1,I832&gt;=Inputs!$B$6,I832&lt;=Inputs!$B$7),1,0)</f>
        <v>1</v>
      </c>
      <c r="AF832" s="7" t="n">
        <f aca="false">IF(AND(E832="Closed Won",I832&gt;=Inputs!$B$6,I832&lt;=Inputs!$B$4),1,0)</f>
        <v>0</v>
      </c>
      <c r="AG832" s="7" t="n">
        <f aca="false">IF(AND(O832=0,I832&gt;Inputs!$B$4-Inputs!$B$8,I832&lt;=Inputs!$B$4),1,0)</f>
        <v>0</v>
      </c>
      <c r="AH832" s="7" t="n">
        <f aca="false">I832-H832</f>
        <v>267</v>
      </c>
    </row>
    <row r="833" customFormat="false" ht="15" hidden="false" customHeight="false" outlineLevel="0" collapsed="false">
      <c r="A833" s="16" t="s">
        <v>2357</v>
      </c>
      <c r="B833" s="16" t="s">
        <v>96</v>
      </c>
      <c r="C833" s="16" t="s">
        <v>2358</v>
      </c>
      <c r="D833" s="16" t="s">
        <v>165</v>
      </c>
      <c r="E833" s="16" t="s">
        <v>527</v>
      </c>
      <c r="F833" s="26" t="n">
        <v>48918000</v>
      </c>
      <c r="G833" s="25" t="n">
        <v>5</v>
      </c>
      <c r="H833" s="22" t="n">
        <v>46246</v>
      </c>
      <c r="I833" s="22" t="n">
        <v>46364</v>
      </c>
      <c r="J833" s="22" t="n">
        <v>46280</v>
      </c>
      <c r="K833" s="16" t="s">
        <v>880</v>
      </c>
      <c r="L833" s="16" t="s">
        <v>609</v>
      </c>
      <c r="M833" s="16" t="s">
        <v>619</v>
      </c>
      <c r="N833" s="16"/>
      <c r="O833" s="7" t="n">
        <f aca="false">IF(OR(E833="Closed Won",E833="Closed Lost"),0,1)</f>
        <v>1</v>
      </c>
      <c r="P833" s="17" t="str">
        <f aca="false">INDEX(Accounts!$K$5:$K$336,MATCH(B833,Accounts!$A$5:$A$336,0))</f>
        <v>Financial Services</v>
      </c>
      <c r="Q833" s="17" t="str">
        <f aca="false">INDEX(Accounts!$D$5:$D$336,MATCH(B833,Accounts!$A$5:$A$336,0))</f>
        <v>Priority</v>
      </c>
      <c r="R833" s="7" t="n">
        <f aca="false">INDEX(Inputs!$B$11:$B$16,MATCH(E833,Inputs!$A$11:$A$16,0))</f>
        <v>25</v>
      </c>
      <c r="S833" s="27" t="n">
        <f aca="false">IF(F833="",0,F833)*R833/100</f>
        <v>12229500</v>
      </c>
      <c r="T833" s="7" t="n">
        <f aca="false">Inputs!$B$4-J833</f>
        <v>34</v>
      </c>
      <c r="U833" s="7" t="n">
        <f aca="false">IF(OR(F833="",F833=0),1,0)</f>
        <v>0</v>
      </c>
      <c r="V833" s="7" t="n">
        <f aca="false">IF(K833="",1,0)</f>
        <v>0</v>
      </c>
      <c r="W833" s="7" t="n">
        <f aca="false">IF(AND(O833=1,K833&lt;&gt;"",COUNTIFS(Owners!$A$5:$A$32,K833,Owners!$E$5:$E$32,"No")&gt;0),1,0)</f>
        <v>1</v>
      </c>
      <c r="X833" s="7" t="n">
        <f aca="false">IF(AND(O833=1,I833&lt;Inputs!$B$4),1,0)</f>
        <v>0</v>
      </c>
      <c r="Y833" s="7" t="n">
        <f aca="false">IF(AND(O833=1,T833&gt;Inputs!$B$5),1,0)</f>
        <v>0</v>
      </c>
      <c r="Z833" s="7" t="n">
        <f aca="false">IF(AND(O833=1,G833&lt;&gt;R833),1,0)</f>
        <v>1</v>
      </c>
      <c r="AA833" s="7" t="n">
        <f aca="false">IF(AND(O833=1,M833=""),1,0)</f>
        <v>0</v>
      </c>
      <c r="AB833" s="7" t="n">
        <f aca="false">IF(AND(E833="Closed Lost",N833=""),1,0)</f>
        <v>0</v>
      </c>
      <c r="AC833" s="7" t="n">
        <f aca="false">SUM(U833:AB833)</f>
        <v>2</v>
      </c>
      <c r="AD833" s="7" t="n">
        <f aca="false">IF(AC833=0,1,0)</f>
        <v>0</v>
      </c>
      <c r="AE833" s="7" t="n">
        <f aca="false">IF(AND(O833=1,I833&gt;=Inputs!$B$6,I833&lt;=Inputs!$B$7),1,0)</f>
        <v>1</v>
      </c>
      <c r="AF833" s="7" t="n">
        <f aca="false">IF(AND(E833="Closed Won",I833&gt;=Inputs!$B$6,I833&lt;=Inputs!$B$4),1,0)</f>
        <v>0</v>
      </c>
      <c r="AG833" s="7" t="n">
        <f aca="false">IF(AND(O833=0,I833&gt;Inputs!$B$4-Inputs!$B$8,I833&lt;=Inputs!$B$4),1,0)</f>
        <v>0</v>
      </c>
      <c r="AH833" s="7" t="n">
        <f aca="false">I833-H833</f>
        <v>118</v>
      </c>
    </row>
    <row r="834" customFormat="false" ht="15" hidden="false" customHeight="false" outlineLevel="0" collapsed="false">
      <c r="A834" s="16" t="s">
        <v>2359</v>
      </c>
      <c r="B834" s="16" t="s">
        <v>852</v>
      </c>
      <c r="C834" s="16" t="s">
        <v>2360</v>
      </c>
      <c r="D834" s="16" t="s">
        <v>167</v>
      </c>
      <c r="E834" s="16" t="s">
        <v>531</v>
      </c>
      <c r="F834" s="26" t="n">
        <v>3154000</v>
      </c>
      <c r="G834" s="25" t="n">
        <v>0</v>
      </c>
      <c r="H834" s="22" t="n">
        <v>46192</v>
      </c>
      <c r="I834" s="22" t="n">
        <v>46282</v>
      </c>
      <c r="J834" s="22" t="n">
        <v>46282</v>
      </c>
      <c r="K834" s="16" t="s">
        <v>573</v>
      </c>
      <c r="L834" s="16" t="s">
        <v>584</v>
      </c>
      <c r="M834" s="16"/>
      <c r="N834" s="16"/>
      <c r="O834" s="7" t="n">
        <f aca="false">IF(OR(E834="Closed Won",E834="Closed Lost"),0,1)</f>
        <v>0</v>
      </c>
      <c r="P834" s="17" t="str">
        <f aca="false">INDEX(Accounts!$K$5:$K$336,MATCH(B834,Accounts!$A$5:$A$336,0))</f>
        <v>Energy &amp; Resources</v>
      </c>
      <c r="Q834" s="17" t="str">
        <f aca="false">INDEX(Accounts!$D$5:$D$336,MATCH(B834,Accounts!$A$5:$A$336,0))</f>
        <v>Standard</v>
      </c>
      <c r="R834" s="7" t="n">
        <f aca="false">INDEX(Inputs!$B$11:$B$16,MATCH(E834,Inputs!$A$11:$A$16,0))</f>
        <v>0</v>
      </c>
      <c r="S834" s="27" t="n">
        <f aca="false">IF(F834="",0,F834)*R834/100</f>
        <v>0</v>
      </c>
      <c r="T834" s="7" t="n">
        <f aca="false">Inputs!$B$4-J834</f>
        <v>32</v>
      </c>
      <c r="U834" s="7" t="n">
        <f aca="false">IF(OR(F834="",F834=0),1,0)</f>
        <v>0</v>
      </c>
      <c r="V834" s="7" t="n">
        <f aca="false">IF(K834="",1,0)</f>
        <v>0</v>
      </c>
      <c r="W834" s="7" t="n">
        <f aca="false">IF(AND(O834=1,K834&lt;&gt;"",COUNTIFS(Owners!$A$5:$A$32,K834,Owners!$E$5:$E$32,"No")&gt;0),1,0)</f>
        <v>0</v>
      </c>
      <c r="X834" s="7" t="n">
        <f aca="false">IF(AND(O834=1,I834&lt;Inputs!$B$4),1,0)</f>
        <v>0</v>
      </c>
      <c r="Y834" s="7" t="n">
        <f aca="false">IF(AND(O834=1,T834&gt;Inputs!$B$5),1,0)</f>
        <v>0</v>
      </c>
      <c r="Z834" s="7" t="n">
        <f aca="false">IF(AND(O834=1,G834&lt;&gt;R834),1,0)</f>
        <v>0</v>
      </c>
      <c r="AA834" s="7" t="n">
        <f aca="false">IF(AND(O834=1,M834=""),1,0)</f>
        <v>0</v>
      </c>
      <c r="AB834" s="7" t="n">
        <f aca="false">IF(AND(E834="Closed Lost",N834=""),1,0)</f>
        <v>1</v>
      </c>
      <c r="AC834" s="7" t="n">
        <f aca="false">SUM(U834:AB834)</f>
        <v>1</v>
      </c>
      <c r="AD834" s="7" t="n">
        <f aca="false">IF(AC834=0,1,0)</f>
        <v>0</v>
      </c>
      <c r="AE834" s="7" t="n">
        <f aca="false">IF(AND(O834=1,I834&gt;=Inputs!$B$6,I834&lt;=Inputs!$B$7),1,0)</f>
        <v>0</v>
      </c>
      <c r="AF834" s="7" t="n">
        <f aca="false">IF(AND(E834="Closed Won",I834&gt;=Inputs!$B$6,I834&lt;=Inputs!$B$4),1,0)</f>
        <v>0</v>
      </c>
      <c r="AG834" s="7" t="n">
        <f aca="false">IF(AND(O834=0,I834&gt;Inputs!$B$4-Inputs!$B$8,I834&lt;=Inputs!$B$4),1,0)</f>
        <v>1</v>
      </c>
      <c r="AH834" s="7" t="n">
        <f aca="false">I834-H834</f>
        <v>90</v>
      </c>
    </row>
    <row r="835" customFormat="false" ht="15" hidden="false" customHeight="false" outlineLevel="0" collapsed="false">
      <c r="A835" s="16" t="s">
        <v>2361</v>
      </c>
      <c r="B835" s="16" t="s">
        <v>373</v>
      </c>
      <c r="C835" s="16" t="s">
        <v>2362</v>
      </c>
      <c r="D835" s="16" t="s">
        <v>162</v>
      </c>
      <c r="E835" s="16" t="s">
        <v>526</v>
      </c>
      <c r="F835" s="26" t="n">
        <v>29738000</v>
      </c>
      <c r="G835" s="25" t="n">
        <v>10</v>
      </c>
      <c r="H835" s="22" t="n">
        <v>46213</v>
      </c>
      <c r="I835" s="22" t="n">
        <v>46405</v>
      </c>
      <c r="J835" s="22" t="n">
        <v>46126</v>
      </c>
      <c r="K835" s="16" t="s">
        <v>596</v>
      </c>
      <c r="L835" s="16" t="s">
        <v>592</v>
      </c>
      <c r="M835" s="16" t="s">
        <v>569</v>
      </c>
      <c r="N835" s="16"/>
      <c r="O835" s="7" t="n">
        <f aca="false">IF(OR(E835="Closed Won",E835="Closed Lost"),0,1)</f>
        <v>1</v>
      </c>
      <c r="P835" s="17" t="str">
        <f aca="false">INDEX(Accounts!$K$5:$K$336,MATCH(B835,Accounts!$A$5:$A$336,0))</f>
        <v>Agribusiness</v>
      </c>
      <c r="Q835" s="17" t="str">
        <f aca="false">INDEX(Accounts!$D$5:$D$336,MATCH(B835,Accounts!$A$5:$A$336,0))</f>
        <v>Standard</v>
      </c>
      <c r="R835" s="7" t="n">
        <f aca="false">INDEX(Inputs!$B$11:$B$16,MATCH(E835,Inputs!$A$11:$A$16,0))</f>
        <v>10</v>
      </c>
      <c r="S835" s="27" t="n">
        <f aca="false">IF(F835="",0,F835)*R835/100</f>
        <v>2973800</v>
      </c>
      <c r="T835" s="7" t="n">
        <f aca="false">Inputs!$B$4-J835</f>
        <v>188</v>
      </c>
      <c r="U835" s="7" t="n">
        <f aca="false">IF(OR(F835="",F835=0),1,0)</f>
        <v>0</v>
      </c>
      <c r="V835" s="7" t="n">
        <f aca="false">IF(K835="",1,0)</f>
        <v>0</v>
      </c>
      <c r="W835" s="7" t="n">
        <f aca="false">IF(AND(O835=1,K835&lt;&gt;"",COUNTIFS(Owners!$A$5:$A$32,K835,Owners!$E$5:$E$32,"No")&gt;0),1,0)</f>
        <v>0</v>
      </c>
      <c r="X835" s="7" t="n">
        <f aca="false">IF(AND(O835=1,I835&lt;Inputs!$B$4),1,0)</f>
        <v>0</v>
      </c>
      <c r="Y835" s="7" t="n">
        <f aca="false">IF(AND(O835=1,T835&gt;Inputs!$B$5),1,0)</f>
        <v>1</v>
      </c>
      <c r="Z835" s="7" t="n">
        <f aca="false">IF(AND(O835=1,G835&lt;&gt;R835),1,0)</f>
        <v>0</v>
      </c>
      <c r="AA835" s="7" t="n">
        <f aca="false">IF(AND(O835=1,M835=""),1,0)</f>
        <v>0</v>
      </c>
      <c r="AB835" s="7" t="n">
        <f aca="false">IF(AND(E835="Closed Lost",N835=""),1,0)</f>
        <v>0</v>
      </c>
      <c r="AC835" s="7" t="n">
        <f aca="false">SUM(U835:AB835)</f>
        <v>1</v>
      </c>
      <c r="AD835" s="7" t="n">
        <f aca="false">IF(AC835=0,1,0)</f>
        <v>0</v>
      </c>
      <c r="AE835" s="7" t="n">
        <f aca="false">IF(AND(O835=1,I835&gt;=Inputs!$B$6,I835&lt;=Inputs!$B$7),1,0)</f>
        <v>1</v>
      </c>
      <c r="AF835" s="7" t="n">
        <f aca="false">IF(AND(E835="Closed Won",I835&gt;=Inputs!$B$6,I835&lt;=Inputs!$B$4),1,0)</f>
        <v>0</v>
      </c>
      <c r="AG835" s="7" t="n">
        <f aca="false">IF(AND(O835=0,I835&gt;Inputs!$B$4-Inputs!$B$8,I835&lt;=Inputs!$B$4),1,0)</f>
        <v>0</v>
      </c>
      <c r="AH835" s="7" t="n">
        <f aca="false">I835-H835</f>
        <v>192</v>
      </c>
    </row>
    <row r="836" customFormat="false" ht="15" hidden="false" customHeight="false" outlineLevel="0" collapsed="false">
      <c r="A836" s="16" t="s">
        <v>2363</v>
      </c>
      <c r="B836" s="16" t="s">
        <v>387</v>
      </c>
      <c r="C836" s="16" t="s">
        <v>2364</v>
      </c>
      <c r="D836" s="16" t="s">
        <v>158</v>
      </c>
      <c r="E836" s="16" t="s">
        <v>526</v>
      </c>
      <c r="F836" s="26" t="n">
        <v>8232000</v>
      </c>
      <c r="G836" s="25" t="n">
        <v>10</v>
      </c>
      <c r="H836" s="22" t="n">
        <v>46180</v>
      </c>
      <c r="I836" s="22" t="n">
        <v>46437</v>
      </c>
      <c r="J836" s="22" t="n">
        <v>46307</v>
      </c>
      <c r="K836" s="16" t="s">
        <v>637</v>
      </c>
      <c r="L836" s="16" t="s">
        <v>500</v>
      </c>
      <c r="M836" s="16" t="s">
        <v>619</v>
      </c>
      <c r="N836" s="16"/>
      <c r="O836" s="7" t="n">
        <f aca="false">IF(OR(E836="Closed Won",E836="Closed Lost"),0,1)</f>
        <v>1</v>
      </c>
      <c r="P836" s="17" t="str">
        <f aca="false">INDEX(Accounts!$K$5:$K$336,MATCH(B836,Accounts!$A$5:$A$336,0))</f>
        <v>Financial Services</v>
      </c>
      <c r="Q836" s="17" t="str">
        <f aca="false">INDEX(Accounts!$D$5:$D$336,MATCH(B836,Accounts!$A$5:$A$336,0))</f>
        <v>Standard</v>
      </c>
      <c r="R836" s="7" t="n">
        <f aca="false">INDEX(Inputs!$B$11:$B$16,MATCH(E836,Inputs!$A$11:$A$16,0))</f>
        <v>10</v>
      </c>
      <c r="S836" s="27" t="n">
        <f aca="false">IF(F836="",0,F836)*R836/100</f>
        <v>823200</v>
      </c>
      <c r="T836" s="7" t="n">
        <f aca="false">Inputs!$B$4-J836</f>
        <v>7</v>
      </c>
      <c r="U836" s="7" t="n">
        <f aca="false">IF(OR(F836="",F836=0),1,0)</f>
        <v>0</v>
      </c>
      <c r="V836" s="7" t="n">
        <f aca="false">IF(K836="",1,0)</f>
        <v>0</v>
      </c>
      <c r="W836" s="7" t="n">
        <f aca="false">IF(AND(O836=1,K836&lt;&gt;"",COUNTIFS(Owners!$A$5:$A$32,K836,Owners!$E$5:$E$32,"No")&gt;0),1,0)</f>
        <v>0</v>
      </c>
      <c r="X836" s="7" t="n">
        <f aca="false">IF(AND(O836=1,I836&lt;Inputs!$B$4),1,0)</f>
        <v>0</v>
      </c>
      <c r="Y836" s="7" t="n">
        <f aca="false">IF(AND(O836=1,T836&gt;Inputs!$B$5),1,0)</f>
        <v>0</v>
      </c>
      <c r="Z836" s="7" t="n">
        <f aca="false">IF(AND(O836=1,G836&lt;&gt;R836),1,0)</f>
        <v>0</v>
      </c>
      <c r="AA836" s="7" t="n">
        <f aca="false">IF(AND(O836=1,M836=""),1,0)</f>
        <v>0</v>
      </c>
      <c r="AB836" s="7" t="n">
        <f aca="false">IF(AND(E836="Closed Lost",N836=""),1,0)</f>
        <v>0</v>
      </c>
      <c r="AC836" s="7" t="n">
        <f aca="false">SUM(U836:AB836)</f>
        <v>0</v>
      </c>
      <c r="AD836" s="7" t="n">
        <f aca="false">IF(AC836=0,1,0)</f>
        <v>1</v>
      </c>
      <c r="AE836" s="7" t="n">
        <f aca="false">IF(AND(O836=1,I836&gt;=Inputs!$B$6,I836&lt;=Inputs!$B$7),1,0)</f>
        <v>1</v>
      </c>
      <c r="AF836" s="7" t="n">
        <f aca="false">IF(AND(E836="Closed Won",I836&gt;=Inputs!$B$6,I836&lt;=Inputs!$B$4),1,0)</f>
        <v>0</v>
      </c>
      <c r="AG836" s="7" t="n">
        <f aca="false">IF(AND(O836=0,I836&gt;Inputs!$B$4-Inputs!$B$8,I836&lt;=Inputs!$B$4),1,0)</f>
        <v>0</v>
      </c>
      <c r="AH836" s="7" t="n">
        <f aca="false">I836-H836</f>
        <v>257</v>
      </c>
    </row>
    <row r="837" customFormat="false" ht="15" hidden="false" customHeight="false" outlineLevel="0" collapsed="false">
      <c r="A837" s="16" t="s">
        <v>2365</v>
      </c>
      <c r="B837" s="16" t="s">
        <v>92</v>
      </c>
      <c r="C837" s="16" t="s">
        <v>2366</v>
      </c>
      <c r="D837" s="16" t="s">
        <v>167</v>
      </c>
      <c r="E837" s="16" t="s">
        <v>526</v>
      </c>
      <c r="F837" s="26" t="n">
        <v>1913000</v>
      </c>
      <c r="G837" s="25" t="n">
        <v>10</v>
      </c>
      <c r="H837" s="22" t="n">
        <v>46212</v>
      </c>
      <c r="I837" s="22" t="n">
        <v>46329</v>
      </c>
      <c r="J837" s="22" t="n">
        <v>46138</v>
      </c>
      <c r="K837" s="16" t="s">
        <v>691</v>
      </c>
      <c r="L837" s="16" t="s">
        <v>592</v>
      </c>
      <c r="M837" s="16" t="s">
        <v>613</v>
      </c>
      <c r="N837" s="16"/>
      <c r="O837" s="7" t="n">
        <f aca="false">IF(OR(E837="Closed Won",E837="Closed Lost"),0,1)</f>
        <v>1</v>
      </c>
      <c r="P837" s="17" t="str">
        <f aca="false">INDEX(Accounts!$K$5:$K$336,MATCH(B837,Accounts!$A$5:$A$336,0))</f>
        <v>Public Sector &amp; Development</v>
      </c>
      <c r="Q837" s="17" t="str">
        <f aca="false">INDEX(Accounts!$D$5:$D$336,MATCH(B837,Accounts!$A$5:$A$336,0))</f>
        <v>Priority</v>
      </c>
      <c r="R837" s="7" t="n">
        <f aca="false">INDEX(Inputs!$B$11:$B$16,MATCH(E837,Inputs!$A$11:$A$16,0))</f>
        <v>10</v>
      </c>
      <c r="S837" s="27" t="n">
        <f aca="false">IF(F837="",0,F837)*R837/100</f>
        <v>191300</v>
      </c>
      <c r="T837" s="7" t="n">
        <f aca="false">Inputs!$B$4-J837</f>
        <v>176</v>
      </c>
      <c r="U837" s="7" t="n">
        <f aca="false">IF(OR(F837="",F837=0),1,0)</f>
        <v>0</v>
      </c>
      <c r="V837" s="7" t="n">
        <f aca="false">IF(K837="",1,0)</f>
        <v>0</v>
      </c>
      <c r="W837" s="7" t="n">
        <f aca="false">IF(AND(O837=1,K837&lt;&gt;"",COUNTIFS(Owners!$A$5:$A$32,K837,Owners!$E$5:$E$32,"No")&gt;0),1,0)</f>
        <v>0</v>
      </c>
      <c r="X837" s="7" t="n">
        <f aca="false">IF(AND(O837=1,I837&lt;Inputs!$B$4),1,0)</f>
        <v>0</v>
      </c>
      <c r="Y837" s="7" t="n">
        <f aca="false">IF(AND(O837=1,T837&gt;Inputs!$B$5),1,0)</f>
        <v>1</v>
      </c>
      <c r="Z837" s="7" t="n">
        <f aca="false">IF(AND(O837=1,G837&lt;&gt;R837),1,0)</f>
        <v>0</v>
      </c>
      <c r="AA837" s="7" t="n">
        <f aca="false">IF(AND(O837=1,M837=""),1,0)</f>
        <v>0</v>
      </c>
      <c r="AB837" s="7" t="n">
        <f aca="false">IF(AND(E837="Closed Lost",N837=""),1,0)</f>
        <v>0</v>
      </c>
      <c r="AC837" s="7" t="n">
        <f aca="false">SUM(U837:AB837)</f>
        <v>1</v>
      </c>
      <c r="AD837" s="7" t="n">
        <f aca="false">IF(AC837=0,1,0)</f>
        <v>0</v>
      </c>
      <c r="AE837" s="7" t="n">
        <f aca="false">IF(AND(O837=1,I837&gt;=Inputs!$B$6,I837&lt;=Inputs!$B$7),1,0)</f>
        <v>1</v>
      </c>
      <c r="AF837" s="7" t="n">
        <f aca="false">IF(AND(E837="Closed Won",I837&gt;=Inputs!$B$6,I837&lt;=Inputs!$B$4),1,0)</f>
        <v>0</v>
      </c>
      <c r="AG837" s="7" t="n">
        <f aca="false">IF(AND(O837=0,I837&gt;Inputs!$B$4-Inputs!$B$8,I837&lt;=Inputs!$B$4),1,0)</f>
        <v>0</v>
      </c>
      <c r="AH837" s="7" t="n">
        <f aca="false">I837-H837</f>
        <v>117</v>
      </c>
    </row>
    <row r="838" customFormat="false" ht="15" hidden="false" customHeight="false" outlineLevel="0" collapsed="false">
      <c r="A838" s="16" t="s">
        <v>2367</v>
      </c>
      <c r="B838" s="16" t="s">
        <v>2368</v>
      </c>
      <c r="C838" s="16" t="s">
        <v>2369</v>
      </c>
      <c r="D838" s="16" t="s">
        <v>167</v>
      </c>
      <c r="E838" s="16" t="s">
        <v>531</v>
      </c>
      <c r="F838" s="26" t="n">
        <v>4567000</v>
      </c>
      <c r="G838" s="25" t="n">
        <v>0</v>
      </c>
      <c r="H838" s="22" t="n">
        <v>45940</v>
      </c>
      <c r="I838" s="22" t="n">
        <v>46171</v>
      </c>
      <c r="J838" s="22" t="n">
        <v>46171</v>
      </c>
      <c r="K838" s="16"/>
      <c r="L838" s="16" t="s">
        <v>584</v>
      </c>
      <c r="M838" s="16"/>
      <c r="N838" s="16"/>
      <c r="O838" s="7" t="n">
        <f aca="false">IF(OR(E838="Closed Won",E838="Closed Lost"),0,1)</f>
        <v>0</v>
      </c>
      <c r="P838" s="17" t="str">
        <f aca="false">INDEX(Accounts!$K$5:$K$336,MATCH(B838,Accounts!$A$5:$A$336,0))</f>
        <v>Financial Services</v>
      </c>
      <c r="Q838" s="17" t="str">
        <f aca="false">INDEX(Accounts!$D$5:$D$336,MATCH(B838,Accounts!$A$5:$A$336,0))</f>
        <v>Standard</v>
      </c>
      <c r="R838" s="7" t="n">
        <f aca="false">INDEX(Inputs!$B$11:$B$16,MATCH(E838,Inputs!$A$11:$A$16,0))</f>
        <v>0</v>
      </c>
      <c r="S838" s="27" t="n">
        <f aca="false">IF(F838="",0,F838)*R838/100</f>
        <v>0</v>
      </c>
      <c r="T838" s="7" t="n">
        <f aca="false">Inputs!$B$4-J838</f>
        <v>143</v>
      </c>
      <c r="U838" s="7" t="n">
        <f aca="false">IF(OR(F838="",F838=0),1,0)</f>
        <v>0</v>
      </c>
      <c r="V838" s="7" t="n">
        <f aca="false">IF(K838="",1,0)</f>
        <v>1</v>
      </c>
      <c r="W838" s="7" t="n">
        <f aca="false">IF(AND(O838=1,K838&lt;&gt;"",COUNTIFS(Owners!$A$5:$A$32,K838,Owners!$E$5:$E$32,"No")&gt;0),1,0)</f>
        <v>0</v>
      </c>
      <c r="X838" s="7" t="n">
        <f aca="false">IF(AND(O838=1,I838&lt;Inputs!$B$4),1,0)</f>
        <v>0</v>
      </c>
      <c r="Y838" s="7" t="n">
        <f aca="false">IF(AND(O838=1,T838&gt;Inputs!$B$5),1,0)</f>
        <v>0</v>
      </c>
      <c r="Z838" s="7" t="n">
        <f aca="false">IF(AND(O838=1,G838&lt;&gt;R838),1,0)</f>
        <v>0</v>
      </c>
      <c r="AA838" s="7" t="n">
        <f aca="false">IF(AND(O838=1,M838=""),1,0)</f>
        <v>0</v>
      </c>
      <c r="AB838" s="7" t="n">
        <f aca="false">IF(AND(E838="Closed Lost",N838=""),1,0)</f>
        <v>1</v>
      </c>
      <c r="AC838" s="7" t="n">
        <f aca="false">SUM(U838:AB838)</f>
        <v>2</v>
      </c>
      <c r="AD838" s="7" t="n">
        <f aca="false">IF(AC838=0,1,0)</f>
        <v>0</v>
      </c>
      <c r="AE838" s="7" t="n">
        <f aca="false">IF(AND(O838=1,I838&gt;=Inputs!$B$6,I838&lt;=Inputs!$B$7),1,0)</f>
        <v>0</v>
      </c>
      <c r="AF838" s="7" t="n">
        <f aca="false">IF(AND(E838="Closed Won",I838&gt;=Inputs!$B$6,I838&lt;=Inputs!$B$4),1,0)</f>
        <v>0</v>
      </c>
      <c r="AG838" s="7" t="n">
        <f aca="false">IF(AND(O838=0,I838&gt;Inputs!$B$4-Inputs!$B$8,I838&lt;=Inputs!$B$4),1,0)</f>
        <v>1</v>
      </c>
      <c r="AH838" s="7" t="n">
        <f aca="false">I838-H838</f>
        <v>231</v>
      </c>
    </row>
    <row r="839" customFormat="false" ht="15" hidden="false" customHeight="false" outlineLevel="0" collapsed="false">
      <c r="A839" s="16" t="s">
        <v>2370</v>
      </c>
      <c r="B839" s="16" t="s">
        <v>86</v>
      </c>
      <c r="C839" s="16" t="s">
        <v>2371</v>
      </c>
      <c r="D839" s="16" t="s">
        <v>167</v>
      </c>
      <c r="E839" s="16" t="s">
        <v>531</v>
      </c>
      <c r="F839" s="26" t="n">
        <v>7635000</v>
      </c>
      <c r="G839" s="25" t="n">
        <v>0</v>
      </c>
      <c r="H839" s="22" t="n">
        <v>46071</v>
      </c>
      <c r="I839" s="22" t="n">
        <v>46243</v>
      </c>
      <c r="J839" s="22" t="n">
        <v>46243</v>
      </c>
      <c r="K839" s="16" t="s">
        <v>654</v>
      </c>
      <c r="L839" s="16" t="s">
        <v>500</v>
      </c>
      <c r="M839" s="16"/>
      <c r="N839" s="16" t="s">
        <v>722</v>
      </c>
      <c r="O839" s="7" t="n">
        <f aca="false">IF(OR(E839="Closed Won",E839="Closed Lost"),0,1)</f>
        <v>0</v>
      </c>
      <c r="P839" s="17" t="str">
        <f aca="false">INDEX(Accounts!$K$5:$K$336,MATCH(B839,Accounts!$A$5:$A$336,0))</f>
        <v>Technology, Media &amp; Telecom</v>
      </c>
      <c r="Q839" s="17" t="str">
        <f aca="false">INDEX(Accounts!$D$5:$D$336,MATCH(B839,Accounts!$A$5:$A$336,0))</f>
        <v>Priority</v>
      </c>
      <c r="R839" s="7" t="n">
        <f aca="false">INDEX(Inputs!$B$11:$B$16,MATCH(E839,Inputs!$A$11:$A$16,0))</f>
        <v>0</v>
      </c>
      <c r="S839" s="27" t="n">
        <f aca="false">IF(F839="",0,F839)*R839/100</f>
        <v>0</v>
      </c>
      <c r="T839" s="7" t="n">
        <f aca="false">Inputs!$B$4-J839</f>
        <v>71</v>
      </c>
      <c r="U839" s="7" t="n">
        <f aca="false">IF(OR(F839="",F839=0),1,0)</f>
        <v>0</v>
      </c>
      <c r="V839" s="7" t="n">
        <f aca="false">IF(K839="",1,0)</f>
        <v>0</v>
      </c>
      <c r="W839" s="7" t="n">
        <f aca="false">IF(AND(O839=1,K839&lt;&gt;"",COUNTIFS(Owners!$A$5:$A$32,K839,Owners!$E$5:$E$32,"No")&gt;0),1,0)</f>
        <v>0</v>
      </c>
      <c r="X839" s="7" t="n">
        <f aca="false">IF(AND(O839=1,I839&lt;Inputs!$B$4),1,0)</f>
        <v>0</v>
      </c>
      <c r="Y839" s="7" t="n">
        <f aca="false">IF(AND(O839=1,T839&gt;Inputs!$B$5),1,0)</f>
        <v>0</v>
      </c>
      <c r="Z839" s="7" t="n">
        <f aca="false">IF(AND(O839=1,G839&lt;&gt;R839),1,0)</f>
        <v>0</v>
      </c>
      <c r="AA839" s="7" t="n">
        <f aca="false">IF(AND(O839=1,M839=""),1,0)</f>
        <v>0</v>
      </c>
      <c r="AB839" s="7" t="n">
        <f aca="false">IF(AND(E839="Closed Lost",N839=""),1,0)</f>
        <v>0</v>
      </c>
      <c r="AC839" s="7" t="n">
        <f aca="false">SUM(U839:AB839)</f>
        <v>0</v>
      </c>
      <c r="AD839" s="7" t="n">
        <f aca="false">IF(AC839=0,1,0)</f>
        <v>1</v>
      </c>
      <c r="AE839" s="7" t="n">
        <f aca="false">IF(AND(O839=1,I839&gt;=Inputs!$B$6,I839&lt;=Inputs!$B$7),1,0)</f>
        <v>0</v>
      </c>
      <c r="AF839" s="7" t="n">
        <f aca="false">IF(AND(E839="Closed Won",I839&gt;=Inputs!$B$6,I839&lt;=Inputs!$B$4),1,0)</f>
        <v>0</v>
      </c>
      <c r="AG839" s="7" t="n">
        <f aca="false">IF(AND(O839=0,I839&gt;Inputs!$B$4-Inputs!$B$8,I839&lt;=Inputs!$B$4),1,0)</f>
        <v>1</v>
      </c>
      <c r="AH839" s="7" t="n">
        <f aca="false">I839-H839</f>
        <v>172</v>
      </c>
    </row>
    <row r="840" customFormat="false" ht="15" hidden="false" customHeight="false" outlineLevel="0" collapsed="false">
      <c r="A840" s="16" t="s">
        <v>2372</v>
      </c>
      <c r="B840" s="16" t="s">
        <v>427</v>
      </c>
      <c r="C840" s="16" t="s">
        <v>2373</v>
      </c>
      <c r="D840" s="16" t="s">
        <v>162</v>
      </c>
      <c r="E840" s="16" t="s">
        <v>531</v>
      </c>
      <c r="F840" s="26" t="n">
        <v>7137000</v>
      </c>
      <c r="G840" s="25" t="n">
        <v>0</v>
      </c>
      <c r="H840" s="22" t="n">
        <v>46061</v>
      </c>
      <c r="I840" s="22" t="n">
        <v>46304</v>
      </c>
      <c r="J840" s="22" t="n">
        <v>46304</v>
      </c>
      <c r="K840" s="16" t="s">
        <v>666</v>
      </c>
      <c r="L840" s="16" t="s">
        <v>584</v>
      </c>
      <c r="M840" s="16"/>
      <c r="N840" s="16" t="s">
        <v>610</v>
      </c>
      <c r="O840" s="7" t="n">
        <f aca="false">IF(OR(E840="Closed Won",E840="Closed Lost"),0,1)</f>
        <v>0</v>
      </c>
      <c r="P840" s="17" t="str">
        <f aca="false">INDEX(Accounts!$K$5:$K$336,MATCH(B840,Accounts!$A$5:$A$336,0))</f>
        <v>Financial Services</v>
      </c>
      <c r="Q840" s="17" t="str">
        <f aca="false">INDEX(Accounts!$D$5:$D$336,MATCH(B840,Accounts!$A$5:$A$336,0))</f>
        <v>Standard</v>
      </c>
      <c r="R840" s="7" t="n">
        <f aca="false">INDEX(Inputs!$B$11:$B$16,MATCH(E840,Inputs!$A$11:$A$16,0))</f>
        <v>0</v>
      </c>
      <c r="S840" s="27" t="n">
        <f aca="false">IF(F840="",0,F840)*R840/100</f>
        <v>0</v>
      </c>
      <c r="T840" s="7" t="n">
        <f aca="false">Inputs!$B$4-J840</f>
        <v>10</v>
      </c>
      <c r="U840" s="7" t="n">
        <f aca="false">IF(OR(F840="",F840=0),1,0)</f>
        <v>0</v>
      </c>
      <c r="V840" s="7" t="n">
        <f aca="false">IF(K840="",1,0)</f>
        <v>0</v>
      </c>
      <c r="W840" s="7" t="n">
        <f aca="false">IF(AND(O840=1,K840&lt;&gt;"",COUNTIFS(Owners!$A$5:$A$32,K840,Owners!$E$5:$E$32,"No")&gt;0),1,0)</f>
        <v>0</v>
      </c>
      <c r="X840" s="7" t="n">
        <f aca="false">IF(AND(O840=1,I840&lt;Inputs!$B$4),1,0)</f>
        <v>0</v>
      </c>
      <c r="Y840" s="7" t="n">
        <f aca="false">IF(AND(O840=1,T840&gt;Inputs!$B$5),1,0)</f>
        <v>0</v>
      </c>
      <c r="Z840" s="7" t="n">
        <f aca="false">IF(AND(O840=1,G840&lt;&gt;R840),1,0)</f>
        <v>0</v>
      </c>
      <c r="AA840" s="7" t="n">
        <f aca="false">IF(AND(O840=1,M840=""),1,0)</f>
        <v>0</v>
      </c>
      <c r="AB840" s="7" t="n">
        <f aca="false">IF(AND(E840="Closed Lost",N840=""),1,0)</f>
        <v>0</v>
      </c>
      <c r="AC840" s="7" t="n">
        <f aca="false">SUM(U840:AB840)</f>
        <v>0</v>
      </c>
      <c r="AD840" s="7" t="n">
        <f aca="false">IF(AC840=0,1,0)</f>
        <v>1</v>
      </c>
      <c r="AE840" s="7" t="n">
        <f aca="false">IF(AND(O840=1,I840&gt;=Inputs!$B$6,I840&lt;=Inputs!$B$7),1,0)</f>
        <v>0</v>
      </c>
      <c r="AF840" s="7" t="n">
        <f aca="false">IF(AND(E840="Closed Won",I840&gt;=Inputs!$B$6,I840&lt;=Inputs!$B$4),1,0)</f>
        <v>0</v>
      </c>
      <c r="AG840" s="7" t="n">
        <f aca="false">IF(AND(O840=0,I840&gt;Inputs!$B$4-Inputs!$B$8,I840&lt;=Inputs!$B$4),1,0)</f>
        <v>1</v>
      </c>
      <c r="AH840" s="7" t="n">
        <f aca="false">I840-H840</f>
        <v>243</v>
      </c>
    </row>
    <row r="841" customFormat="false" ht="15" hidden="false" customHeight="false" outlineLevel="0" collapsed="false">
      <c r="A841" s="16" t="s">
        <v>2374</v>
      </c>
      <c r="B841" s="16" t="s">
        <v>991</v>
      </c>
      <c r="C841" s="16" t="s">
        <v>2253</v>
      </c>
      <c r="D841" s="16" t="s">
        <v>165</v>
      </c>
      <c r="E841" s="16" t="s">
        <v>530</v>
      </c>
      <c r="F841" s="26" t="n">
        <v>24154000</v>
      </c>
      <c r="G841" s="25" t="n">
        <v>100</v>
      </c>
      <c r="H841" s="22" t="n">
        <v>45895</v>
      </c>
      <c r="I841" s="22" t="n">
        <v>46082</v>
      </c>
      <c r="J841" s="22" t="n">
        <v>46082</v>
      </c>
      <c r="K841" s="16" t="s">
        <v>860</v>
      </c>
      <c r="L841" s="16" t="s">
        <v>609</v>
      </c>
      <c r="M841" s="16"/>
      <c r="N841" s="16"/>
      <c r="O841" s="7" t="n">
        <f aca="false">IF(OR(E841="Closed Won",E841="Closed Lost"),0,1)</f>
        <v>0</v>
      </c>
      <c r="P841" s="17" t="str">
        <f aca="false">INDEX(Accounts!$K$5:$K$336,MATCH(B841,Accounts!$A$5:$A$336,0))</f>
        <v>Energy &amp; Resources</v>
      </c>
      <c r="Q841" s="17" t="str">
        <f aca="false">INDEX(Accounts!$D$5:$D$336,MATCH(B841,Accounts!$A$5:$A$336,0))</f>
        <v>Standard</v>
      </c>
      <c r="R841" s="7" t="n">
        <f aca="false">INDEX(Inputs!$B$11:$B$16,MATCH(E841,Inputs!$A$11:$A$16,0))</f>
        <v>100</v>
      </c>
      <c r="S841" s="27" t="n">
        <f aca="false">IF(F841="",0,F841)*R841/100</f>
        <v>24154000</v>
      </c>
      <c r="T841" s="7" t="n">
        <f aca="false">Inputs!$B$4-J841</f>
        <v>232</v>
      </c>
      <c r="U841" s="7" t="n">
        <f aca="false">IF(OR(F841="",F841=0),1,0)</f>
        <v>0</v>
      </c>
      <c r="V841" s="7" t="n">
        <f aca="false">IF(K841="",1,0)</f>
        <v>0</v>
      </c>
      <c r="W841" s="7" t="n">
        <f aca="false">IF(AND(O841=1,K841&lt;&gt;"",COUNTIFS(Owners!$A$5:$A$32,K841,Owners!$E$5:$E$32,"No")&gt;0),1,0)</f>
        <v>0</v>
      </c>
      <c r="X841" s="7" t="n">
        <f aca="false">IF(AND(O841=1,I841&lt;Inputs!$B$4),1,0)</f>
        <v>0</v>
      </c>
      <c r="Y841" s="7" t="n">
        <f aca="false">IF(AND(O841=1,T841&gt;Inputs!$B$5),1,0)</f>
        <v>0</v>
      </c>
      <c r="Z841" s="7" t="n">
        <f aca="false">IF(AND(O841=1,G841&lt;&gt;R841),1,0)</f>
        <v>0</v>
      </c>
      <c r="AA841" s="7" t="n">
        <f aca="false">IF(AND(O841=1,M841=""),1,0)</f>
        <v>0</v>
      </c>
      <c r="AB841" s="7" t="n">
        <f aca="false">IF(AND(E841="Closed Lost",N841=""),1,0)</f>
        <v>0</v>
      </c>
      <c r="AC841" s="7" t="n">
        <f aca="false">SUM(U841:AB841)</f>
        <v>0</v>
      </c>
      <c r="AD841" s="7" t="n">
        <f aca="false">IF(AC841=0,1,0)</f>
        <v>1</v>
      </c>
      <c r="AE841" s="7" t="n">
        <f aca="false">IF(AND(O841=1,I841&gt;=Inputs!$B$6,I841&lt;=Inputs!$B$7),1,0)</f>
        <v>0</v>
      </c>
      <c r="AF841" s="7" t="n">
        <f aca="false">IF(AND(E841="Closed Won",I841&gt;=Inputs!$B$6,I841&lt;=Inputs!$B$4),1,0)</f>
        <v>0</v>
      </c>
      <c r="AG841" s="7" t="n">
        <f aca="false">IF(AND(O841=0,I841&gt;Inputs!$B$4-Inputs!$B$8,I841&lt;=Inputs!$B$4),1,0)</f>
        <v>1</v>
      </c>
      <c r="AH841" s="7" t="n">
        <f aca="false">I841-H841</f>
        <v>187</v>
      </c>
    </row>
    <row r="842" customFormat="false" ht="15" hidden="false" customHeight="false" outlineLevel="0" collapsed="false">
      <c r="A842" s="16" t="s">
        <v>2375</v>
      </c>
      <c r="B842" s="16" t="s">
        <v>89</v>
      </c>
      <c r="C842" s="16" t="s">
        <v>2376</v>
      </c>
      <c r="D842" s="16" t="s">
        <v>177</v>
      </c>
      <c r="E842" s="16" t="s">
        <v>527</v>
      </c>
      <c r="F842" s="26" t="n">
        <v>1600000</v>
      </c>
      <c r="G842" s="25" t="n">
        <v>25</v>
      </c>
      <c r="H842" s="22" t="n">
        <v>46181</v>
      </c>
      <c r="I842" s="22" t="n">
        <v>46441</v>
      </c>
      <c r="J842" s="22" t="n">
        <v>46279</v>
      </c>
      <c r="K842" s="16" t="s">
        <v>685</v>
      </c>
      <c r="L842" s="16" t="s">
        <v>574</v>
      </c>
      <c r="M842" s="16"/>
      <c r="N842" s="16"/>
      <c r="O842" s="7" t="n">
        <f aca="false">IF(OR(E842="Closed Won",E842="Closed Lost"),0,1)</f>
        <v>1</v>
      </c>
      <c r="P842" s="17" t="str">
        <f aca="false">INDEX(Accounts!$K$5:$K$336,MATCH(B842,Accounts!$A$5:$A$336,0))</f>
        <v>Agribusiness</v>
      </c>
      <c r="Q842" s="17" t="str">
        <f aca="false">INDEX(Accounts!$D$5:$D$336,MATCH(B842,Accounts!$A$5:$A$336,0))</f>
        <v>Priority</v>
      </c>
      <c r="R842" s="7" t="n">
        <f aca="false">INDEX(Inputs!$B$11:$B$16,MATCH(E842,Inputs!$A$11:$A$16,0))</f>
        <v>25</v>
      </c>
      <c r="S842" s="27" t="n">
        <f aca="false">IF(F842="",0,F842)*R842/100</f>
        <v>400000</v>
      </c>
      <c r="T842" s="7" t="n">
        <f aca="false">Inputs!$B$4-J842</f>
        <v>35</v>
      </c>
      <c r="U842" s="7" t="n">
        <f aca="false">IF(OR(F842="",F842=0),1,0)</f>
        <v>0</v>
      </c>
      <c r="V842" s="7" t="n">
        <f aca="false">IF(K842="",1,0)</f>
        <v>0</v>
      </c>
      <c r="W842" s="7" t="n">
        <f aca="false">IF(AND(O842=1,K842&lt;&gt;"",COUNTIFS(Owners!$A$5:$A$32,K842,Owners!$E$5:$E$32,"No")&gt;0),1,0)</f>
        <v>0</v>
      </c>
      <c r="X842" s="7" t="n">
        <f aca="false">IF(AND(O842=1,I842&lt;Inputs!$B$4),1,0)</f>
        <v>0</v>
      </c>
      <c r="Y842" s="7" t="n">
        <f aca="false">IF(AND(O842=1,T842&gt;Inputs!$B$5),1,0)</f>
        <v>0</v>
      </c>
      <c r="Z842" s="7" t="n">
        <f aca="false">IF(AND(O842=1,G842&lt;&gt;R842),1,0)</f>
        <v>0</v>
      </c>
      <c r="AA842" s="7" t="n">
        <f aca="false">IF(AND(O842=1,M842=""),1,0)</f>
        <v>1</v>
      </c>
      <c r="AB842" s="7" t="n">
        <f aca="false">IF(AND(E842="Closed Lost",N842=""),1,0)</f>
        <v>0</v>
      </c>
      <c r="AC842" s="7" t="n">
        <f aca="false">SUM(U842:AB842)</f>
        <v>1</v>
      </c>
      <c r="AD842" s="7" t="n">
        <f aca="false">IF(AC842=0,1,0)</f>
        <v>0</v>
      </c>
      <c r="AE842" s="7" t="n">
        <f aca="false">IF(AND(O842=1,I842&gt;=Inputs!$B$6,I842&lt;=Inputs!$B$7),1,0)</f>
        <v>1</v>
      </c>
      <c r="AF842" s="7" t="n">
        <f aca="false">IF(AND(E842="Closed Won",I842&gt;=Inputs!$B$6,I842&lt;=Inputs!$B$4),1,0)</f>
        <v>0</v>
      </c>
      <c r="AG842" s="7" t="n">
        <f aca="false">IF(AND(O842=0,I842&gt;Inputs!$B$4-Inputs!$B$8,I842&lt;=Inputs!$B$4),1,0)</f>
        <v>0</v>
      </c>
      <c r="AH842" s="7" t="n">
        <f aca="false">I842-H842</f>
        <v>260</v>
      </c>
    </row>
    <row r="843" customFormat="false" ht="15" hidden="false" customHeight="false" outlineLevel="0" collapsed="false">
      <c r="A843" s="16" t="s">
        <v>2377</v>
      </c>
      <c r="B843" s="16" t="s">
        <v>80</v>
      </c>
      <c r="C843" s="16" t="s">
        <v>924</v>
      </c>
      <c r="D843" s="16" t="s">
        <v>165</v>
      </c>
      <c r="E843" s="16" t="s">
        <v>530</v>
      </c>
      <c r="F843" s="26" t="n">
        <v>7832000</v>
      </c>
      <c r="G843" s="25" t="n">
        <v>100</v>
      </c>
      <c r="H843" s="22" t="n">
        <v>46071</v>
      </c>
      <c r="I843" s="22" t="n">
        <v>46150</v>
      </c>
      <c r="J843" s="22" t="n">
        <v>46150</v>
      </c>
      <c r="K843" s="16" t="s">
        <v>573</v>
      </c>
      <c r="L843" s="16" t="s">
        <v>592</v>
      </c>
      <c r="M843" s="16"/>
      <c r="N843" s="16"/>
      <c r="O843" s="7" t="n">
        <f aca="false">IF(OR(E843="Closed Won",E843="Closed Lost"),0,1)</f>
        <v>0</v>
      </c>
      <c r="P843" s="17" t="str">
        <f aca="false">INDEX(Accounts!$K$5:$K$336,MATCH(B843,Accounts!$A$5:$A$336,0))</f>
        <v>Public Sector &amp; Development</v>
      </c>
      <c r="Q843" s="17" t="str">
        <f aca="false">INDEX(Accounts!$D$5:$D$336,MATCH(B843,Accounts!$A$5:$A$336,0))</f>
        <v>Priority</v>
      </c>
      <c r="R843" s="7" t="n">
        <f aca="false">INDEX(Inputs!$B$11:$B$16,MATCH(E843,Inputs!$A$11:$A$16,0))</f>
        <v>100</v>
      </c>
      <c r="S843" s="27" t="n">
        <f aca="false">IF(F843="",0,F843)*R843/100</f>
        <v>7832000</v>
      </c>
      <c r="T843" s="7" t="n">
        <f aca="false">Inputs!$B$4-J843</f>
        <v>164</v>
      </c>
      <c r="U843" s="7" t="n">
        <f aca="false">IF(OR(F843="",F843=0),1,0)</f>
        <v>0</v>
      </c>
      <c r="V843" s="7" t="n">
        <f aca="false">IF(K843="",1,0)</f>
        <v>0</v>
      </c>
      <c r="W843" s="7" t="n">
        <f aca="false">IF(AND(O843=1,K843&lt;&gt;"",COUNTIFS(Owners!$A$5:$A$32,K843,Owners!$E$5:$E$32,"No")&gt;0),1,0)</f>
        <v>0</v>
      </c>
      <c r="X843" s="7" t="n">
        <f aca="false">IF(AND(O843=1,I843&lt;Inputs!$B$4),1,0)</f>
        <v>0</v>
      </c>
      <c r="Y843" s="7" t="n">
        <f aca="false">IF(AND(O843=1,T843&gt;Inputs!$B$5),1,0)</f>
        <v>0</v>
      </c>
      <c r="Z843" s="7" t="n">
        <f aca="false">IF(AND(O843=1,G843&lt;&gt;R843),1,0)</f>
        <v>0</v>
      </c>
      <c r="AA843" s="7" t="n">
        <f aca="false">IF(AND(O843=1,M843=""),1,0)</f>
        <v>0</v>
      </c>
      <c r="AB843" s="7" t="n">
        <f aca="false">IF(AND(E843="Closed Lost",N843=""),1,0)</f>
        <v>0</v>
      </c>
      <c r="AC843" s="7" t="n">
        <f aca="false">SUM(U843:AB843)</f>
        <v>0</v>
      </c>
      <c r="AD843" s="7" t="n">
        <f aca="false">IF(AC843=0,1,0)</f>
        <v>1</v>
      </c>
      <c r="AE843" s="7" t="n">
        <f aca="false">IF(AND(O843=1,I843&gt;=Inputs!$B$6,I843&lt;=Inputs!$B$7),1,0)</f>
        <v>0</v>
      </c>
      <c r="AF843" s="7" t="n">
        <f aca="false">IF(AND(E843="Closed Won",I843&gt;=Inputs!$B$6,I843&lt;=Inputs!$B$4),1,0)</f>
        <v>0</v>
      </c>
      <c r="AG843" s="7" t="n">
        <f aca="false">IF(AND(O843=0,I843&gt;Inputs!$B$4-Inputs!$B$8,I843&lt;=Inputs!$B$4),1,0)</f>
        <v>1</v>
      </c>
      <c r="AH843" s="7" t="n">
        <f aca="false">I843-H843</f>
        <v>79</v>
      </c>
    </row>
    <row r="844" customFormat="false" ht="15" hidden="false" customHeight="false" outlineLevel="0" collapsed="false">
      <c r="A844" s="16" t="s">
        <v>2378</v>
      </c>
      <c r="B844" s="16" t="s">
        <v>668</v>
      </c>
      <c r="C844" s="16" t="s">
        <v>2379</v>
      </c>
      <c r="D844" s="16" t="s">
        <v>167</v>
      </c>
      <c r="E844" s="16" t="s">
        <v>529</v>
      </c>
      <c r="F844" s="26" t="n">
        <v>19423000</v>
      </c>
      <c r="G844" s="25" t="n">
        <v>75</v>
      </c>
      <c r="H844" s="22" t="n">
        <v>46157</v>
      </c>
      <c r="I844" s="22" t="n">
        <v>46310</v>
      </c>
      <c r="J844" s="22" t="n">
        <v>46311</v>
      </c>
      <c r="K844" s="16" t="s">
        <v>860</v>
      </c>
      <c r="L844" s="16" t="s">
        <v>609</v>
      </c>
      <c r="M844" s="16" t="s">
        <v>593</v>
      </c>
      <c r="N844" s="16"/>
      <c r="O844" s="7" t="n">
        <f aca="false">IF(OR(E844="Closed Won",E844="Closed Lost"),0,1)</f>
        <v>1</v>
      </c>
      <c r="P844" s="17" t="str">
        <f aca="false">INDEX(Accounts!$K$5:$K$336,MATCH(B844,Accounts!$A$5:$A$336,0))</f>
        <v>Public Sector &amp; Development</v>
      </c>
      <c r="Q844" s="17" t="str">
        <f aca="false">INDEX(Accounts!$D$5:$D$336,MATCH(B844,Accounts!$A$5:$A$336,0))</f>
        <v>Key</v>
      </c>
      <c r="R844" s="7" t="n">
        <f aca="false">INDEX(Inputs!$B$11:$B$16,MATCH(E844,Inputs!$A$11:$A$16,0))</f>
        <v>75</v>
      </c>
      <c r="S844" s="27" t="n">
        <f aca="false">IF(F844="",0,F844)*R844/100</f>
        <v>14567250</v>
      </c>
      <c r="T844" s="7" t="n">
        <f aca="false">Inputs!$B$4-J844</f>
        <v>3</v>
      </c>
      <c r="U844" s="7" t="n">
        <f aca="false">IF(OR(F844="",F844=0),1,0)</f>
        <v>0</v>
      </c>
      <c r="V844" s="7" t="n">
        <f aca="false">IF(K844="",1,0)</f>
        <v>0</v>
      </c>
      <c r="W844" s="7" t="n">
        <f aca="false">IF(AND(O844=1,K844&lt;&gt;"",COUNTIFS(Owners!$A$5:$A$32,K844,Owners!$E$5:$E$32,"No")&gt;0),1,0)</f>
        <v>0</v>
      </c>
      <c r="X844" s="7" t="n">
        <f aca="false">IF(AND(O844=1,I844&lt;Inputs!$B$4),1,0)</f>
        <v>1</v>
      </c>
      <c r="Y844" s="7" t="n">
        <f aca="false">IF(AND(O844=1,T844&gt;Inputs!$B$5),1,0)</f>
        <v>0</v>
      </c>
      <c r="Z844" s="7" t="n">
        <f aca="false">IF(AND(O844=1,G844&lt;&gt;R844),1,0)</f>
        <v>0</v>
      </c>
      <c r="AA844" s="7" t="n">
        <f aca="false">IF(AND(O844=1,M844=""),1,0)</f>
        <v>0</v>
      </c>
      <c r="AB844" s="7" t="n">
        <f aca="false">IF(AND(E844="Closed Lost",N844=""),1,0)</f>
        <v>0</v>
      </c>
      <c r="AC844" s="7" t="n">
        <f aca="false">SUM(U844:AB844)</f>
        <v>1</v>
      </c>
      <c r="AD844" s="7" t="n">
        <f aca="false">IF(AC844=0,1,0)</f>
        <v>0</v>
      </c>
      <c r="AE844" s="7" t="n">
        <f aca="false">IF(AND(O844=1,I844&gt;=Inputs!$B$6,I844&lt;=Inputs!$B$7),1,0)</f>
        <v>1</v>
      </c>
      <c r="AF844" s="7" t="n">
        <f aca="false">IF(AND(E844="Closed Won",I844&gt;=Inputs!$B$6,I844&lt;=Inputs!$B$4),1,0)</f>
        <v>0</v>
      </c>
      <c r="AG844" s="7" t="n">
        <f aca="false">IF(AND(O844=0,I844&gt;Inputs!$B$4-Inputs!$B$8,I844&lt;=Inputs!$B$4),1,0)</f>
        <v>0</v>
      </c>
      <c r="AH844" s="7" t="n">
        <f aca="false">I844-H844</f>
        <v>153</v>
      </c>
    </row>
    <row r="845" customFormat="false" ht="15" hidden="false" customHeight="false" outlineLevel="0" collapsed="false">
      <c r="A845" s="16" t="s">
        <v>2380</v>
      </c>
      <c r="B845" s="16" t="s">
        <v>431</v>
      </c>
      <c r="C845" s="16" t="s">
        <v>2381</v>
      </c>
      <c r="D845" s="16" t="s">
        <v>162</v>
      </c>
      <c r="E845" s="16" t="s">
        <v>530</v>
      </c>
      <c r="F845" s="26"/>
      <c r="G845" s="25" t="n">
        <v>100</v>
      </c>
      <c r="H845" s="22" t="n">
        <v>45896</v>
      </c>
      <c r="I845" s="22" t="n">
        <v>46130</v>
      </c>
      <c r="J845" s="22" t="n">
        <v>46130</v>
      </c>
      <c r="K845" s="16" t="s">
        <v>600</v>
      </c>
      <c r="L845" s="16" t="s">
        <v>609</v>
      </c>
      <c r="M845" s="16"/>
      <c r="N845" s="16"/>
      <c r="O845" s="7" t="n">
        <f aca="false">IF(OR(E845="Closed Won",E845="Closed Lost"),0,1)</f>
        <v>0</v>
      </c>
      <c r="P845" s="17" t="str">
        <f aca="false">INDEX(Accounts!$K$5:$K$336,MATCH(B845,Accounts!$A$5:$A$336,0))</f>
        <v>Public Sector &amp; Development</v>
      </c>
      <c r="Q845" s="17" t="str">
        <f aca="false">INDEX(Accounts!$D$5:$D$336,MATCH(B845,Accounts!$A$5:$A$336,0))</f>
        <v>Key</v>
      </c>
      <c r="R845" s="7" t="n">
        <f aca="false">INDEX(Inputs!$B$11:$B$16,MATCH(E845,Inputs!$A$11:$A$16,0))</f>
        <v>100</v>
      </c>
      <c r="S845" s="27" t="n">
        <f aca="false">IF(F845="",0,F845)*R845/100</f>
        <v>0</v>
      </c>
      <c r="T845" s="7" t="n">
        <f aca="false">Inputs!$B$4-J845</f>
        <v>184</v>
      </c>
      <c r="U845" s="7" t="n">
        <f aca="false">IF(OR(F845="",F845=0),1,0)</f>
        <v>1</v>
      </c>
      <c r="V845" s="7" t="n">
        <f aca="false">IF(K845="",1,0)</f>
        <v>0</v>
      </c>
      <c r="W845" s="7" t="n">
        <f aca="false">IF(AND(O845=1,K845&lt;&gt;"",COUNTIFS(Owners!$A$5:$A$32,K845,Owners!$E$5:$E$32,"No")&gt;0),1,0)</f>
        <v>0</v>
      </c>
      <c r="X845" s="7" t="n">
        <f aca="false">IF(AND(O845=1,I845&lt;Inputs!$B$4),1,0)</f>
        <v>0</v>
      </c>
      <c r="Y845" s="7" t="n">
        <f aca="false">IF(AND(O845=1,T845&gt;Inputs!$B$5),1,0)</f>
        <v>0</v>
      </c>
      <c r="Z845" s="7" t="n">
        <f aca="false">IF(AND(O845=1,G845&lt;&gt;R845),1,0)</f>
        <v>0</v>
      </c>
      <c r="AA845" s="7" t="n">
        <f aca="false">IF(AND(O845=1,M845=""),1,0)</f>
        <v>0</v>
      </c>
      <c r="AB845" s="7" t="n">
        <f aca="false">IF(AND(E845="Closed Lost",N845=""),1,0)</f>
        <v>0</v>
      </c>
      <c r="AC845" s="7" t="n">
        <f aca="false">SUM(U845:AB845)</f>
        <v>1</v>
      </c>
      <c r="AD845" s="7" t="n">
        <f aca="false">IF(AC845=0,1,0)</f>
        <v>0</v>
      </c>
      <c r="AE845" s="7" t="n">
        <f aca="false">IF(AND(O845=1,I845&gt;=Inputs!$B$6,I845&lt;=Inputs!$B$7),1,0)</f>
        <v>0</v>
      </c>
      <c r="AF845" s="7" t="n">
        <f aca="false">IF(AND(E845="Closed Won",I845&gt;=Inputs!$B$6,I845&lt;=Inputs!$B$4),1,0)</f>
        <v>0</v>
      </c>
      <c r="AG845" s="7" t="n">
        <f aca="false">IF(AND(O845=0,I845&gt;Inputs!$B$4-Inputs!$B$8,I845&lt;=Inputs!$B$4),1,0)</f>
        <v>1</v>
      </c>
      <c r="AH845" s="7" t="n">
        <f aca="false">I845-H845</f>
        <v>234</v>
      </c>
    </row>
    <row r="846" customFormat="false" ht="15" hidden="false" customHeight="false" outlineLevel="0" collapsed="false">
      <c r="A846" s="16" t="s">
        <v>2382</v>
      </c>
      <c r="B846" s="16" t="s">
        <v>66</v>
      </c>
      <c r="C846" s="16" t="s">
        <v>2383</v>
      </c>
      <c r="D846" s="16" t="s">
        <v>167</v>
      </c>
      <c r="E846" s="16" t="s">
        <v>528</v>
      </c>
      <c r="F846" s="26" t="n">
        <v>16360000</v>
      </c>
      <c r="G846" s="25" t="n">
        <v>50</v>
      </c>
      <c r="H846" s="22" t="n">
        <v>46218</v>
      </c>
      <c r="I846" s="22" t="n">
        <v>46363</v>
      </c>
      <c r="J846" s="22" t="n">
        <v>46286</v>
      </c>
      <c r="K846" s="16" t="s">
        <v>880</v>
      </c>
      <c r="L846" s="16" t="s">
        <v>592</v>
      </c>
      <c r="M846" s="16" t="s">
        <v>575</v>
      </c>
      <c r="N846" s="16"/>
      <c r="O846" s="7" t="n">
        <f aca="false">IF(OR(E846="Closed Won",E846="Closed Lost"),0,1)</f>
        <v>1</v>
      </c>
      <c r="P846" s="17" t="str">
        <f aca="false">INDEX(Accounts!$K$5:$K$336,MATCH(B846,Accounts!$A$5:$A$336,0))</f>
        <v>Financial Services</v>
      </c>
      <c r="Q846" s="17" t="str">
        <f aca="false">INDEX(Accounts!$D$5:$D$336,MATCH(B846,Accounts!$A$5:$A$336,0))</f>
        <v>Priority</v>
      </c>
      <c r="R846" s="7" t="n">
        <f aca="false">INDEX(Inputs!$B$11:$B$16,MATCH(E846,Inputs!$A$11:$A$16,0))</f>
        <v>50</v>
      </c>
      <c r="S846" s="27" t="n">
        <f aca="false">IF(F846="",0,F846)*R846/100</f>
        <v>8180000</v>
      </c>
      <c r="T846" s="7" t="n">
        <f aca="false">Inputs!$B$4-J846</f>
        <v>28</v>
      </c>
      <c r="U846" s="7" t="n">
        <f aca="false">IF(OR(F846="",F846=0),1,0)</f>
        <v>0</v>
      </c>
      <c r="V846" s="7" t="n">
        <f aca="false">IF(K846="",1,0)</f>
        <v>0</v>
      </c>
      <c r="W846" s="7" t="n">
        <f aca="false">IF(AND(O846=1,K846&lt;&gt;"",COUNTIFS(Owners!$A$5:$A$32,K846,Owners!$E$5:$E$32,"No")&gt;0),1,0)</f>
        <v>1</v>
      </c>
      <c r="X846" s="7" t="n">
        <f aca="false">IF(AND(O846=1,I846&lt;Inputs!$B$4),1,0)</f>
        <v>0</v>
      </c>
      <c r="Y846" s="7" t="n">
        <f aca="false">IF(AND(O846=1,T846&gt;Inputs!$B$5),1,0)</f>
        <v>0</v>
      </c>
      <c r="Z846" s="7" t="n">
        <f aca="false">IF(AND(O846=1,G846&lt;&gt;R846),1,0)</f>
        <v>0</v>
      </c>
      <c r="AA846" s="7" t="n">
        <f aca="false">IF(AND(O846=1,M846=""),1,0)</f>
        <v>0</v>
      </c>
      <c r="AB846" s="7" t="n">
        <f aca="false">IF(AND(E846="Closed Lost",N846=""),1,0)</f>
        <v>0</v>
      </c>
      <c r="AC846" s="7" t="n">
        <f aca="false">SUM(U846:AB846)</f>
        <v>1</v>
      </c>
      <c r="AD846" s="7" t="n">
        <f aca="false">IF(AC846=0,1,0)</f>
        <v>0</v>
      </c>
      <c r="AE846" s="7" t="n">
        <f aca="false">IF(AND(O846=1,I846&gt;=Inputs!$B$6,I846&lt;=Inputs!$B$7),1,0)</f>
        <v>1</v>
      </c>
      <c r="AF846" s="7" t="n">
        <f aca="false">IF(AND(E846="Closed Won",I846&gt;=Inputs!$B$6,I846&lt;=Inputs!$B$4),1,0)</f>
        <v>0</v>
      </c>
      <c r="AG846" s="7" t="n">
        <f aca="false">IF(AND(O846=0,I846&gt;Inputs!$B$4-Inputs!$B$8,I846&lt;=Inputs!$B$4),1,0)</f>
        <v>0</v>
      </c>
      <c r="AH846" s="7" t="n">
        <f aca="false">I846-H846</f>
        <v>145</v>
      </c>
    </row>
    <row r="847" customFormat="false" ht="15" hidden="false" customHeight="false" outlineLevel="0" collapsed="false">
      <c r="A847" s="16" t="s">
        <v>2384</v>
      </c>
      <c r="B847" s="16" t="s">
        <v>66</v>
      </c>
      <c r="C847" s="16" t="s">
        <v>2297</v>
      </c>
      <c r="D847" s="16" t="s">
        <v>165</v>
      </c>
      <c r="E847" s="16" t="s">
        <v>527</v>
      </c>
      <c r="F847" s="26"/>
      <c r="G847" s="25" t="n">
        <v>25</v>
      </c>
      <c r="H847" s="22" t="n">
        <v>46244</v>
      </c>
      <c r="I847" s="22" t="n">
        <v>46434</v>
      </c>
      <c r="J847" s="22" t="n">
        <v>46292</v>
      </c>
      <c r="K847" s="16" t="s">
        <v>640</v>
      </c>
      <c r="L847" s="16" t="s">
        <v>584</v>
      </c>
      <c r="M847" s="16" t="s">
        <v>593</v>
      </c>
      <c r="N847" s="16"/>
      <c r="O847" s="7" t="n">
        <f aca="false">IF(OR(E847="Closed Won",E847="Closed Lost"),0,1)</f>
        <v>1</v>
      </c>
      <c r="P847" s="17" t="str">
        <f aca="false">INDEX(Accounts!$K$5:$K$336,MATCH(B847,Accounts!$A$5:$A$336,0))</f>
        <v>Financial Services</v>
      </c>
      <c r="Q847" s="17" t="str">
        <f aca="false">INDEX(Accounts!$D$5:$D$336,MATCH(B847,Accounts!$A$5:$A$336,0))</f>
        <v>Priority</v>
      </c>
      <c r="R847" s="7" t="n">
        <f aca="false">INDEX(Inputs!$B$11:$B$16,MATCH(E847,Inputs!$A$11:$A$16,0))</f>
        <v>25</v>
      </c>
      <c r="S847" s="27" t="n">
        <f aca="false">IF(F847="",0,F847)*R847/100</f>
        <v>0</v>
      </c>
      <c r="T847" s="7" t="n">
        <f aca="false">Inputs!$B$4-J847</f>
        <v>22</v>
      </c>
      <c r="U847" s="7" t="n">
        <f aca="false">IF(OR(F847="",F847=0),1,0)</f>
        <v>1</v>
      </c>
      <c r="V847" s="7" t="n">
        <f aca="false">IF(K847="",1,0)</f>
        <v>0</v>
      </c>
      <c r="W847" s="7" t="n">
        <f aca="false">IF(AND(O847=1,K847&lt;&gt;"",COUNTIFS(Owners!$A$5:$A$32,K847,Owners!$E$5:$E$32,"No")&gt;0),1,0)</f>
        <v>0</v>
      </c>
      <c r="X847" s="7" t="n">
        <f aca="false">IF(AND(O847=1,I847&lt;Inputs!$B$4),1,0)</f>
        <v>0</v>
      </c>
      <c r="Y847" s="7" t="n">
        <f aca="false">IF(AND(O847=1,T847&gt;Inputs!$B$5),1,0)</f>
        <v>0</v>
      </c>
      <c r="Z847" s="7" t="n">
        <f aca="false">IF(AND(O847=1,G847&lt;&gt;R847),1,0)</f>
        <v>0</v>
      </c>
      <c r="AA847" s="7" t="n">
        <f aca="false">IF(AND(O847=1,M847=""),1,0)</f>
        <v>0</v>
      </c>
      <c r="AB847" s="7" t="n">
        <f aca="false">IF(AND(E847="Closed Lost",N847=""),1,0)</f>
        <v>0</v>
      </c>
      <c r="AC847" s="7" t="n">
        <f aca="false">SUM(U847:AB847)</f>
        <v>1</v>
      </c>
      <c r="AD847" s="7" t="n">
        <f aca="false">IF(AC847=0,1,0)</f>
        <v>0</v>
      </c>
      <c r="AE847" s="7" t="n">
        <f aca="false">IF(AND(O847=1,I847&gt;=Inputs!$B$6,I847&lt;=Inputs!$B$7),1,0)</f>
        <v>1</v>
      </c>
      <c r="AF847" s="7" t="n">
        <f aca="false">IF(AND(E847="Closed Won",I847&gt;=Inputs!$B$6,I847&lt;=Inputs!$B$4),1,0)</f>
        <v>0</v>
      </c>
      <c r="AG847" s="7" t="n">
        <f aca="false">IF(AND(O847=0,I847&gt;Inputs!$B$4-Inputs!$B$8,I847&lt;=Inputs!$B$4),1,0)</f>
        <v>0</v>
      </c>
      <c r="AH847" s="7" t="n">
        <f aca="false">I847-H847</f>
        <v>190</v>
      </c>
    </row>
    <row r="848" customFormat="false" ht="15" hidden="false" customHeight="false" outlineLevel="0" collapsed="false">
      <c r="A848" s="16" t="s">
        <v>2385</v>
      </c>
      <c r="B848" s="16" t="s">
        <v>91</v>
      </c>
      <c r="C848" s="16" t="s">
        <v>2386</v>
      </c>
      <c r="D848" s="16" t="s">
        <v>167</v>
      </c>
      <c r="E848" s="16" t="s">
        <v>531</v>
      </c>
      <c r="F848" s="26" t="n">
        <v>10384000</v>
      </c>
      <c r="G848" s="25" t="n">
        <v>0</v>
      </c>
      <c r="H848" s="22" t="n">
        <v>45949</v>
      </c>
      <c r="I848" s="22" t="n">
        <v>46162</v>
      </c>
      <c r="J848" s="22" t="n">
        <v>46162</v>
      </c>
      <c r="K848" s="16" t="s">
        <v>633</v>
      </c>
      <c r="L848" s="16" t="s">
        <v>568</v>
      </c>
      <c r="M848" s="16"/>
      <c r="N848" s="16" t="s">
        <v>597</v>
      </c>
      <c r="O848" s="7" t="n">
        <f aca="false">IF(OR(E848="Closed Won",E848="Closed Lost"),0,1)</f>
        <v>0</v>
      </c>
      <c r="P848" s="17" t="str">
        <f aca="false">INDEX(Accounts!$K$5:$K$336,MATCH(B848,Accounts!$A$5:$A$336,0))</f>
        <v>Technology, Media &amp; Telecom</v>
      </c>
      <c r="Q848" s="17" t="str">
        <f aca="false">INDEX(Accounts!$D$5:$D$336,MATCH(B848,Accounts!$A$5:$A$336,0))</f>
        <v>Priority</v>
      </c>
      <c r="R848" s="7" t="n">
        <f aca="false">INDEX(Inputs!$B$11:$B$16,MATCH(E848,Inputs!$A$11:$A$16,0))</f>
        <v>0</v>
      </c>
      <c r="S848" s="27" t="n">
        <f aca="false">IF(F848="",0,F848)*R848/100</f>
        <v>0</v>
      </c>
      <c r="T848" s="7" t="n">
        <f aca="false">Inputs!$B$4-J848</f>
        <v>152</v>
      </c>
      <c r="U848" s="7" t="n">
        <f aca="false">IF(OR(F848="",F848=0),1,0)</f>
        <v>0</v>
      </c>
      <c r="V848" s="7" t="n">
        <f aca="false">IF(K848="",1,0)</f>
        <v>0</v>
      </c>
      <c r="W848" s="7" t="n">
        <f aca="false">IF(AND(O848=1,K848&lt;&gt;"",COUNTIFS(Owners!$A$5:$A$32,K848,Owners!$E$5:$E$32,"No")&gt;0),1,0)</f>
        <v>0</v>
      </c>
      <c r="X848" s="7" t="n">
        <f aca="false">IF(AND(O848=1,I848&lt;Inputs!$B$4),1,0)</f>
        <v>0</v>
      </c>
      <c r="Y848" s="7" t="n">
        <f aca="false">IF(AND(O848=1,T848&gt;Inputs!$B$5),1,0)</f>
        <v>0</v>
      </c>
      <c r="Z848" s="7" t="n">
        <f aca="false">IF(AND(O848=1,G848&lt;&gt;R848),1,0)</f>
        <v>0</v>
      </c>
      <c r="AA848" s="7" t="n">
        <f aca="false">IF(AND(O848=1,M848=""),1,0)</f>
        <v>0</v>
      </c>
      <c r="AB848" s="7" t="n">
        <f aca="false">IF(AND(E848="Closed Lost",N848=""),1,0)</f>
        <v>0</v>
      </c>
      <c r="AC848" s="7" t="n">
        <f aca="false">SUM(U848:AB848)</f>
        <v>0</v>
      </c>
      <c r="AD848" s="7" t="n">
        <f aca="false">IF(AC848=0,1,0)</f>
        <v>1</v>
      </c>
      <c r="AE848" s="7" t="n">
        <f aca="false">IF(AND(O848=1,I848&gt;=Inputs!$B$6,I848&lt;=Inputs!$B$7),1,0)</f>
        <v>0</v>
      </c>
      <c r="AF848" s="7" t="n">
        <f aca="false">IF(AND(E848="Closed Won",I848&gt;=Inputs!$B$6,I848&lt;=Inputs!$B$4),1,0)</f>
        <v>0</v>
      </c>
      <c r="AG848" s="7" t="n">
        <f aca="false">IF(AND(O848=0,I848&gt;Inputs!$B$4-Inputs!$B$8,I848&lt;=Inputs!$B$4),1,0)</f>
        <v>1</v>
      </c>
      <c r="AH848" s="7" t="n">
        <f aca="false">I848-H848</f>
        <v>213</v>
      </c>
    </row>
    <row r="849" customFormat="false" ht="15" hidden="false" customHeight="false" outlineLevel="0" collapsed="false">
      <c r="A849" s="16" t="s">
        <v>2387</v>
      </c>
      <c r="B849" s="16" t="s">
        <v>375</v>
      </c>
      <c r="C849" s="16" t="s">
        <v>2388</v>
      </c>
      <c r="D849" s="16" t="s">
        <v>158</v>
      </c>
      <c r="E849" s="16" t="s">
        <v>529</v>
      </c>
      <c r="F849" s="26" t="n">
        <v>37925000</v>
      </c>
      <c r="G849" s="25" t="n">
        <v>75</v>
      </c>
      <c r="H849" s="22" t="n">
        <v>46230</v>
      </c>
      <c r="I849" s="22" t="n">
        <v>46335</v>
      </c>
      <c r="J849" s="22" t="n">
        <v>46302</v>
      </c>
      <c r="K849" s="16" t="s">
        <v>860</v>
      </c>
      <c r="L849" s="16" t="s">
        <v>584</v>
      </c>
      <c r="M849" s="16" t="s">
        <v>569</v>
      </c>
      <c r="N849" s="16"/>
      <c r="O849" s="7" t="n">
        <f aca="false">IF(OR(E849="Closed Won",E849="Closed Lost"),0,1)</f>
        <v>1</v>
      </c>
      <c r="P849" s="17" t="str">
        <f aca="false">INDEX(Accounts!$K$5:$K$336,MATCH(B849,Accounts!$A$5:$A$336,0))</f>
        <v>Technology, Media &amp; Telecom</v>
      </c>
      <c r="Q849" s="17" t="str">
        <f aca="false">INDEX(Accounts!$D$5:$D$336,MATCH(B849,Accounts!$A$5:$A$336,0))</f>
        <v>Key</v>
      </c>
      <c r="R849" s="7" t="n">
        <f aca="false">INDEX(Inputs!$B$11:$B$16,MATCH(E849,Inputs!$A$11:$A$16,0))</f>
        <v>75</v>
      </c>
      <c r="S849" s="27" t="n">
        <f aca="false">IF(F849="",0,F849)*R849/100</f>
        <v>28443750</v>
      </c>
      <c r="T849" s="7" t="n">
        <f aca="false">Inputs!$B$4-J849</f>
        <v>12</v>
      </c>
      <c r="U849" s="7" t="n">
        <f aca="false">IF(OR(F849="",F849=0),1,0)</f>
        <v>0</v>
      </c>
      <c r="V849" s="7" t="n">
        <f aca="false">IF(K849="",1,0)</f>
        <v>0</v>
      </c>
      <c r="W849" s="7" t="n">
        <f aca="false">IF(AND(O849=1,K849&lt;&gt;"",COUNTIFS(Owners!$A$5:$A$32,K849,Owners!$E$5:$E$32,"No")&gt;0),1,0)</f>
        <v>0</v>
      </c>
      <c r="X849" s="7" t="n">
        <f aca="false">IF(AND(O849=1,I849&lt;Inputs!$B$4),1,0)</f>
        <v>0</v>
      </c>
      <c r="Y849" s="7" t="n">
        <f aca="false">IF(AND(O849=1,T849&gt;Inputs!$B$5),1,0)</f>
        <v>0</v>
      </c>
      <c r="Z849" s="7" t="n">
        <f aca="false">IF(AND(O849=1,G849&lt;&gt;R849),1,0)</f>
        <v>0</v>
      </c>
      <c r="AA849" s="7" t="n">
        <f aca="false">IF(AND(O849=1,M849=""),1,0)</f>
        <v>0</v>
      </c>
      <c r="AB849" s="7" t="n">
        <f aca="false">IF(AND(E849="Closed Lost",N849=""),1,0)</f>
        <v>0</v>
      </c>
      <c r="AC849" s="7" t="n">
        <f aca="false">SUM(U849:AB849)</f>
        <v>0</v>
      </c>
      <c r="AD849" s="7" t="n">
        <f aca="false">IF(AC849=0,1,0)</f>
        <v>1</v>
      </c>
      <c r="AE849" s="7" t="n">
        <f aca="false">IF(AND(O849=1,I849&gt;=Inputs!$B$6,I849&lt;=Inputs!$B$7),1,0)</f>
        <v>1</v>
      </c>
      <c r="AF849" s="7" t="n">
        <f aca="false">IF(AND(E849="Closed Won",I849&gt;=Inputs!$B$6,I849&lt;=Inputs!$B$4),1,0)</f>
        <v>0</v>
      </c>
      <c r="AG849" s="7" t="n">
        <f aca="false">IF(AND(O849=0,I849&gt;Inputs!$B$4-Inputs!$B$8,I849&lt;=Inputs!$B$4),1,0)</f>
        <v>0</v>
      </c>
      <c r="AH849" s="7" t="n">
        <f aca="false">I849-H849</f>
        <v>105</v>
      </c>
    </row>
    <row r="850" customFormat="false" ht="15" hidden="false" customHeight="false" outlineLevel="0" collapsed="false">
      <c r="A850" s="16" t="s">
        <v>2389</v>
      </c>
      <c r="B850" s="16" t="s">
        <v>64</v>
      </c>
      <c r="C850" s="16" t="s">
        <v>2390</v>
      </c>
      <c r="D850" s="16" t="s">
        <v>165</v>
      </c>
      <c r="E850" s="16" t="s">
        <v>530</v>
      </c>
      <c r="F850" s="26" t="n">
        <v>32822000</v>
      </c>
      <c r="G850" s="25" t="n">
        <v>100</v>
      </c>
      <c r="H850" s="22" t="n">
        <v>45984</v>
      </c>
      <c r="I850" s="22" t="n">
        <v>46174</v>
      </c>
      <c r="J850" s="22" t="n">
        <v>46174</v>
      </c>
      <c r="K850" s="16" t="s">
        <v>691</v>
      </c>
      <c r="L850" s="16" t="s">
        <v>592</v>
      </c>
      <c r="M850" s="16"/>
      <c r="N850" s="16"/>
      <c r="O850" s="7" t="n">
        <f aca="false">IF(OR(E850="Closed Won",E850="Closed Lost"),0,1)</f>
        <v>0</v>
      </c>
      <c r="P850" s="17" t="str">
        <f aca="false">INDEX(Accounts!$K$5:$K$336,MATCH(B850,Accounts!$A$5:$A$336,0))</f>
        <v>Financial Services</v>
      </c>
      <c r="Q850" s="17" t="str">
        <f aca="false">INDEX(Accounts!$D$5:$D$336,MATCH(B850,Accounts!$A$5:$A$336,0))</f>
        <v>Priority</v>
      </c>
      <c r="R850" s="7" t="n">
        <f aca="false">INDEX(Inputs!$B$11:$B$16,MATCH(E850,Inputs!$A$11:$A$16,0))</f>
        <v>100</v>
      </c>
      <c r="S850" s="27" t="n">
        <f aca="false">IF(F850="",0,F850)*R850/100</f>
        <v>32822000</v>
      </c>
      <c r="T850" s="7" t="n">
        <f aca="false">Inputs!$B$4-J850</f>
        <v>140</v>
      </c>
      <c r="U850" s="7" t="n">
        <f aca="false">IF(OR(F850="",F850=0),1,0)</f>
        <v>0</v>
      </c>
      <c r="V850" s="7" t="n">
        <f aca="false">IF(K850="",1,0)</f>
        <v>0</v>
      </c>
      <c r="W850" s="7" t="n">
        <f aca="false">IF(AND(O850=1,K850&lt;&gt;"",COUNTIFS(Owners!$A$5:$A$32,K850,Owners!$E$5:$E$32,"No")&gt;0),1,0)</f>
        <v>0</v>
      </c>
      <c r="X850" s="7" t="n">
        <f aca="false">IF(AND(O850=1,I850&lt;Inputs!$B$4),1,0)</f>
        <v>0</v>
      </c>
      <c r="Y850" s="7" t="n">
        <f aca="false">IF(AND(O850=1,T850&gt;Inputs!$B$5),1,0)</f>
        <v>0</v>
      </c>
      <c r="Z850" s="7" t="n">
        <f aca="false">IF(AND(O850=1,G850&lt;&gt;R850),1,0)</f>
        <v>0</v>
      </c>
      <c r="AA850" s="7" t="n">
        <f aca="false">IF(AND(O850=1,M850=""),1,0)</f>
        <v>0</v>
      </c>
      <c r="AB850" s="7" t="n">
        <f aca="false">IF(AND(E850="Closed Lost",N850=""),1,0)</f>
        <v>0</v>
      </c>
      <c r="AC850" s="7" t="n">
        <f aca="false">SUM(U850:AB850)</f>
        <v>0</v>
      </c>
      <c r="AD850" s="7" t="n">
        <f aca="false">IF(AC850=0,1,0)</f>
        <v>1</v>
      </c>
      <c r="AE850" s="7" t="n">
        <f aca="false">IF(AND(O850=1,I850&gt;=Inputs!$B$6,I850&lt;=Inputs!$B$7),1,0)</f>
        <v>0</v>
      </c>
      <c r="AF850" s="7" t="n">
        <f aca="false">IF(AND(E850="Closed Won",I850&gt;=Inputs!$B$6,I850&lt;=Inputs!$B$4),1,0)</f>
        <v>0</v>
      </c>
      <c r="AG850" s="7" t="n">
        <f aca="false">IF(AND(O850=0,I850&gt;Inputs!$B$4-Inputs!$B$8,I850&lt;=Inputs!$B$4),1,0)</f>
        <v>1</v>
      </c>
      <c r="AH850" s="7" t="n">
        <f aca="false">I850-H850</f>
        <v>190</v>
      </c>
    </row>
    <row r="851" customFormat="false" ht="15" hidden="false" customHeight="false" outlineLevel="0" collapsed="false">
      <c r="A851" s="16" t="s">
        <v>2391</v>
      </c>
      <c r="B851" s="16" t="s">
        <v>69</v>
      </c>
      <c r="C851" s="16" t="s">
        <v>2392</v>
      </c>
      <c r="D851" s="16" t="s">
        <v>167</v>
      </c>
      <c r="E851" s="16" t="s">
        <v>530</v>
      </c>
      <c r="F851" s="26" t="n">
        <v>9646000</v>
      </c>
      <c r="G851" s="25" t="n">
        <v>100</v>
      </c>
      <c r="H851" s="22" t="n">
        <v>45962</v>
      </c>
      <c r="I851" s="22" t="n">
        <v>46104</v>
      </c>
      <c r="J851" s="22" t="n">
        <v>46104</v>
      </c>
      <c r="K851" s="16" t="s">
        <v>633</v>
      </c>
      <c r="L851" s="16" t="s">
        <v>609</v>
      </c>
      <c r="M851" s="16"/>
      <c r="N851" s="16"/>
      <c r="O851" s="7" t="n">
        <f aca="false">IF(OR(E851="Closed Won",E851="Closed Lost"),0,1)</f>
        <v>0</v>
      </c>
      <c r="P851" s="17" t="str">
        <f aca="false">INDEX(Accounts!$K$5:$K$336,MATCH(B851,Accounts!$A$5:$A$336,0))</f>
        <v>Financial Services</v>
      </c>
      <c r="Q851" s="17" t="str">
        <f aca="false">INDEX(Accounts!$D$5:$D$336,MATCH(B851,Accounts!$A$5:$A$336,0))</f>
        <v>Priority</v>
      </c>
      <c r="R851" s="7" t="n">
        <f aca="false">INDEX(Inputs!$B$11:$B$16,MATCH(E851,Inputs!$A$11:$A$16,0))</f>
        <v>100</v>
      </c>
      <c r="S851" s="27" t="n">
        <f aca="false">IF(F851="",0,F851)*R851/100</f>
        <v>9646000</v>
      </c>
      <c r="T851" s="7" t="n">
        <f aca="false">Inputs!$B$4-J851</f>
        <v>210</v>
      </c>
      <c r="U851" s="7" t="n">
        <f aca="false">IF(OR(F851="",F851=0),1,0)</f>
        <v>0</v>
      </c>
      <c r="V851" s="7" t="n">
        <f aca="false">IF(K851="",1,0)</f>
        <v>0</v>
      </c>
      <c r="W851" s="7" t="n">
        <f aca="false">IF(AND(O851=1,K851&lt;&gt;"",COUNTIFS(Owners!$A$5:$A$32,K851,Owners!$E$5:$E$32,"No")&gt;0),1,0)</f>
        <v>0</v>
      </c>
      <c r="X851" s="7" t="n">
        <f aca="false">IF(AND(O851=1,I851&lt;Inputs!$B$4),1,0)</f>
        <v>0</v>
      </c>
      <c r="Y851" s="7" t="n">
        <f aca="false">IF(AND(O851=1,T851&gt;Inputs!$B$5),1,0)</f>
        <v>0</v>
      </c>
      <c r="Z851" s="7" t="n">
        <f aca="false">IF(AND(O851=1,G851&lt;&gt;R851),1,0)</f>
        <v>0</v>
      </c>
      <c r="AA851" s="7" t="n">
        <f aca="false">IF(AND(O851=1,M851=""),1,0)</f>
        <v>0</v>
      </c>
      <c r="AB851" s="7" t="n">
        <f aca="false">IF(AND(E851="Closed Lost",N851=""),1,0)</f>
        <v>0</v>
      </c>
      <c r="AC851" s="7" t="n">
        <f aca="false">SUM(U851:AB851)</f>
        <v>0</v>
      </c>
      <c r="AD851" s="7" t="n">
        <f aca="false">IF(AC851=0,1,0)</f>
        <v>1</v>
      </c>
      <c r="AE851" s="7" t="n">
        <f aca="false">IF(AND(O851=1,I851&gt;=Inputs!$B$6,I851&lt;=Inputs!$B$7),1,0)</f>
        <v>0</v>
      </c>
      <c r="AF851" s="7" t="n">
        <f aca="false">IF(AND(E851="Closed Won",I851&gt;=Inputs!$B$6,I851&lt;=Inputs!$B$4),1,0)</f>
        <v>0</v>
      </c>
      <c r="AG851" s="7" t="n">
        <f aca="false">IF(AND(O851=0,I851&gt;Inputs!$B$4-Inputs!$B$8,I851&lt;=Inputs!$B$4),1,0)</f>
        <v>1</v>
      </c>
      <c r="AH851" s="7" t="n">
        <f aca="false">I851-H851</f>
        <v>142</v>
      </c>
    </row>
    <row r="852" customFormat="false" ht="15" hidden="false" customHeight="false" outlineLevel="0" collapsed="false">
      <c r="A852" s="16" t="s">
        <v>2393</v>
      </c>
      <c r="B852" s="16" t="s">
        <v>796</v>
      </c>
      <c r="C852" s="16" t="s">
        <v>2394</v>
      </c>
      <c r="D852" s="16" t="s">
        <v>165</v>
      </c>
      <c r="E852" s="16" t="s">
        <v>531</v>
      </c>
      <c r="F852" s="26" t="n">
        <v>5228000</v>
      </c>
      <c r="G852" s="25" t="n">
        <v>0</v>
      </c>
      <c r="H852" s="22" t="n">
        <v>46031</v>
      </c>
      <c r="I852" s="22" t="n">
        <v>46297</v>
      </c>
      <c r="J852" s="22" t="n">
        <v>46297</v>
      </c>
      <c r="K852" s="16" t="s">
        <v>573</v>
      </c>
      <c r="L852" s="16" t="s">
        <v>574</v>
      </c>
      <c r="M852" s="16"/>
      <c r="N852" s="16" t="s">
        <v>579</v>
      </c>
      <c r="O852" s="7" t="n">
        <f aca="false">IF(OR(E852="Closed Won",E852="Closed Lost"),0,1)</f>
        <v>0</v>
      </c>
      <c r="P852" s="17" t="str">
        <f aca="false">INDEX(Accounts!$K$5:$K$336,MATCH(B852,Accounts!$A$5:$A$336,0))</f>
        <v>Technology, Media &amp; Telecom</v>
      </c>
      <c r="Q852" s="17" t="str">
        <f aca="false">INDEX(Accounts!$D$5:$D$336,MATCH(B852,Accounts!$A$5:$A$336,0))</f>
        <v>Key</v>
      </c>
      <c r="R852" s="7" t="n">
        <f aca="false">INDEX(Inputs!$B$11:$B$16,MATCH(E852,Inputs!$A$11:$A$16,0))</f>
        <v>0</v>
      </c>
      <c r="S852" s="27" t="n">
        <f aca="false">IF(F852="",0,F852)*R852/100</f>
        <v>0</v>
      </c>
      <c r="T852" s="7" t="n">
        <f aca="false">Inputs!$B$4-J852</f>
        <v>17</v>
      </c>
      <c r="U852" s="7" t="n">
        <f aca="false">IF(OR(F852="",F852=0),1,0)</f>
        <v>0</v>
      </c>
      <c r="V852" s="7" t="n">
        <f aca="false">IF(K852="",1,0)</f>
        <v>0</v>
      </c>
      <c r="W852" s="7" t="n">
        <f aca="false">IF(AND(O852=1,K852&lt;&gt;"",COUNTIFS(Owners!$A$5:$A$32,K852,Owners!$E$5:$E$32,"No")&gt;0),1,0)</f>
        <v>0</v>
      </c>
      <c r="X852" s="7" t="n">
        <f aca="false">IF(AND(O852=1,I852&lt;Inputs!$B$4),1,0)</f>
        <v>0</v>
      </c>
      <c r="Y852" s="7" t="n">
        <f aca="false">IF(AND(O852=1,T852&gt;Inputs!$B$5),1,0)</f>
        <v>0</v>
      </c>
      <c r="Z852" s="7" t="n">
        <f aca="false">IF(AND(O852=1,G852&lt;&gt;R852),1,0)</f>
        <v>0</v>
      </c>
      <c r="AA852" s="7" t="n">
        <f aca="false">IF(AND(O852=1,M852=""),1,0)</f>
        <v>0</v>
      </c>
      <c r="AB852" s="7" t="n">
        <f aca="false">IF(AND(E852="Closed Lost",N852=""),1,0)</f>
        <v>0</v>
      </c>
      <c r="AC852" s="7" t="n">
        <f aca="false">SUM(U852:AB852)</f>
        <v>0</v>
      </c>
      <c r="AD852" s="7" t="n">
        <f aca="false">IF(AC852=0,1,0)</f>
        <v>1</v>
      </c>
      <c r="AE852" s="7" t="n">
        <f aca="false">IF(AND(O852=1,I852&gt;=Inputs!$B$6,I852&lt;=Inputs!$B$7),1,0)</f>
        <v>0</v>
      </c>
      <c r="AF852" s="7" t="n">
        <f aca="false">IF(AND(E852="Closed Won",I852&gt;=Inputs!$B$6,I852&lt;=Inputs!$B$4),1,0)</f>
        <v>0</v>
      </c>
      <c r="AG852" s="7" t="n">
        <f aca="false">IF(AND(O852=0,I852&gt;Inputs!$B$4-Inputs!$B$8,I852&lt;=Inputs!$B$4),1,0)</f>
        <v>1</v>
      </c>
      <c r="AH852" s="7" t="n">
        <f aca="false">I852-H852</f>
        <v>266</v>
      </c>
    </row>
    <row r="853" customFormat="false" ht="15" hidden="false" customHeight="false" outlineLevel="0" collapsed="false">
      <c r="A853" s="16" t="s">
        <v>2395</v>
      </c>
      <c r="B853" s="16" t="s">
        <v>69</v>
      </c>
      <c r="C853" s="16" t="s">
        <v>2396</v>
      </c>
      <c r="D853" s="16" t="s">
        <v>158</v>
      </c>
      <c r="E853" s="16" t="s">
        <v>530</v>
      </c>
      <c r="F853" s="26" t="n">
        <v>115064000</v>
      </c>
      <c r="G853" s="25" t="n">
        <v>100</v>
      </c>
      <c r="H853" s="22" t="n">
        <v>45922</v>
      </c>
      <c r="I853" s="22" t="n">
        <v>46059</v>
      </c>
      <c r="J853" s="22" t="n">
        <v>46059</v>
      </c>
      <c r="K853" s="16" t="s">
        <v>685</v>
      </c>
      <c r="L853" s="16" t="s">
        <v>609</v>
      </c>
      <c r="M853" s="16"/>
      <c r="N853" s="16"/>
      <c r="O853" s="7" t="n">
        <f aca="false">IF(OR(E853="Closed Won",E853="Closed Lost"),0,1)</f>
        <v>0</v>
      </c>
      <c r="P853" s="17" t="str">
        <f aca="false">INDEX(Accounts!$K$5:$K$336,MATCH(B853,Accounts!$A$5:$A$336,0))</f>
        <v>Financial Services</v>
      </c>
      <c r="Q853" s="17" t="str">
        <f aca="false">INDEX(Accounts!$D$5:$D$336,MATCH(B853,Accounts!$A$5:$A$336,0))</f>
        <v>Priority</v>
      </c>
      <c r="R853" s="7" t="n">
        <f aca="false">INDEX(Inputs!$B$11:$B$16,MATCH(E853,Inputs!$A$11:$A$16,0))</f>
        <v>100</v>
      </c>
      <c r="S853" s="27" t="n">
        <f aca="false">IF(F853="",0,F853)*R853/100</f>
        <v>115064000</v>
      </c>
      <c r="T853" s="7" t="n">
        <f aca="false">Inputs!$B$4-J853</f>
        <v>255</v>
      </c>
      <c r="U853" s="7" t="n">
        <f aca="false">IF(OR(F853="",F853=0),1,0)</f>
        <v>0</v>
      </c>
      <c r="V853" s="7" t="n">
        <f aca="false">IF(K853="",1,0)</f>
        <v>0</v>
      </c>
      <c r="W853" s="7" t="n">
        <f aca="false">IF(AND(O853=1,K853&lt;&gt;"",COUNTIFS(Owners!$A$5:$A$32,K853,Owners!$E$5:$E$32,"No")&gt;0),1,0)</f>
        <v>0</v>
      </c>
      <c r="X853" s="7" t="n">
        <f aca="false">IF(AND(O853=1,I853&lt;Inputs!$B$4),1,0)</f>
        <v>0</v>
      </c>
      <c r="Y853" s="7" t="n">
        <f aca="false">IF(AND(O853=1,T853&gt;Inputs!$B$5),1,0)</f>
        <v>0</v>
      </c>
      <c r="Z853" s="7" t="n">
        <f aca="false">IF(AND(O853=1,G853&lt;&gt;R853),1,0)</f>
        <v>0</v>
      </c>
      <c r="AA853" s="7" t="n">
        <f aca="false">IF(AND(O853=1,M853=""),1,0)</f>
        <v>0</v>
      </c>
      <c r="AB853" s="7" t="n">
        <f aca="false">IF(AND(E853="Closed Lost",N853=""),1,0)</f>
        <v>0</v>
      </c>
      <c r="AC853" s="7" t="n">
        <f aca="false">SUM(U853:AB853)</f>
        <v>0</v>
      </c>
      <c r="AD853" s="7" t="n">
        <f aca="false">IF(AC853=0,1,0)</f>
        <v>1</v>
      </c>
      <c r="AE853" s="7" t="n">
        <f aca="false">IF(AND(O853=1,I853&gt;=Inputs!$B$6,I853&lt;=Inputs!$B$7),1,0)</f>
        <v>0</v>
      </c>
      <c r="AF853" s="7" t="n">
        <f aca="false">IF(AND(E853="Closed Won",I853&gt;=Inputs!$B$6,I853&lt;=Inputs!$B$4),1,0)</f>
        <v>0</v>
      </c>
      <c r="AG853" s="7" t="n">
        <f aca="false">IF(AND(O853=0,I853&gt;Inputs!$B$4-Inputs!$B$8,I853&lt;=Inputs!$B$4),1,0)</f>
        <v>1</v>
      </c>
      <c r="AH853" s="7" t="n">
        <f aca="false">I853-H853</f>
        <v>137</v>
      </c>
    </row>
    <row r="854" customFormat="false" ht="15" hidden="false" customHeight="false" outlineLevel="0" collapsed="false">
      <c r="A854" s="16" t="s">
        <v>2397</v>
      </c>
      <c r="B854" s="16" t="s">
        <v>325</v>
      </c>
      <c r="C854" s="16" t="s">
        <v>2398</v>
      </c>
      <c r="D854" s="16" t="s">
        <v>158</v>
      </c>
      <c r="E854" s="16" t="s">
        <v>526</v>
      </c>
      <c r="F854" s="26" t="n">
        <v>26856000</v>
      </c>
      <c r="G854" s="25" t="n">
        <v>10</v>
      </c>
      <c r="H854" s="22" t="n">
        <v>46258</v>
      </c>
      <c r="I854" s="22" t="n">
        <v>46428</v>
      </c>
      <c r="J854" s="22" t="n">
        <v>46162</v>
      </c>
      <c r="K854" s="16" t="s">
        <v>583</v>
      </c>
      <c r="L854" s="16" t="s">
        <v>592</v>
      </c>
      <c r="M854" s="16" t="s">
        <v>569</v>
      </c>
      <c r="N854" s="16"/>
      <c r="O854" s="7" t="n">
        <f aca="false">IF(OR(E854="Closed Won",E854="Closed Lost"),0,1)</f>
        <v>1</v>
      </c>
      <c r="P854" s="17" t="str">
        <f aca="false">INDEX(Accounts!$K$5:$K$336,MATCH(B854,Accounts!$A$5:$A$336,0))</f>
        <v>Consumer &amp; Retail</v>
      </c>
      <c r="Q854" s="17" t="str">
        <f aca="false">INDEX(Accounts!$D$5:$D$336,MATCH(B854,Accounts!$A$5:$A$336,0))</f>
        <v>Key</v>
      </c>
      <c r="R854" s="7" t="n">
        <f aca="false">INDEX(Inputs!$B$11:$B$16,MATCH(E854,Inputs!$A$11:$A$16,0))</f>
        <v>10</v>
      </c>
      <c r="S854" s="27" t="n">
        <f aca="false">IF(F854="",0,F854)*R854/100</f>
        <v>2685600</v>
      </c>
      <c r="T854" s="7" t="n">
        <f aca="false">Inputs!$B$4-J854</f>
        <v>152</v>
      </c>
      <c r="U854" s="7" t="n">
        <f aca="false">IF(OR(F854="",F854=0),1,0)</f>
        <v>0</v>
      </c>
      <c r="V854" s="7" t="n">
        <f aca="false">IF(K854="",1,0)</f>
        <v>0</v>
      </c>
      <c r="W854" s="7" t="n">
        <f aca="false">IF(AND(O854=1,K854&lt;&gt;"",COUNTIFS(Owners!$A$5:$A$32,K854,Owners!$E$5:$E$32,"No")&gt;0),1,0)</f>
        <v>1</v>
      </c>
      <c r="X854" s="7" t="n">
        <f aca="false">IF(AND(O854=1,I854&lt;Inputs!$B$4),1,0)</f>
        <v>0</v>
      </c>
      <c r="Y854" s="7" t="n">
        <f aca="false">IF(AND(O854=1,T854&gt;Inputs!$B$5),1,0)</f>
        <v>1</v>
      </c>
      <c r="Z854" s="7" t="n">
        <f aca="false">IF(AND(O854=1,G854&lt;&gt;R854),1,0)</f>
        <v>0</v>
      </c>
      <c r="AA854" s="7" t="n">
        <f aca="false">IF(AND(O854=1,M854=""),1,0)</f>
        <v>0</v>
      </c>
      <c r="AB854" s="7" t="n">
        <f aca="false">IF(AND(E854="Closed Lost",N854=""),1,0)</f>
        <v>0</v>
      </c>
      <c r="AC854" s="7" t="n">
        <f aca="false">SUM(U854:AB854)</f>
        <v>2</v>
      </c>
      <c r="AD854" s="7" t="n">
        <f aca="false">IF(AC854=0,1,0)</f>
        <v>0</v>
      </c>
      <c r="AE854" s="7" t="n">
        <f aca="false">IF(AND(O854=1,I854&gt;=Inputs!$B$6,I854&lt;=Inputs!$B$7),1,0)</f>
        <v>1</v>
      </c>
      <c r="AF854" s="7" t="n">
        <f aca="false">IF(AND(E854="Closed Won",I854&gt;=Inputs!$B$6,I854&lt;=Inputs!$B$4),1,0)</f>
        <v>0</v>
      </c>
      <c r="AG854" s="7" t="n">
        <f aca="false">IF(AND(O854=0,I854&gt;Inputs!$B$4-Inputs!$B$8,I854&lt;=Inputs!$B$4),1,0)</f>
        <v>0</v>
      </c>
      <c r="AH854" s="7" t="n">
        <f aca="false">I854-H854</f>
        <v>170</v>
      </c>
    </row>
    <row r="855" customFormat="false" ht="15" hidden="false" customHeight="false" outlineLevel="0" collapsed="false">
      <c r="A855" s="16" t="s">
        <v>2399</v>
      </c>
      <c r="B855" s="16" t="s">
        <v>91</v>
      </c>
      <c r="C855" s="16" t="s">
        <v>2400</v>
      </c>
      <c r="D855" s="16" t="s">
        <v>158</v>
      </c>
      <c r="E855" s="16" t="s">
        <v>530</v>
      </c>
      <c r="F855" s="26" t="n">
        <v>43157000</v>
      </c>
      <c r="G855" s="25" t="n">
        <v>100</v>
      </c>
      <c r="H855" s="22" t="n">
        <v>46093</v>
      </c>
      <c r="I855" s="22" t="n">
        <v>46289</v>
      </c>
      <c r="J855" s="22" t="n">
        <v>46289</v>
      </c>
      <c r="K855" s="16" t="s">
        <v>633</v>
      </c>
      <c r="L855" s="16" t="s">
        <v>584</v>
      </c>
      <c r="M855" s="16"/>
      <c r="N855" s="16"/>
      <c r="O855" s="7" t="n">
        <f aca="false">IF(OR(E855="Closed Won",E855="Closed Lost"),0,1)</f>
        <v>0</v>
      </c>
      <c r="P855" s="17" t="str">
        <f aca="false">INDEX(Accounts!$K$5:$K$336,MATCH(B855,Accounts!$A$5:$A$336,0))</f>
        <v>Technology, Media &amp; Telecom</v>
      </c>
      <c r="Q855" s="17" t="str">
        <f aca="false">INDEX(Accounts!$D$5:$D$336,MATCH(B855,Accounts!$A$5:$A$336,0))</f>
        <v>Priority</v>
      </c>
      <c r="R855" s="7" t="n">
        <f aca="false">INDEX(Inputs!$B$11:$B$16,MATCH(E855,Inputs!$A$11:$A$16,0))</f>
        <v>100</v>
      </c>
      <c r="S855" s="27" t="n">
        <f aca="false">IF(F855="",0,F855)*R855/100</f>
        <v>43157000</v>
      </c>
      <c r="T855" s="7" t="n">
        <f aca="false">Inputs!$B$4-J855</f>
        <v>25</v>
      </c>
      <c r="U855" s="7" t="n">
        <f aca="false">IF(OR(F855="",F855=0),1,0)</f>
        <v>0</v>
      </c>
      <c r="V855" s="7" t="n">
        <f aca="false">IF(K855="",1,0)</f>
        <v>0</v>
      </c>
      <c r="W855" s="7" t="n">
        <f aca="false">IF(AND(O855=1,K855&lt;&gt;"",COUNTIFS(Owners!$A$5:$A$32,K855,Owners!$E$5:$E$32,"No")&gt;0),1,0)</f>
        <v>0</v>
      </c>
      <c r="X855" s="7" t="n">
        <f aca="false">IF(AND(O855=1,I855&lt;Inputs!$B$4),1,0)</f>
        <v>0</v>
      </c>
      <c r="Y855" s="7" t="n">
        <f aca="false">IF(AND(O855=1,T855&gt;Inputs!$B$5),1,0)</f>
        <v>0</v>
      </c>
      <c r="Z855" s="7" t="n">
        <f aca="false">IF(AND(O855=1,G855&lt;&gt;R855),1,0)</f>
        <v>0</v>
      </c>
      <c r="AA855" s="7" t="n">
        <f aca="false">IF(AND(O855=1,M855=""),1,0)</f>
        <v>0</v>
      </c>
      <c r="AB855" s="7" t="n">
        <f aca="false">IF(AND(E855="Closed Lost",N855=""),1,0)</f>
        <v>0</v>
      </c>
      <c r="AC855" s="7" t="n">
        <f aca="false">SUM(U855:AB855)</f>
        <v>0</v>
      </c>
      <c r="AD855" s="7" t="n">
        <f aca="false">IF(AC855=0,1,0)</f>
        <v>1</v>
      </c>
      <c r="AE855" s="7" t="n">
        <f aca="false">IF(AND(O855=1,I855&gt;=Inputs!$B$6,I855&lt;=Inputs!$B$7),1,0)</f>
        <v>0</v>
      </c>
      <c r="AF855" s="7" t="n">
        <f aca="false">IF(AND(E855="Closed Won",I855&gt;=Inputs!$B$6,I855&lt;=Inputs!$B$4),1,0)</f>
        <v>1</v>
      </c>
      <c r="AG855" s="7" t="n">
        <f aca="false">IF(AND(O855=0,I855&gt;Inputs!$B$4-Inputs!$B$8,I855&lt;=Inputs!$B$4),1,0)</f>
        <v>1</v>
      </c>
      <c r="AH855" s="7" t="n">
        <f aca="false">I855-H855</f>
        <v>196</v>
      </c>
    </row>
    <row r="856" customFormat="false" ht="15" hidden="false" customHeight="false" outlineLevel="0" collapsed="false">
      <c r="A856" s="16" t="s">
        <v>2401</v>
      </c>
      <c r="B856" s="16" t="s">
        <v>182</v>
      </c>
      <c r="C856" s="16" t="s">
        <v>2402</v>
      </c>
      <c r="D856" s="16" t="s">
        <v>167</v>
      </c>
      <c r="E856" s="16" t="s">
        <v>531</v>
      </c>
      <c r="F856" s="26" t="n">
        <v>5040000</v>
      </c>
      <c r="G856" s="25" t="n">
        <v>0</v>
      </c>
      <c r="H856" s="22" t="n">
        <v>46009</v>
      </c>
      <c r="I856" s="22" t="n">
        <v>46240</v>
      </c>
      <c r="J856" s="22" t="n">
        <v>46240</v>
      </c>
      <c r="K856" s="16" t="s">
        <v>573</v>
      </c>
      <c r="L856" s="16" t="s">
        <v>584</v>
      </c>
      <c r="M856" s="16"/>
      <c r="N856" s="16" t="s">
        <v>697</v>
      </c>
      <c r="O856" s="7" t="n">
        <f aca="false">IF(OR(E856="Closed Won",E856="Closed Lost"),0,1)</f>
        <v>0</v>
      </c>
      <c r="P856" s="17" t="str">
        <f aca="false">INDEX(Accounts!$K$5:$K$336,MATCH(B856,Accounts!$A$5:$A$336,0))</f>
        <v>Public Sector &amp; Development</v>
      </c>
      <c r="Q856" s="17" t="str">
        <f aca="false">INDEX(Accounts!$D$5:$D$336,MATCH(B856,Accounts!$A$5:$A$336,0))</f>
        <v>Key</v>
      </c>
      <c r="R856" s="7" t="n">
        <f aca="false">INDEX(Inputs!$B$11:$B$16,MATCH(E856,Inputs!$A$11:$A$16,0))</f>
        <v>0</v>
      </c>
      <c r="S856" s="27" t="n">
        <f aca="false">IF(F856="",0,F856)*R856/100</f>
        <v>0</v>
      </c>
      <c r="T856" s="7" t="n">
        <f aca="false">Inputs!$B$4-J856</f>
        <v>74</v>
      </c>
      <c r="U856" s="7" t="n">
        <f aca="false">IF(OR(F856="",F856=0),1,0)</f>
        <v>0</v>
      </c>
      <c r="V856" s="7" t="n">
        <f aca="false">IF(K856="",1,0)</f>
        <v>0</v>
      </c>
      <c r="W856" s="7" t="n">
        <f aca="false">IF(AND(O856=1,K856&lt;&gt;"",COUNTIFS(Owners!$A$5:$A$32,K856,Owners!$E$5:$E$32,"No")&gt;0),1,0)</f>
        <v>0</v>
      </c>
      <c r="X856" s="7" t="n">
        <f aca="false">IF(AND(O856=1,I856&lt;Inputs!$B$4),1,0)</f>
        <v>0</v>
      </c>
      <c r="Y856" s="7" t="n">
        <f aca="false">IF(AND(O856=1,T856&gt;Inputs!$B$5),1,0)</f>
        <v>0</v>
      </c>
      <c r="Z856" s="7" t="n">
        <f aca="false">IF(AND(O856=1,G856&lt;&gt;R856),1,0)</f>
        <v>0</v>
      </c>
      <c r="AA856" s="7" t="n">
        <f aca="false">IF(AND(O856=1,M856=""),1,0)</f>
        <v>0</v>
      </c>
      <c r="AB856" s="7" t="n">
        <f aca="false">IF(AND(E856="Closed Lost",N856=""),1,0)</f>
        <v>0</v>
      </c>
      <c r="AC856" s="7" t="n">
        <f aca="false">SUM(U856:AB856)</f>
        <v>0</v>
      </c>
      <c r="AD856" s="7" t="n">
        <f aca="false">IF(AC856=0,1,0)</f>
        <v>1</v>
      </c>
      <c r="AE856" s="7" t="n">
        <f aca="false">IF(AND(O856=1,I856&gt;=Inputs!$B$6,I856&lt;=Inputs!$B$7),1,0)</f>
        <v>0</v>
      </c>
      <c r="AF856" s="7" t="n">
        <f aca="false">IF(AND(E856="Closed Won",I856&gt;=Inputs!$B$6,I856&lt;=Inputs!$B$4),1,0)</f>
        <v>0</v>
      </c>
      <c r="AG856" s="7" t="n">
        <f aca="false">IF(AND(O856=0,I856&gt;Inputs!$B$4-Inputs!$B$8,I856&lt;=Inputs!$B$4),1,0)</f>
        <v>1</v>
      </c>
      <c r="AH856" s="7" t="n">
        <f aca="false">I856-H856</f>
        <v>231</v>
      </c>
    </row>
    <row r="857" customFormat="false" ht="15" hidden="false" customHeight="false" outlineLevel="0" collapsed="false">
      <c r="A857" s="16" t="s">
        <v>2403</v>
      </c>
      <c r="B857" s="16" t="s">
        <v>1003</v>
      </c>
      <c r="C857" s="16" t="s">
        <v>2404</v>
      </c>
      <c r="D857" s="16" t="s">
        <v>165</v>
      </c>
      <c r="E857" s="16" t="s">
        <v>527</v>
      </c>
      <c r="F857" s="26" t="n">
        <v>15585000</v>
      </c>
      <c r="G857" s="25" t="n">
        <v>25</v>
      </c>
      <c r="H857" s="22" t="n">
        <v>46235</v>
      </c>
      <c r="I857" s="22" t="n">
        <v>46348</v>
      </c>
      <c r="J857" s="22" t="n">
        <v>46289</v>
      </c>
      <c r="K857" s="16" t="s">
        <v>704</v>
      </c>
      <c r="L857" s="16" t="s">
        <v>574</v>
      </c>
      <c r="M857" s="16" t="s">
        <v>575</v>
      </c>
      <c r="N857" s="16"/>
      <c r="O857" s="7" t="n">
        <f aca="false">IF(OR(E857="Closed Won",E857="Closed Lost"),0,1)</f>
        <v>1</v>
      </c>
      <c r="P857" s="17" t="str">
        <f aca="false">INDEX(Accounts!$K$5:$K$336,MATCH(B857,Accounts!$A$5:$A$336,0))</f>
        <v>Agribusiness</v>
      </c>
      <c r="Q857" s="17" t="str">
        <f aca="false">INDEX(Accounts!$D$5:$D$336,MATCH(B857,Accounts!$A$5:$A$336,0))</f>
        <v>Standard</v>
      </c>
      <c r="R857" s="7" t="n">
        <f aca="false">INDEX(Inputs!$B$11:$B$16,MATCH(E857,Inputs!$A$11:$A$16,0))</f>
        <v>25</v>
      </c>
      <c r="S857" s="27" t="n">
        <f aca="false">IF(F857="",0,F857)*R857/100</f>
        <v>3896250</v>
      </c>
      <c r="T857" s="7" t="n">
        <f aca="false">Inputs!$B$4-J857</f>
        <v>25</v>
      </c>
      <c r="U857" s="7" t="n">
        <f aca="false">IF(OR(F857="",F857=0),1,0)</f>
        <v>0</v>
      </c>
      <c r="V857" s="7" t="n">
        <f aca="false">IF(K857="",1,0)</f>
        <v>0</v>
      </c>
      <c r="W857" s="7" t="n">
        <f aca="false">IF(AND(O857=1,K857&lt;&gt;"",COUNTIFS(Owners!$A$5:$A$32,K857,Owners!$E$5:$E$32,"No")&gt;0),1,0)</f>
        <v>0</v>
      </c>
      <c r="X857" s="7" t="n">
        <f aca="false">IF(AND(O857=1,I857&lt;Inputs!$B$4),1,0)</f>
        <v>0</v>
      </c>
      <c r="Y857" s="7" t="n">
        <f aca="false">IF(AND(O857=1,T857&gt;Inputs!$B$5),1,0)</f>
        <v>0</v>
      </c>
      <c r="Z857" s="7" t="n">
        <f aca="false">IF(AND(O857=1,G857&lt;&gt;R857),1,0)</f>
        <v>0</v>
      </c>
      <c r="AA857" s="7" t="n">
        <f aca="false">IF(AND(O857=1,M857=""),1,0)</f>
        <v>0</v>
      </c>
      <c r="AB857" s="7" t="n">
        <f aca="false">IF(AND(E857="Closed Lost",N857=""),1,0)</f>
        <v>0</v>
      </c>
      <c r="AC857" s="7" t="n">
        <f aca="false">SUM(U857:AB857)</f>
        <v>0</v>
      </c>
      <c r="AD857" s="7" t="n">
        <f aca="false">IF(AC857=0,1,0)</f>
        <v>1</v>
      </c>
      <c r="AE857" s="7" t="n">
        <f aca="false">IF(AND(O857=1,I857&gt;=Inputs!$B$6,I857&lt;=Inputs!$B$7),1,0)</f>
        <v>1</v>
      </c>
      <c r="AF857" s="7" t="n">
        <f aca="false">IF(AND(E857="Closed Won",I857&gt;=Inputs!$B$6,I857&lt;=Inputs!$B$4),1,0)</f>
        <v>0</v>
      </c>
      <c r="AG857" s="7" t="n">
        <f aca="false">IF(AND(O857=0,I857&gt;Inputs!$B$4-Inputs!$B$8,I857&lt;=Inputs!$B$4),1,0)</f>
        <v>0</v>
      </c>
      <c r="AH857" s="7" t="n">
        <f aca="false">I857-H857</f>
        <v>113</v>
      </c>
    </row>
    <row r="858" customFormat="false" ht="15" hidden="false" customHeight="false" outlineLevel="0" collapsed="false">
      <c r="A858" s="16" t="s">
        <v>2405</v>
      </c>
      <c r="B858" s="16" t="s">
        <v>687</v>
      </c>
      <c r="C858" s="16" t="s">
        <v>2406</v>
      </c>
      <c r="D858" s="16" t="s">
        <v>167</v>
      </c>
      <c r="E858" s="16" t="s">
        <v>531</v>
      </c>
      <c r="F858" s="26" t="n">
        <v>7155000</v>
      </c>
      <c r="G858" s="25" t="n">
        <v>0</v>
      </c>
      <c r="H858" s="22" t="n">
        <v>46059</v>
      </c>
      <c r="I858" s="22" t="n">
        <v>46176</v>
      </c>
      <c r="J858" s="22" t="n">
        <v>46176</v>
      </c>
      <c r="K858" s="16"/>
      <c r="L858" s="16" t="s">
        <v>584</v>
      </c>
      <c r="M858" s="16"/>
      <c r="N858" s="16" t="s">
        <v>597</v>
      </c>
      <c r="O858" s="7" t="n">
        <f aca="false">IF(OR(E858="Closed Won",E858="Closed Lost"),0,1)</f>
        <v>0</v>
      </c>
      <c r="P858" s="17" t="str">
        <f aca="false">INDEX(Accounts!$K$5:$K$336,MATCH(B858,Accounts!$A$5:$A$336,0))</f>
        <v>Consumer &amp; Retail</v>
      </c>
      <c r="Q858" s="17" t="str">
        <f aca="false">INDEX(Accounts!$D$5:$D$336,MATCH(B858,Accounts!$A$5:$A$336,0))</f>
        <v>Key</v>
      </c>
      <c r="R858" s="7" t="n">
        <f aca="false">INDEX(Inputs!$B$11:$B$16,MATCH(E858,Inputs!$A$11:$A$16,0))</f>
        <v>0</v>
      </c>
      <c r="S858" s="27" t="n">
        <f aca="false">IF(F858="",0,F858)*R858/100</f>
        <v>0</v>
      </c>
      <c r="T858" s="7" t="n">
        <f aca="false">Inputs!$B$4-J858</f>
        <v>138</v>
      </c>
      <c r="U858" s="7" t="n">
        <f aca="false">IF(OR(F858="",F858=0),1,0)</f>
        <v>0</v>
      </c>
      <c r="V858" s="7" t="n">
        <f aca="false">IF(K858="",1,0)</f>
        <v>1</v>
      </c>
      <c r="W858" s="7" t="n">
        <f aca="false">IF(AND(O858=1,K858&lt;&gt;"",COUNTIFS(Owners!$A$5:$A$32,K858,Owners!$E$5:$E$32,"No")&gt;0),1,0)</f>
        <v>0</v>
      </c>
      <c r="X858" s="7" t="n">
        <f aca="false">IF(AND(O858=1,I858&lt;Inputs!$B$4),1,0)</f>
        <v>0</v>
      </c>
      <c r="Y858" s="7" t="n">
        <f aca="false">IF(AND(O858=1,T858&gt;Inputs!$B$5),1,0)</f>
        <v>0</v>
      </c>
      <c r="Z858" s="7" t="n">
        <f aca="false">IF(AND(O858=1,G858&lt;&gt;R858),1,0)</f>
        <v>0</v>
      </c>
      <c r="AA858" s="7" t="n">
        <f aca="false">IF(AND(O858=1,M858=""),1,0)</f>
        <v>0</v>
      </c>
      <c r="AB858" s="7" t="n">
        <f aca="false">IF(AND(E858="Closed Lost",N858=""),1,0)</f>
        <v>0</v>
      </c>
      <c r="AC858" s="7" t="n">
        <f aca="false">SUM(U858:AB858)</f>
        <v>1</v>
      </c>
      <c r="AD858" s="7" t="n">
        <f aca="false">IF(AC858=0,1,0)</f>
        <v>0</v>
      </c>
      <c r="AE858" s="7" t="n">
        <f aca="false">IF(AND(O858=1,I858&gt;=Inputs!$B$6,I858&lt;=Inputs!$B$7),1,0)</f>
        <v>0</v>
      </c>
      <c r="AF858" s="7" t="n">
        <f aca="false">IF(AND(E858="Closed Won",I858&gt;=Inputs!$B$6,I858&lt;=Inputs!$B$4),1,0)</f>
        <v>0</v>
      </c>
      <c r="AG858" s="7" t="n">
        <f aca="false">IF(AND(O858=0,I858&gt;Inputs!$B$4-Inputs!$B$8,I858&lt;=Inputs!$B$4),1,0)</f>
        <v>1</v>
      </c>
      <c r="AH858" s="7" t="n">
        <f aca="false">I858-H858</f>
        <v>117</v>
      </c>
    </row>
    <row r="859" customFormat="false" ht="15" hidden="false" customHeight="false" outlineLevel="0" collapsed="false">
      <c r="A859" s="16" t="s">
        <v>2407</v>
      </c>
      <c r="B859" s="16" t="s">
        <v>94</v>
      </c>
      <c r="C859" s="16" t="s">
        <v>2408</v>
      </c>
      <c r="D859" s="16" t="s">
        <v>162</v>
      </c>
      <c r="E859" s="16" t="s">
        <v>527</v>
      </c>
      <c r="F859" s="26" t="n">
        <v>0</v>
      </c>
      <c r="G859" s="25" t="n">
        <v>25</v>
      </c>
      <c r="H859" s="22" t="n">
        <v>46236</v>
      </c>
      <c r="I859" s="22" t="n">
        <v>46364</v>
      </c>
      <c r="J859" s="22" t="n">
        <v>46219</v>
      </c>
      <c r="K859" s="16" t="s">
        <v>860</v>
      </c>
      <c r="L859" s="16" t="s">
        <v>500</v>
      </c>
      <c r="M859" s="16" t="s">
        <v>613</v>
      </c>
      <c r="N859" s="16"/>
      <c r="O859" s="7" t="n">
        <f aca="false">IF(OR(E859="Closed Won",E859="Closed Lost"),0,1)</f>
        <v>1</v>
      </c>
      <c r="P859" s="17" t="str">
        <f aca="false">INDEX(Accounts!$K$5:$K$336,MATCH(B859,Accounts!$A$5:$A$336,0))</f>
        <v>Technology, Media &amp; Telecom</v>
      </c>
      <c r="Q859" s="17" t="str">
        <f aca="false">INDEX(Accounts!$D$5:$D$336,MATCH(B859,Accounts!$A$5:$A$336,0))</f>
        <v>Priority</v>
      </c>
      <c r="R859" s="7" t="n">
        <f aca="false">INDEX(Inputs!$B$11:$B$16,MATCH(E859,Inputs!$A$11:$A$16,0))</f>
        <v>25</v>
      </c>
      <c r="S859" s="27" t="n">
        <f aca="false">IF(F859="",0,F859)*R859/100</f>
        <v>0</v>
      </c>
      <c r="T859" s="7" t="n">
        <f aca="false">Inputs!$B$4-J859</f>
        <v>95</v>
      </c>
      <c r="U859" s="7" t="n">
        <f aca="false">IF(OR(F859="",F859=0),1,0)</f>
        <v>1</v>
      </c>
      <c r="V859" s="7" t="n">
        <f aca="false">IF(K859="",1,0)</f>
        <v>0</v>
      </c>
      <c r="W859" s="7" t="n">
        <f aca="false">IF(AND(O859=1,K859&lt;&gt;"",COUNTIFS(Owners!$A$5:$A$32,K859,Owners!$E$5:$E$32,"No")&gt;0),1,0)</f>
        <v>0</v>
      </c>
      <c r="X859" s="7" t="n">
        <f aca="false">IF(AND(O859=1,I859&lt;Inputs!$B$4),1,0)</f>
        <v>0</v>
      </c>
      <c r="Y859" s="7" t="n">
        <f aca="false">IF(AND(O859=1,T859&gt;Inputs!$B$5),1,0)</f>
        <v>1</v>
      </c>
      <c r="Z859" s="7" t="n">
        <f aca="false">IF(AND(O859=1,G859&lt;&gt;R859),1,0)</f>
        <v>0</v>
      </c>
      <c r="AA859" s="7" t="n">
        <f aca="false">IF(AND(O859=1,M859=""),1,0)</f>
        <v>0</v>
      </c>
      <c r="AB859" s="7" t="n">
        <f aca="false">IF(AND(E859="Closed Lost",N859=""),1,0)</f>
        <v>0</v>
      </c>
      <c r="AC859" s="7" t="n">
        <f aca="false">SUM(U859:AB859)</f>
        <v>2</v>
      </c>
      <c r="AD859" s="7" t="n">
        <f aca="false">IF(AC859=0,1,0)</f>
        <v>0</v>
      </c>
      <c r="AE859" s="7" t="n">
        <f aca="false">IF(AND(O859=1,I859&gt;=Inputs!$B$6,I859&lt;=Inputs!$B$7),1,0)</f>
        <v>1</v>
      </c>
      <c r="AF859" s="7" t="n">
        <f aca="false">IF(AND(E859="Closed Won",I859&gt;=Inputs!$B$6,I859&lt;=Inputs!$B$4),1,0)</f>
        <v>0</v>
      </c>
      <c r="AG859" s="7" t="n">
        <f aca="false">IF(AND(O859=0,I859&gt;Inputs!$B$4-Inputs!$B$8,I859&lt;=Inputs!$B$4),1,0)</f>
        <v>0</v>
      </c>
      <c r="AH859" s="7" t="n">
        <f aca="false">I859-H859</f>
        <v>128</v>
      </c>
    </row>
    <row r="860" customFormat="false" ht="15" hidden="false" customHeight="false" outlineLevel="0" collapsed="false">
      <c r="A860" s="16" t="s">
        <v>2409</v>
      </c>
      <c r="B860" s="16" t="s">
        <v>357</v>
      </c>
      <c r="C860" s="16" t="s">
        <v>2410</v>
      </c>
      <c r="D860" s="16" t="s">
        <v>167</v>
      </c>
      <c r="E860" s="16" t="s">
        <v>527</v>
      </c>
      <c r="F860" s="26" t="n">
        <v>26992000</v>
      </c>
      <c r="G860" s="25" t="n">
        <v>25</v>
      </c>
      <c r="H860" s="22" t="n">
        <v>46280</v>
      </c>
      <c r="I860" s="22" t="n">
        <v>46321</v>
      </c>
      <c r="J860" s="22" t="n">
        <v>46266</v>
      </c>
      <c r="K860" s="16" t="s">
        <v>573</v>
      </c>
      <c r="L860" s="16" t="s">
        <v>609</v>
      </c>
      <c r="M860" s="16" t="s">
        <v>613</v>
      </c>
      <c r="N860" s="16"/>
      <c r="O860" s="7" t="n">
        <f aca="false">IF(OR(E860="Closed Won",E860="Closed Lost"),0,1)</f>
        <v>1</v>
      </c>
      <c r="P860" s="17" t="str">
        <f aca="false">INDEX(Accounts!$K$5:$K$336,MATCH(B860,Accounts!$A$5:$A$336,0))</f>
        <v>Technology, Media &amp; Telecom</v>
      </c>
      <c r="Q860" s="17" t="str">
        <f aca="false">INDEX(Accounts!$D$5:$D$336,MATCH(B860,Accounts!$A$5:$A$336,0))</f>
        <v>Standard</v>
      </c>
      <c r="R860" s="7" t="n">
        <f aca="false">INDEX(Inputs!$B$11:$B$16,MATCH(E860,Inputs!$A$11:$A$16,0))</f>
        <v>25</v>
      </c>
      <c r="S860" s="27" t="n">
        <f aca="false">IF(F860="",0,F860)*R860/100</f>
        <v>6748000</v>
      </c>
      <c r="T860" s="7" t="n">
        <f aca="false">Inputs!$B$4-J860</f>
        <v>48</v>
      </c>
      <c r="U860" s="7" t="n">
        <f aca="false">IF(OR(F860="",F860=0),1,0)</f>
        <v>0</v>
      </c>
      <c r="V860" s="7" t="n">
        <f aca="false">IF(K860="",1,0)</f>
        <v>0</v>
      </c>
      <c r="W860" s="7" t="n">
        <f aca="false">IF(AND(O860=1,K860&lt;&gt;"",COUNTIFS(Owners!$A$5:$A$32,K860,Owners!$E$5:$E$32,"No")&gt;0),1,0)</f>
        <v>0</v>
      </c>
      <c r="X860" s="7" t="n">
        <f aca="false">IF(AND(O860=1,I860&lt;Inputs!$B$4),1,0)</f>
        <v>0</v>
      </c>
      <c r="Y860" s="7" t="n">
        <f aca="false">IF(AND(O860=1,T860&gt;Inputs!$B$5),1,0)</f>
        <v>0</v>
      </c>
      <c r="Z860" s="7" t="n">
        <f aca="false">IF(AND(O860=1,G860&lt;&gt;R860),1,0)</f>
        <v>0</v>
      </c>
      <c r="AA860" s="7" t="n">
        <f aca="false">IF(AND(O860=1,M860=""),1,0)</f>
        <v>0</v>
      </c>
      <c r="AB860" s="7" t="n">
        <f aca="false">IF(AND(E860="Closed Lost",N860=""),1,0)</f>
        <v>0</v>
      </c>
      <c r="AC860" s="7" t="n">
        <f aca="false">SUM(U860:AB860)</f>
        <v>0</v>
      </c>
      <c r="AD860" s="7" t="n">
        <f aca="false">IF(AC860=0,1,0)</f>
        <v>1</v>
      </c>
      <c r="AE860" s="7" t="n">
        <f aca="false">IF(AND(O860=1,I860&gt;=Inputs!$B$6,I860&lt;=Inputs!$B$7),1,0)</f>
        <v>1</v>
      </c>
      <c r="AF860" s="7" t="n">
        <f aca="false">IF(AND(E860="Closed Won",I860&gt;=Inputs!$B$6,I860&lt;=Inputs!$B$4),1,0)</f>
        <v>0</v>
      </c>
      <c r="AG860" s="7" t="n">
        <f aca="false">IF(AND(O860=0,I860&gt;Inputs!$B$4-Inputs!$B$8,I860&lt;=Inputs!$B$4),1,0)</f>
        <v>0</v>
      </c>
      <c r="AH860" s="7" t="n">
        <f aca="false">I860-H860</f>
        <v>41</v>
      </c>
    </row>
    <row r="861" customFormat="false" ht="15" hidden="false" customHeight="false" outlineLevel="0" collapsed="false">
      <c r="A861" s="16" t="s">
        <v>2411</v>
      </c>
      <c r="B861" s="16" t="s">
        <v>60</v>
      </c>
      <c r="C861" s="16" t="s">
        <v>2412</v>
      </c>
      <c r="D861" s="16" t="s">
        <v>158</v>
      </c>
      <c r="E861" s="16" t="s">
        <v>530</v>
      </c>
      <c r="F861" s="26" t="n">
        <v>27274000</v>
      </c>
      <c r="G861" s="25" t="n">
        <v>100</v>
      </c>
      <c r="H861" s="22" t="n">
        <v>46124</v>
      </c>
      <c r="I861" s="22" t="n">
        <v>46240</v>
      </c>
      <c r="J861" s="22" t="n">
        <v>46240</v>
      </c>
      <c r="K861" s="16" t="s">
        <v>596</v>
      </c>
      <c r="L861" s="16" t="s">
        <v>609</v>
      </c>
      <c r="M861" s="16"/>
      <c r="N861" s="16"/>
      <c r="O861" s="7" t="n">
        <f aca="false">IF(OR(E861="Closed Won",E861="Closed Lost"),0,1)</f>
        <v>0</v>
      </c>
      <c r="P861" s="17" t="str">
        <f aca="false">INDEX(Accounts!$K$5:$K$336,MATCH(B861,Accounts!$A$5:$A$336,0))</f>
        <v>Financial Services</v>
      </c>
      <c r="Q861" s="17" t="str">
        <f aca="false">INDEX(Accounts!$D$5:$D$336,MATCH(B861,Accounts!$A$5:$A$336,0))</f>
        <v>Priority</v>
      </c>
      <c r="R861" s="7" t="n">
        <f aca="false">INDEX(Inputs!$B$11:$B$16,MATCH(E861,Inputs!$A$11:$A$16,0))</f>
        <v>100</v>
      </c>
      <c r="S861" s="27" t="n">
        <f aca="false">IF(F861="",0,F861)*R861/100</f>
        <v>27274000</v>
      </c>
      <c r="T861" s="7" t="n">
        <f aca="false">Inputs!$B$4-J861</f>
        <v>74</v>
      </c>
      <c r="U861" s="7" t="n">
        <f aca="false">IF(OR(F861="",F861=0),1,0)</f>
        <v>0</v>
      </c>
      <c r="V861" s="7" t="n">
        <f aca="false">IF(K861="",1,0)</f>
        <v>0</v>
      </c>
      <c r="W861" s="7" t="n">
        <f aca="false">IF(AND(O861=1,K861&lt;&gt;"",COUNTIFS(Owners!$A$5:$A$32,K861,Owners!$E$5:$E$32,"No")&gt;0),1,0)</f>
        <v>0</v>
      </c>
      <c r="X861" s="7" t="n">
        <f aca="false">IF(AND(O861=1,I861&lt;Inputs!$B$4),1,0)</f>
        <v>0</v>
      </c>
      <c r="Y861" s="7" t="n">
        <f aca="false">IF(AND(O861=1,T861&gt;Inputs!$B$5),1,0)</f>
        <v>0</v>
      </c>
      <c r="Z861" s="7" t="n">
        <f aca="false">IF(AND(O861=1,G861&lt;&gt;R861),1,0)</f>
        <v>0</v>
      </c>
      <c r="AA861" s="7" t="n">
        <f aca="false">IF(AND(O861=1,M861=""),1,0)</f>
        <v>0</v>
      </c>
      <c r="AB861" s="7" t="n">
        <f aca="false">IF(AND(E861="Closed Lost",N861=""),1,0)</f>
        <v>0</v>
      </c>
      <c r="AC861" s="7" t="n">
        <f aca="false">SUM(U861:AB861)</f>
        <v>0</v>
      </c>
      <c r="AD861" s="7" t="n">
        <f aca="false">IF(AC861=0,1,0)</f>
        <v>1</v>
      </c>
      <c r="AE861" s="7" t="n">
        <f aca="false">IF(AND(O861=1,I861&gt;=Inputs!$B$6,I861&lt;=Inputs!$B$7),1,0)</f>
        <v>0</v>
      </c>
      <c r="AF861" s="7" t="n">
        <f aca="false">IF(AND(E861="Closed Won",I861&gt;=Inputs!$B$6,I861&lt;=Inputs!$B$4),1,0)</f>
        <v>1</v>
      </c>
      <c r="AG861" s="7" t="n">
        <f aca="false">IF(AND(O861=0,I861&gt;Inputs!$B$4-Inputs!$B$8,I861&lt;=Inputs!$B$4),1,0)</f>
        <v>1</v>
      </c>
      <c r="AH861" s="7" t="n">
        <f aca="false">I861-H861</f>
        <v>116</v>
      </c>
    </row>
    <row r="862" customFormat="false" ht="15" hidden="false" customHeight="false" outlineLevel="0" collapsed="false">
      <c r="A862" s="16" t="s">
        <v>2413</v>
      </c>
      <c r="B862" s="16" t="s">
        <v>1134</v>
      </c>
      <c r="C862" s="16" t="s">
        <v>2414</v>
      </c>
      <c r="D862" s="16" t="s">
        <v>162</v>
      </c>
      <c r="E862" s="16" t="s">
        <v>530</v>
      </c>
      <c r="F862" s="26" t="n">
        <v>7801000</v>
      </c>
      <c r="G862" s="25" t="n">
        <v>100</v>
      </c>
      <c r="H862" s="22" t="n">
        <v>46046</v>
      </c>
      <c r="I862" s="22" t="n">
        <v>46261</v>
      </c>
      <c r="J862" s="22" t="n">
        <v>46261</v>
      </c>
      <c r="K862" s="16" t="s">
        <v>765</v>
      </c>
      <c r="L862" s="16" t="s">
        <v>584</v>
      </c>
      <c r="M862" s="16"/>
      <c r="N862" s="16"/>
      <c r="O862" s="7" t="n">
        <f aca="false">IF(OR(E862="Closed Won",E862="Closed Lost"),0,1)</f>
        <v>0</v>
      </c>
      <c r="P862" s="17" t="str">
        <f aca="false">INDEX(Accounts!$K$5:$K$336,MATCH(B862,Accounts!$A$5:$A$336,0))</f>
        <v>Agribusiness</v>
      </c>
      <c r="Q862" s="17" t="str">
        <f aca="false">INDEX(Accounts!$D$5:$D$336,MATCH(B862,Accounts!$A$5:$A$336,0))</f>
        <v>Key</v>
      </c>
      <c r="R862" s="7" t="n">
        <f aca="false">INDEX(Inputs!$B$11:$B$16,MATCH(E862,Inputs!$A$11:$A$16,0))</f>
        <v>100</v>
      </c>
      <c r="S862" s="27" t="n">
        <f aca="false">IF(F862="",0,F862)*R862/100</f>
        <v>7801000</v>
      </c>
      <c r="T862" s="7" t="n">
        <f aca="false">Inputs!$B$4-J862</f>
        <v>53</v>
      </c>
      <c r="U862" s="7" t="n">
        <f aca="false">IF(OR(F862="",F862=0),1,0)</f>
        <v>0</v>
      </c>
      <c r="V862" s="7" t="n">
        <f aca="false">IF(K862="",1,0)</f>
        <v>0</v>
      </c>
      <c r="W862" s="7" t="n">
        <f aca="false">IF(AND(O862=1,K862&lt;&gt;"",COUNTIFS(Owners!$A$5:$A$32,K862,Owners!$E$5:$E$32,"No")&gt;0),1,0)</f>
        <v>0</v>
      </c>
      <c r="X862" s="7" t="n">
        <f aca="false">IF(AND(O862=1,I862&lt;Inputs!$B$4),1,0)</f>
        <v>0</v>
      </c>
      <c r="Y862" s="7" t="n">
        <f aca="false">IF(AND(O862=1,T862&gt;Inputs!$B$5),1,0)</f>
        <v>0</v>
      </c>
      <c r="Z862" s="7" t="n">
        <f aca="false">IF(AND(O862=1,G862&lt;&gt;R862),1,0)</f>
        <v>0</v>
      </c>
      <c r="AA862" s="7" t="n">
        <f aca="false">IF(AND(O862=1,M862=""),1,0)</f>
        <v>0</v>
      </c>
      <c r="AB862" s="7" t="n">
        <f aca="false">IF(AND(E862="Closed Lost",N862=""),1,0)</f>
        <v>0</v>
      </c>
      <c r="AC862" s="7" t="n">
        <f aca="false">SUM(U862:AB862)</f>
        <v>0</v>
      </c>
      <c r="AD862" s="7" t="n">
        <f aca="false">IF(AC862=0,1,0)</f>
        <v>1</v>
      </c>
      <c r="AE862" s="7" t="n">
        <f aca="false">IF(AND(O862=1,I862&gt;=Inputs!$B$6,I862&lt;=Inputs!$B$7),1,0)</f>
        <v>0</v>
      </c>
      <c r="AF862" s="7" t="n">
        <f aca="false">IF(AND(E862="Closed Won",I862&gt;=Inputs!$B$6,I862&lt;=Inputs!$B$4),1,0)</f>
        <v>1</v>
      </c>
      <c r="AG862" s="7" t="n">
        <f aca="false">IF(AND(O862=0,I862&gt;Inputs!$B$4-Inputs!$B$8,I862&lt;=Inputs!$B$4),1,0)</f>
        <v>1</v>
      </c>
      <c r="AH862" s="7" t="n">
        <f aca="false">I862-H862</f>
        <v>215</v>
      </c>
    </row>
    <row r="863" customFormat="false" ht="15" hidden="false" customHeight="false" outlineLevel="0" collapsed="false">
      <c r="A863" s="16" t="s">
        <v>2415</v>
      </c>
      <c r="B863" s="16" t="s">
        <v>68</v>
      </c>
      <c r="C863" s="16" t="s">
        <v>2416</v>
      </c>
      <c r="D863" s="16" t="s">
        <v>158</v>
      </c>
      <c r="E863" s="16" t="s">
        <v>531</v>
      </c>
      <c r="F863" s="26" t="n">
        <v>21526000</v>
      </c>
      <c r="G863" s="25" t="n">
        <v>0</v>
      </c>
      <c r="H863" s="22" t="n">
        <v>45926</v>
      </c>
      <c r="I863" s="22" t="n">
        <v>46104</v>
      </c>
      <c r="J863" s="22" t="n">
        <v>46104</v>
      </c>
      <c r="K863" s="16" t="s">
        <v>704</v>
      </c>
      <c r="L863" s="16" t="s">
        <v>574</v>
      </c>
      <c r="M863" s="16"/>
      <c r="N863" s="16" t="s">
        <v>597</v>
      </c>
      <c r="O863" s="7" t="n">
        <f aca="false">IF(OR(E863="Closed Won",E863="Closed Lost"),0,1)</f>
        <v>0</v>
      </c>
      <c r="P863" s="17" t="str">
        <f aca="false">INDEX(Accounts!$K$5:$K$336,MATCH(B863,Accounts!$A$5:$A$336,0))</f>
        <v>Financial Services</v>
      </c>
      <c r="Q863" s="17" t="str">
        <f aca="false">INDEX(Accounts!$D$5:$D$336,MATCH(B863,Accounts!$A$5:$A$336,0))</f>
        <v>Priority</v>
      </c>
      <c r="R863" s="7" t="n">
        <f aca="false">INDEX(Inputs!$B$11:$B$16,MATCH(E863,Inputs!$A$11:$A$16,0))</f>
        <v>0</v>
      </c>
      <c r="S863" s="27" t="n">
        <f aca="false">IF(F863="",0,F863)*R863/100</f>
        <v>0</v>
      </c>
      <c r="T863" s="7" t="n">
        <f aca="false">Inputs!$B$4-J863</f>
        <v>210</v>
      </c>
      <c r="U863" s="7" t="n">
        <f aca="false">IF(OR(F863="",F863=0),1,0)</f>
        <v>0</v>
      </c>
      <c r="V863" s="7" t="n">
        <f aca="false">IF(K863="",1,0)</f>
        <v>0</v>
      </c>
      <c r="W863" s="7" t="n">
        <f aca="false">IF(AND(O863=1,K863&lt;&gt;"",COUNTIFS(Owners!$A$5:$A$32,K863,Owners!$E$5:$E$32,"No")&gt;0),1,0)</f>
        <v>0</v>
      </c>
      <c r="X863" s="7" t="n">
        <f aca="false">IF(AND(O863=1,I863&lt;Inputs!$B$4),1,0)</f>
        <v>0</v>
      </c>
      <c r="Y863" s="7" t="n">
        <f aca="false">IF(AND(O863=1,T863&gt;Inputs!$B$5),1,0)</f>
        <v>0</v>
      </c>
      <c r="Z863" s="7" t="n">
        <f aca="false">IF(AND(O863=1,G863&lt;&gt;R863),1,0)</f>
        <v>0</v>
      </c>
      <c r="AA863" s="7" t="n">
        <f aca="false">IF(AND(O863=1,M863=""),1,0)</f>
        <v>0</v>
      </c>
      <c r="AB863" s="7" t="n">
        <f aca="false">IF(AND(E863="Closed Lost",N863=""),1,0)</f>
        <v>0</v>
      </c>
      <c r="AC863" s="7" t="n">
        <f aca="false">SUM(U863:AB863)</f>
        <v>0</v>
      </c>
      <c r="AD863" s="7" t="n">
        <f aca="false">IF(AC863=0,1,0)</f>
        <v>1</v>
      </c>
      <c r="AE863" s="7" t="n">
        <f aca="false">IF(AND(O863=1,I863&gt;=Inputs!$B$6,I863&lt;=Inputs!$B$7),1,0)</f>
        <v>0</v>
      </c>
      <c r="AF863" s="7" t="n">
        <f aca="false">IF(AND(E863="Closed Won",I863&gt;=Inputs!$B$6,I863&lt;=Inputs!$B$4),1,0)</f>
        <v>0</v>
      </c>
      <c r="AG863" s="7" t="n">
        <f aca="false">IF(AND(O863=0,I863&gt;Inputs!$B$4-Inputs!$B$8,I863&lt;=Inputs!$B$4),1,0)</f>
        <v>1</v>
      </c>
      <c r="AH863" s="7" t="n">
        <f aca="false">I863-H863</f>
        <v>178</v>
      </c>
    </row>
    <row r="864" customFormat="false" ht="15" hidden="false" customHeight="false" outlineLevel="0" collapsed="false">
      <c r="A864" s="16" t="s">
        <v>2417</v>
      </c>
      <c r="B864" s="16" t="s">
        <v>1144</v>
      </c>
      <c r="C864" s="16" t="s">
        <v>2418</v>
      </c>
      <c r="D864" s="16" t="s">
        <v>177</v>
      </c>
      <c r="E864" s="16" t="s">
        <v>527</v>
      </c>
      <c r="F864" s="26" t="n">
        <v>30333000</v>
      </c>
      <c r="G864" s="25" t="n">
        <v>25</v>
      </c>
      <c r="H864" s="22" t="n">
        <v>46233</v>
      </c>
      <c r="I864" s="22" t="n">
        <v>46501</v>
      </c>
      <c r="J864" s="22" t="n">
        <v>46284</v>
      </c>
      <c r="K864" s="16" t="s">
        <v>651</v>
      </c>
      <c r="L864" s="16" t="s">
        <v>574</v>
      </c>
      <c r="M864" s="16" t="s">
        <v>601</v>
      </c>
      <c r="N864" s="16"/>
      <c r="O864" s="7" t="n">
        <f aca="false">IF(OR(E864="Closed Won",E864="Closed Lost"),0,1)</f>
        <v>1</v>
      </c>
      <c r="P864" s="17" t="str">
        <f aca="false">INDEX(Accounts!$K$5:$K$336,MATCH(B864,Accounts!$A$5:$A$336,0))</f>
        <v>Financial Services</v>
      </c>
      <c r="Q864" s="17" t="str">
        <f aca="false">INDEX(Accounts!$D$5:$D$336,MATCH(B864,Accounts!$A$5:$A$336,0))</f>
        <v>Standard</v>
      </c>
      <c r="R864" s="7" t="n">
        <f aca="false">INDEX(Inputs!$B$11:$B$16,MATCH(E864,Inputs!$A$11:$A$16,0))</f>
        <v>25</v>
      </c>
      <c r="S864" s="27" t="n">
        <f aca="false">IF(F864="",0,F864)*R864/100</f>
        <v>7583250</v>
      </c>
      <c r="T864" s="7" t="n">
        <f aca="false">Inputs!$B$4-J864</f>
        <v>30</v>
      </c>
      <c r="U864" s="7" t="n">
        <f aca="false">IF(OR(F864="",F864=0),1,0)</f>
        <v>0</v>
      </c>
      <c r="V864" s="7" t="n">
        <f aca="false">IF(K864="",1,0)</f>
        <v>0</v>
      </c>
      <c r="W864" s="7" t="n">
        <f aca="false">IF(AND(O864=1,K864&lt;&gt;"",COUNTIFS(Owners!$A$5:$A$32,K864,Owners!$E$5:$E$32,"No")&gt;0),1,0)</f>
        <v>0</v>
      </c>
      <c r="X864" s="7" t="n">
        <f aca="false">IF(AND(O864=1,I864&lt;Inputs!$B$4),1,0)</f>
        <v>0</v>
      </c>
      <c r="Y864" s="7" t="n">
        <f aca="false">IF(AND(O864=1,T864&gt;Inputs!$B$5),1,0)</f>
        <v>0</v>
      </c>
      <c r="Z864" s="7" t="n">
        <f aca="false">IF(AND(O864=1,G864&lt;&gt;R864),1,0)</f>
        <v>0</v>
      </c>
      <c r="AA864" s="7" t="n">
        <f aca="false">IF(AND(O864=1,M864=""),1,0)</f>
        <v>0</v>
      </c>
      <c r="AB864" s="7" t="n">
        <f aca="false">IF(AND(E864="Closed Lost",N864=""),1,0)</f>
        <v>0</v>
      </c>
      <c r="AC864" s="7" t="n">
        <f aca="false">SUM(U864:AB864)</f>
        <v>0</v>
      </c>
      <c r="AD864" s="7" t="n">
        <f aca="false">IF(AC864=0,1,0)</f>
        <v>1</v>
      </c>
      <c r="AE864" s="7" t="n">
        <f aca="false">IF(AND(O864=1,I864&gt;=Inputs!$B$6,I864&lt;=Inputs!$B$7),1,0)</f>
        <v>1</v>
      </c>
      <c r="AF864" s="7" t="n">
        <f aca="false">IF(AND(E864="Closed Won",I864&gt;=Inputs!$B$6,I864&lt;=Inputs!$B$4),1,0)</f>
        <v>0</v>
      </c>
      <c r="AG864" s="7" t="n">
        <f aca="false">IF(AND(O864=0,I864&gt;Inputs!$B$4-Inputs!$B$8,I864&lt;=Inputs!$B$4),1,0)</f>
        <v>0</v>
      </c>
      <c r="AH864" s="7" t="n">
        <f aca="false">I864-H864</f>
        <v>268</v>
      </c>
    </row>
    <row r="865" customFormat="false" ht="15" hidden="false" customHeight="false" outlineLevel="0" collapsed="false">
      <c r="A865" s="16" t="s">
        <v>2419</v>
      </c>
      <c r="B865" s="16" t="s">
        <v>1419</v>
      </c>
      <c r="C865" s="16" t="s">
        <v>2420</v>
      </c>
      <c r="D865" s="16" t="s">
        <v>165</v>
      </c>
      <c r="E865" s="16" t="s">
        <v>530</v>
      </c>
      <c r="F865" s="26" t="n">
        <v>3935000</v>
      </c>
      <c r="G865" s="25" t="n">
        <v>100</v>
      </c>
      <c r="H865" s="22" t="n">
        <v>46101</v>
      </c>
      <c r="I865" s="22" t="n">
        <v>46223</v>
      </c>
      <c r="J865" s="22" t="n">
        <v>46223</v>
      </c>
      <c r="K865" s="16" t="s">
        <v>880</v>
      </c>
      <c r="L865" s="16" t="s">
        <v>592</v>
      </c>
      <c r="M865" s="16"/>
      <c r="N865" s="16"/>
      <c r="O865" s="7" t="n">
        <f aca="false">IF(OR(E865="Closed Won",E865="Closed Lost"),0,1)</f>
        <v>0</v>
      </c>
      <c r="P865" s="17" t="str">
        <f aca="false">INDEX(Accounts!$K$5:$K$336,MATCH(B865,Accounts!$A$5:$A$336,0))</f>
        <v>Technology, Media &amp; Telecom</v>
      </c>
      <c r="Q865" s="17" t="str">
        <f aca="false">INDEX(Accounts!$D$5:$D$336,MATCH(B865,Accounts!$A$5:$A$336,0))</f>
        <v>Standard</v>
      </c>
      <c r="R865" s="7" t="n">
        <f aca="false">INDEX(Inputs!$B$11:$B$16,MATCH(E865,Inputs!$A$11:$A$16,0))</f>
        <v>100</v>
      </c>
      <c r="S865" s="27" t="n">
        <f aca="false">IF(F865="",0,F865)*R865/100</f>
        <v>3935000</v>
      </c>
      <c r="T865" s="7" t="n">
        <f aca="false">Inputs!$B$4-J865</f>
        <v>91</v>
      </c>
      <c r="U865" s="7" t="n">
        <f aca="false">IF(OR(F865="",F865=0),1,0)</f>
        <v>0</v>
      </c>
      <c r="V865" s="7" t="n">
        <f aca="false">IF(K865="",1,0)</f>
        <v>0</v>
      </c>
      <c r="W865" s="7" t="n">
        <f aca="false">IF(AND(O865=1,K865&lt;&gt;"",COUNTIFS(Owners!$A$5:$A$32,K865,Owners!$E$5:$E$32,"No")&gt;0),1,0)</f>
        <v>0</v>
      </c>
      <c r="X865" s="7" t="n">
        <f aca="false">IF(AND(O865=1,I865&lt;Inputs!$B$4),1,0)</f>
        <v>0</v>
      </c>
      <c r="Y865" s="7" t="n">
        <f aca="false">IF(AND(O865=1,T865&gt;Inputs!$B$5),1,0)</f>
        <v>0</v>
      </c>
      <c r="Z865" s="7" t="n">
        <f aca="false">IF(AND(O865=1,G865&lt;&gt;R865),1,0)</f>
        <v>0</v>
      </c>
      <c r="AA865" s="7" t="n">
        <f aca="false">IF(AND(O865=1,M865=""),1,0)</f>
        <v>0</v>
      </c>
      <c r="AB865" s="7" t="n">
        <f aca="false">IF(AND(E865="Closed Lost",N865=""),1,0)</f>
        <v>0</v>
      </c>
      <c r="AC865" s="7" t="n">
        <f aca="false">SUM(U865:AB865)</f>
        <v>0</v>
      </c>
      <c r="AD865" s="7" t="n">
        <f aca="false">IF(AC865=0,1,0)</f>
        <v>1</v>
      </c>
      <c r="AE865" s="7" t="n">
        <f aca="false">IF(AND(O865=1,I865&gt;=Inputs!$B$6,I865&lt;=Inputs!$B$7),1,0)</f>
        <v>0</v>
      </c>
      <c r="AF865" s="7" t="n">
        <f aca="false">IF(AND(E865="Closed Won",I865&gt;=Inputs!$B$6,I865&lt;=Inputs!$B$4),1,0)</f>
        <v>1</v>
      </c>
      <c r="AG865" s="7" t="n">
        <f aca="false">IF(AND(O865=0,I865&gt;Inputs!$B$4-Inputs!$B$8,I865&lt;=Inputs!$B$4),1,0)</f>
        <v>1</v>
      </c>
      <c r="AH865" s="7" t="n">
        <f aca="false">I865-H865</f>
        <v>122</v>
      </c>
    </row>
    <row r="866" customFormat="false" ht="15" hidden="false" customHeight="false" outlineLevel="0" collapsed="false">
      <c r="A866" s="16" t="s">
        <v>2421</v>
      </c>
      <c r="B866" s="16" t="s">
        <v>1492</v>
      </c>
      <c r="C866" s="16" t="s">
        <v>2422</v>
      </c>
      <c r="D866" s="16" t="s">
        <v>158</v>
      </c>
      <c r="E866" s="16" t="s">
        <v>531</v>
      </c>
      <c r="F866" s="26" t="n">
        <v>56900000</v>
      </c>
      <c r="G866" s="25" t="n">
        <v>0</v>
      </c>
      <c r="H866" s="22" t="n">
        <v>46033</v>
      </c>
      <c r="I866" s="22" t="n">
        <v>46275</v>
      </c>
      <c r="J866" s="22" t="n">
        <v>46275</v>
      </c>
      <c r="K866" s="16" t="s">
        <v>880</v>
      </c>
      <c r="L866" s="16" t="s">
        <v>592</v>
      </c>
      <c r="M866" s="16"/>
      <c r="N866" s="16" t="s">
        <v>610</v>
      </c>
      <c r="O866" s="7" t="n">
        <f aca="false">IF(OR(E866="Closed Won",E866="Closed Lost"),0,1)</f>
        <v>0</v>
      </c>
      <c r="P866" s="17" t="str">
        <f aca="false">INDEX(Accounts!$K$5:$K$336,MATCH(B866,Accounts!$A$5:$A$336,0))</f>
        <v>Energy &amp; Resources</v>
      </c>
      <c r="Q866" s="17" t="str">
        <f aca="false">INDEX(Accounts!$D$5:$D$336,MATCH(B866,Accounts!$A$5:$A$336,0))</f>
        <v>Key</v>
      </c>
      <c r="R866" s="7" t="n">
        <f aca="false">INDEX(Inputs!$B$11:$B$16,MATCH(E866,Inputs!$A$11:$A$16,0))</f>
        <v>0</v>
      </c>
      <c r="S866" s="27" t="n">
        <f aca="false">IF(F866="",0,F866)*R866/100</f>
        <v>0</v>
      </c>
      <c r="T866" s="7" t="n">
        <f aca="false">Inputs!$B$4-J866</f>
        <v>39</v>
      </c>
      <c r="U866" s="7" t="n">
        <f aca="false">IF(OR(F866="",F866=0),1,0)</f>
        <v>0</v>
      </c>
      <c r="V866" s="7" t="n">
        <f aca="false">IF(K866="",1,0)</f>
        <v>0</v>
      </c>
      <c r="W866" s="7" t="n">
        <f aca="false">IF(AND(O866=1,K866&lt;&gt;"",COUNTIFS(Owners!$A$5:$A$32,K866,Owners!$E$5:$E$32,"No")&gt;0),1,0)</f>
        <v>0</v>
      </c>
      <c r="X866" s="7" t="n">
        <f aca="false">IF(AND(O866=1,I866&lt;Inputs!$B$4),1,0)</f>
        <v>0</v>
      </c>
      <c r="Y866" s="7" t="n">
        <f aca="false">IF(AND(O866=1,T866&gt;Inputs!$B$5),1,0)</f>
        <v>0</v>
      </c>
      <c r="Z866" s="7" t="n">
        <f aca="false">IF(AND(O866=1,G866&lt;&gt;R866),1,0)</f>
        <v>0</v>
      </c>
      <c r="AA866" s="7" t="n">
        <f aca="false">IF(AND(O866=1,M866=""),1,0)</f>
        <v>0</v>
      </c>
      <c r="AB866" s="7" t="n">
        <f aca="false">IF(AND(E866="Closed Lost",N866=""),1,0)</f>
        <v>0</v>
      </c>
      <c r="AC866" s="7" t="n">
        <f aca="false">SUM(U866:AB866)</f>
        <v>0</v>
      </c>
      <c r="AD866" s="7" t="n">
        <f aca="false">IF(AC866=0,1,0)</f>
        <v>1</v>
      </c>
      <c r="AE866" s="7" t="n">
        <f aca="false">IF(AND(O866=1,I866&gt;=Inputs!$B$6,I866&lt;=Inputs!$B$7),1,0)</f>
        <v>0</v>
      </c>
      <c r="AF866" s="7" t="n">
        <f aca="false">IF(AND(E866="Closed Won",I866&gt;=Inputs!$B$6,I866&lt;=Inputs!$B$4),1,0)</f>
        <v>0</v>
      </c>
      <c r="AG866" s="7" t="n">
        <f aca="false">IF(AND(O866=0,I866&gt;Inputs!$B$4-Inputs!$B$8,I866&lt;=Inputs!$B$4),1,0)</f>
        <v>1</v>
      </c>
      <c r="AH866" s="7" t="n">
        <f aca="false">I866-H866</f>
        <v>242</v>
      </c>
    </row>
    <row r="867" customFormat="false" ht="15" hidden="false" customHeight="false" outlineLevel="0" collapsed="false">
      <c r="A867" s="16" t="s">
        <v>2423</v>
      </c>
      <c r="B867" s="16" t="s">
        <v>404</v>
      </c>
      <c r="C867" s="16" t="s">
        <v>2424</v>
      </c>
      <c r="D867" s="16" t="s">
        <v>162</v>
      </c>
      <c r="E867" s="16" t="s">
        <v>528</v>
      </c>
      <c r="F867" s="26" t="n">
        <v>7158000</v>
      </c>
      <c r="G867" s="25" t="n">
        <v>50</v>
      </c>
      <c r="H867" s="22" t="n">
        <v>46249</v>
      </c>
      <c r="I867" s="22" t="n">
        <v>46536</v>
      </c>
      <c r="J867" s="22" t="n">
        <v>46296</v>
      </c>
      <c r="K867" s="16" t="s">
        <v>704</v>
      </c>
      <c r="L867" s="16" t="s">
        <v>500</v>
      </c>
      <c r="M867" s="16" t="s">
        <v>613</v>
      </c>
      <c r="N867" s="16"/>
      <c r="O867" s="7" t="n">
        <f aca="false">IF(OR(E867="Closed Won",E867="Closed Lost"),0,1)</f>
        <v>1</v>
      </c>
      <c r="P867" s="17" t="str">
        <f aca="false">INDEX(Accounts!$K$5:$K$336,MATCH(B867,Accounts!$A$5:$A$336,0))</f>
        <v>Consumer &amp; Retail</v>
      </c>
      <c r="Q867" s="17" t="str">
        <f aca="false">INDEX(Accounts!$D$5:$D$336,MATCH(B867,Accounts!$A$5:$A$336,0))</f>
        <v>Key</v>
      </c>
      <c r="R867" s="7" t="n">
        <f aca="false">INDEX(Inputs!$B$11:$B$16,MATCH(E867,Inputs!$A$11:$A$16,0))</f>
        <v>50</v>
      </c>
      <c r="S867" s="27" t="n">
        <f aca="false">IF(F867="",0,F867)*R867/100</f>
        <v>3579000</v>
      </c>
      <c r="T867" s="7" t="n">
        <f aca="false">Inputs!$B$4-J867</f>
        <v>18</v>
      </c>
      <c r="U867" s="7" t="n">
        <f aca="false">IF(OR(F867="",F867=0),1,0)</f>
        <v>0</v>
      </c>
      <c r="V867" s="7" t="n">
        <f aca="false">IF(K867="",1,0)</f>
        <v>0</v>
      </c>
      <c r="W867" s="7" t="n">
        <f aca="false">IF(AND(O867=1,K867&lt;&gt;"",COUNTIFS(Owners!$A$5:$A$32,K867,Owners!$E$5:$E$32,"No")&gt;0),1,0)</f>
        <v>0</v>
      </c>
      <c r="X867" s="7" t="n">
        <f aca="false">IF(AND(O867=1,I867&lt;Inputs!$B$4),1,0)</f>
        <v>0</v>
      </c>
      <c r="Y867" s="7" t="n">
        <f aca="false">IF(AND(O867=1,T867&gt;Inputs!$B$5),1,0)</f>
        <v>0</v>
      </c>
      <c r="Z867" s="7" t="n">
        <f aca="false">IF(AND(O867=1,G867&lt;&gt;R867),1,0)</f>
        <v>0</v>
      </c>
      <c r="AA867" s="7" t="n">
        <f aca="false">IF(AND(O867=1,M867=""),1,0)</f>
        <v>0</v>
      </c>
      <c r="AB867" s="7" t="n">
        <f aca="false">IF(AND(E867="Closed Lost",N867=""),1,0)</f>
        <v>0</v>
      </c>
      <c r="AC867" s="7" t="n">
        <f aca="false">SUM(U867:AB867)</f>
        <v>0</v>
      </c>
      <c r="AD867" s="7" t="n">
        <f aca="false">IF(AC867=0,1,0)</f>
        <v>1</v>
      </c>
      <c r="AE867" s="7" t="n">
        <f aca="false">IF(AND(O867=1,I867&gt;=Inputs!$B$6,I867&lt;=Inputs!$B$7),1,0)</f>
        <v>1</v>
      </c>
      <c r="AF867" s="7" t="n">
        <f aca="false">IF(AND(E867="Closed Won",I867&gt;=Inputs!$B$6,I867&lt;=Inputs!$B$4),1,0)</f>
        <v>0</v>
      </c>
      <c r="AG867" s="7" t="n">
        <f aca="false">IF(AND(O867=0,I867&gt;Inputs!$B$4-Inputs!$B$8,I867&lt;=Inputs!$B$4),1,0)</f>
        <v>0</v>
      </c>
      <c r="AH867" s="7" t="n">
        <f aca="false">I867-H867</f>
        <v>287</v>
      </c>
    </row>
    <row r="868" customFormat="false" ht="15" hidden="false" customHeight="false" outlineLevel="0" collapsed="false">
      <c r="A868" s="16" t="s">
        <v>2425</v>
      </c>
      <c r="B868" s="16" t="s">
        <v>748</v>
      </c>
      <c r="C868" s="16" t="s">
        <v>2426</v>
      </c>
      <c r="D868" s="16" t="s">
        <v>165</v>
      </c>
      <c r="E868" s="16" t="s">
        <v>530</v>
      </c>
      <c r="F868" s="26" t="n">
        <v>53392000</v>
      </c>
      <c r="G868" s="25" t="n">
        <v>100</v>
      </c>
      <c r="H868" s="22" t="n">
        <v>45913</v>
      </c>
      <c r="I868" s="22" t="n">
        <v>46048</v>
      </c>
      <c r="J868" s="22" t="n">
        <v>46048</v>
      </c>
      <c r="K868" s="16" t="s">
        <v>717</v>
      </c>
      <c r="L868" s="16" t="s">
        <v>568</v>
      </c>
      <c r="M868" s="16"/>
      <c r="N868" s="16"/>
      <c r="O868" s="7" t="n">
        <f aca="false">IF(OR(E868="Closed Won",E868="Closed Lost"),0,1)</f>
        <v>0</v>
      </c>
      <c r="P868" s="17" t="str">
        <f aca="false">INDEX(Accounts!$K$5:$K$336,MATCH(B868,Accounts!$A$5:$A$336,0))</f>
        <v>Technology, Media &amp; Telecom</v>
      </c>
      <c r="Q868" s="17" t="str">
        <f aca="false">INDEX(Accounts!$D$5:$D$336,MATCH(B868,Accounts!$A$5:$A$336,0))</f>
        <v>Key</v>
      </c>
      <c r="R868" s="7" t="n">
        <f aca="false">INDEX(Inputs!$B$11:$B$16,MATCH(E868,Inputs!$A$11:$A$16,0))</f>
        <v>100</v>
      </c>
      <c r="S868" s="27" t="n">
        <f aca="false">IF(F868="",0,F868)*R868/100</f>
        <v>53392000</v>
      </c>
      <c r="T868" s="7" t="n">
        <f aca="false">Inputs!$B$4-J868</f>
        <v>266</v>
      </c>
      <c r="U868" s="7" t="n">
        <f aca="false">IF(OR(F868="",F868=0),1,0)</f>
        <v>0</v>
      </c>
      <c r="V868" s="7" t="n">
        <f aca="false">IF(K868="",1,0)</f>
        <v>0</v>
      </c>
      <c r="W868" s="7" t="n">
        <f aca="false">IF(AND(O868=1,K868&lt;&gt;"",COUNTIFS(Owners!$A$5:$A$32,K868,Owners!$E$5:$E$32,"No")&gt;0),1,0)</f>
        <v>0</v>
      </c>
      <c r="X868" s="7" t="n">
        <f aca="false">IF(AND(O868=1,I868&lt;Inputs!$B$4),1,0)</f>
        <v>0</v>
      </c>
      <c r="Y868" s="7" t="n">
        <f aca="false">IF(AND(O868=1,T868&gt;Inputs!$B$5),1,0)</f>
        <v>0</v>
      </c>
      <c r="Z868" s="7" t="n">
        <f aca="false">IF(AND(O868=1,G868&lt;&gt;R868),1,0)</f>
        <v>0</v>
      </c>
      <c r="AA868" s="7" t="n">
        <f aca="false">IF(AND(O868=1,M868=""),1,0)</f>
        <v>0</v>
      </c>
      <c r="AB868" s="7" t="n">
        <f aca="false">IF(AND(E868="Closed Lost",N868=""),1,0)</f>
        <v>0</v>
      </c>
      <c r="AC868" s="7" t="n">
        <f aca="false">SUM(U868:AB868)</f>
        <v>0</v>
      </c>
      <c r="AD868" s="7" t="n">
        <f aca="false">IF(AC868=0,1,0)</f>
        <v>1</v>
      </c>
      <c r="AE868" s="7" t="n">
        <f aca="false">IF(AND(O868=1,I868&gt;=Inputs!$B$6,I868&lt;=Inputs!$B$7),1,0)</f>
        <v>0</v>
      </c>
      <c r="AF868" s="7" t="n">
        <f aca="false">IF(AND(E868="Closed Won",I868&gt;=Inputs!$B$6,I868&lt;=Inputs!$B$4),1,0)</f>
        <v>0</v>
      </c>
      <c r="AG868" s="7" t="n">
        <f aca="false">IF(AND(O868=0,I868&gt;Inputs!$B$4-Inputs!$B$8,I868&lt;=Inputs!$B$4),1,0)</f>
        <v>1</v>
      </c>
      <c r="AH868" s="7" t="n">
        <f aca="false">I868-H868</f>
        <v>135</v>
      </c>
    </row>
    <row r="869" customFormat="false" ht="15" hidden="false" customHeight="false" outlineLevel="0" collapsed="false">
      <c r="A869" s="16" t="s">
        <v>2427</v>
      </c>
      <c r="B869" s="16" t="s">
        <v>2172</v>
      </c>
      <c r="C869" s="16" t="s">
        <v>2428</v>
      </c>
      <c r="D869" s="16" t="s">
        <v>165</v>
      </c>
      <c r="E869" s="16" t="s">
        <v>530</v>
      </c>
      <c r="F869" s="26" t="n">
        <v>13551000</v>
      </c>
      <c r="G869" s="25" t="n">
        <v>100</v>
      </c>
      <c r="H869" s="22" t="n">
        <v>46023</v>
      </c>
      <c r="I869" s="22" t="n">
        <v>46154</v>
      </c>
      <c r="J869" s="22" t="n">
        <v>46154</v>
      </c>
      <c r="K869" s="16" t="s">
        <v>637</v>
      </c>
      <c r="L869" s="16" t="s">
        <v>500</v>
      </c>
      <c r="M869" s="16"/>
      <c r="N869" s="16"/>
      <c r="O869" s="7" t="n">
        <f aca="false">IF(OR(E869="Closed Won",E869="Closed Lost"),0,1)</f>
        <v>0</v>
      </c>
      <c r="P869" s="17" t="str">
        <f aca="false">INDEX(Accounts!$K$5:$K$336,MATCH(B869,Accounts!$A$5:$A$336,0))</f>
        <v>Public Sector &amp; Development</v>
      </c>
      <c r="Q869" s="17" t="str">
        <f aca="false">INDEX(Accounts!$D$5:$D$336,MATCH(B869,Accounts!$A$5:$A$336,0))</f>
        <v>Standard</v>
      </c>
      <c r="R869" s="7" t="n">
        <f aca="false">INDEX(Inputs!$B$11:$B$16,MATCH(E869,Inputs!$A$11:$A$16,0))</f>
        <v>100</v>
      </c>
      <c r="S869" s="27" t="n">
        <f aca="false">IF(F869="",0,F869)*R869/100</f>
        <v>13551000</v>
      </c>
      <c r="T869" s="7" t="n">
        <f aca="false">Inputs!$B$4-J869</f>
        <v>160</v>
      </c>
      <c r="U869" s="7" t="n">
        <f aca="false">IF(OR(F869="",F869=0),1,0)</f>
        <v>0</v>
      </c>
      <c r="V869" s="7" t="n">
        <f aca="false">IF(K869="",1,0)</f>
        <v>0</v>
      </c>
      <c r="W869" s="7" t="n">
        <f aca="false">IF(AND(O869=1,K869&lt;&gt;"",COUNTIFS(Owners!$A$5:$A$32,K869,Owners!$E$5:$E$32,"No")&gt;0),1,0)</f>
        <v>0</v>
      </c>
      <c r="X869" s="7" t="n">
        <f aca="false">IF(AND(O869=1,I869&lt;Inputs!$B$4),1,0)</f>
        <v>0</v>
      </c>
      <c r="Y869" s="7" t="n">
        <f aca="false">IF(AND(O869=1,T869&gt;Inputs!$B$5),1,0)</f>
        <v>0</v>
      </c>
      <c r="Z869" s="7" t="n">
        <f aca="false">IF(AND(O869=1,G869&lt;&gt;R869),1,0)</f>
        <v>0</v>
      </c>
      <c r="AA869" s="7" t="n">
        <f aca="false">IF(AND(O869=1,M869=""),1,0)</f>
        <v>0</v>
      </c>
      <c r="AB869" s="7" t="n">
        <f aca="false">IF(AND(E869="Closed Lost",N869=""),1,0)</f>
        <v>0</v>
      </c>
      <c r="AC869" s="7" t="n">
        <f aca="false">SUM(U869:AB869)</f>
        <v>0</v>
      </c>
      <c r="AD869" s="7" t="n">
        <f aca="false">IF(AC869=0,1,0)</f>
        <v>1</v>
      </c>
      <c r="AE869" s="7" t="n">
        <f aca="false">IF(AND(O869=1,I869&gt;=Inputs!$B$6,I869&lt;=Inputs!$B$7),1,0)</f>
        <v>0</v>
      </c>
      <c r="AF869" s="7" t="n">
        <f aca="false">IF(AND(E869="Closed Won",I869&gt;=Inputs!$B$6,I869&lt;=Inputs!$B$4),1,0)</f>
        <v>0</v>
      </c>
      <c r="AG869" s="7" t="n">
        <f aca="false">IF(AND(O869=0,I869&gt;Inputs!$B$4-Inputs!$B$8,I869&lt;=Inputs!$B$4),1,0)</f>
        <v>1</v>
      </c>
      <c r="AH869" s="7" t="n">
        <f aca="false">I869-H869</f>
        <v>131</v>
      </c>
    </row>
    <row r="870" customFormat="false" ht="15" hidden="false" customHeight="false" outlineLevel="0" collapsed="false">
      <c r="A870" s="16" t="s">
        <v>2429</v>
      </c>
      <c r="B870" s="16" t="s">
        <v>254</v>
      </c>
      <c r="C870" s="16" t="s">
        <v>2430</v>
      </c>
      <c r="D870" s="16" t="s">
        <v>167</v>
      </c>
      <c r="E870" s="16" t="s">
        <v>531</v>
      </c>
      <c r="F870" s="26" t="n">
        <v>9282000</v>
      </c>
      <c r="G870" s="25" t="n">
        <v>0</v>
      </c>
      <c r="H870" s="22" t="n">
        <v>45907</v>
      </c>
      <c r="I870" s="22" t="n">
        <v>46011</v>
      </c>
      <c r="J870" s="22" t="n">
        <v>46011</v>
      </c>
      <c r="K870" s="16" t="s">
        <v>663</v>
      </c>
      <c r="L870" s="16" t="s">
        <v>500</v>
      </c>
      <c r="M870" s="16"/>
      <c r="N870" s="16" t="s">
        <v>713</v>
      </c>
      <c r="O870" s="7" t="n">
        <f aca="false">IF(OR(E870="Closed Won",E870="Closed Lost"),0,1)</f>
        <v>0</v>
      </c>
      <c r="P870" s="17" t="str">
        <f aca="false">INDEX(Accounts!$K$5:$K$336,MATCH(B870,Accounts!$A$5:$A$336,0))</f>
        <v>Technology, Media &amp; Telecom</v>
      </c>
      <c r="Q870" s="17" t="str">
        <f aca="false">INDEX(Accounts!$D$5:$D$336,MATCH(B870,Accounts!$A$5:$A$336,0))</f>
        <v>Key</v>
      </c>
      <c r="R870" s="7" t="n">
        <f aca="false">INDEX(Inputs!$B$11:$B$16,MATCH(E870,Inputs!$A$11:$A$16,0))</f>
        <v>0</v>
      </c>
      <c r="S870" s="27" t="n">
        <f aca="false">IF(F870="",0,F870)*R870/100</f>
        <v>0</v>
      </c>
      <c r="T870" s="7" t="n">
        <f aca="false">Inputs!$B$4-J870</f>
        <v>303</v>
      </c>
      <c r="U870" s="7" t="n">
        <f aca="false">IF(OR(F870="",F870=0),1,0)</f>
        <v>0</v>
      </c>
      <c r="V870" s="7" t="n">
        <f aca="false">IF(K870="",1,0)</f>
        <v>0</v>
      </c>
      <c r="W870" s="7" t="n">
        <f aca="false">IF(AND(O870=1,K870&lt;&gt;"",COUNTIFS(Owners!$A$5:$A$32,K870,Owners!$E$5:$E$32,"No")&gt;0),1,0)</f>
        <v>0</v>
      </c>
      <c r="X870" s="7" t="n">
        <f aca="false">IF(AND(O870=1,I870&lt;Inputs!$B$4),1,0)</f>
        <v>0</v>
      </c>
      <c r="Y870" s="7" t="n">
        <f aca="false">IF(AND(O870=1,T870&gt;Inputs!$B$5),1,0)</f>
        <v>0</v>
      </c>
      <c r="Z870" s="7" t="n">
        <f aca="false">IF(AND(O870=1,G870&lt;&gt;R870),1,0)</f>
        <v>0</v>
      </c>
      <c r="AA870" s="7" t="n">
        <f aca="false">IF(AND(O870=1,M870=""),1,0)</f>
        <v>0</v>
      </c>
      <c r="AB870" s="7" t="n">
        <f aca="false">IF(AND(E870="Closed Lost",N870=""),1,0)</f>
        <v>0</v>
      </c>
      <c r="AC870" s="7" t="n">
        <f aca="false">SUM(U870:AB870)</f>
        <v>0</v>
      </c>
      <c r="AD870" s="7" t="n">
        <f aca="false">IF(AC870=0,1,0)</f>
        <v>1</v>
      </c>
      <c r="AE870" s="7" t="n">
        <f aca="false">IF(AND(O870=1,I870&gt;=Inputs!$B$6,I870&lt;=Inputs!$B$7),1,0)</f>
        <v>0</v>
      </c>
      <c r="AF870" s="7" t="n">
        <f aca="false">IF(AND(E870="Closed Won",I870&gt;=Inputs!$B$6,I870&lt;=Inputs!$B$4),1,0)</f>
        <v>0</v>
      </c>
      <c r="AG870" s="7" t="n">
        <f aca="false">IF(AND(O870=0,I870&gt;Inputs!$B$4-Inputs!$B$8,I870&lt;=Inputs!$B$4),1,0)</f>
        <v>1</v>
      </c>
      <c r="AH870" s="7" t="n">
        <f aca="false">I870-H870</f>
        <v>104</v>
      </c>
    </row>
    <row r="871" customFormat="false" ht="15" hidden="false" customHeight="false" outlineLevel="0" collapsed="false">
      <c r="A871" s="16" t="s">
        <v>2431</v>
      </c>
      <c r="B871" s="16" t="s">
        <v>82</v>
      </c>
      <c r="C871" s="16" t="s">
        <v>895</v>
      </c>
      <c r="D871" s="16" t="s">
        <v>167</v>
      </c>
      <c r="E871" s="16" t="s">
        <v>526</v>
      </c>
      <c r="F871" s="26" t="n">
        <v>8607000</v>
      </c>
      <c r="G871" s="25" t="n">
        <v>10</v>
      </c>
      <c r="H871" s="22" t="n">
        <v>46250</v>
      </c>
      <c r="I871" s="22" t="n">
        <v>46317</v>
      </c>
      <c r="J871" s="22" t="n">
        <v>46278</v>
      </c>
      <c r="K871" s="16" t="s">
        <v>704</v>
      </c>
      <c r="L871" s="16" t="s">
        <v>584</v>
      </c>
      <c r="M871" s="16" t="s">
        <v>593</v>
      </c>
      <c r="N871" s="16"/>
      <c r="O871" s="7" t="n">
        <f aca="false">IF(OR(E871="Closed Won",E871="Closed Lost"),0,1)</f>
        <v>1</v>
      </c>
      <c r="P871" s="17" t="str">
        <f aca="false">INDEX(Accounts!$K$5:$K$336,MATCH(B871,Accounts!$A$5:$A$336,0))</f>
        <v>Public Sector &amp; Development</v>
      </c>
      <c r="Q871" s="17" t="str">
        <f aca="false">INDEX(Accounts!$D$5:$D$336,MATCH(B871,Accounts!$A$5:$A$336,0))</f>
        <v>Priority</v>
      </c>
      <c r="R871" s="7" t="n">
        <f aca="false">INDEX(Inputs!$B$11:$B$16,MATCH(E871,Inputs!$A$11:$A$16,0))</f>
        <v>10</v>
      </c>
      <c r="S871" s="27" t="n">
        <f aca="false">IF(F871="",0,F871)*R871/100</f>
        <v>860700</v>
      </c>
      <c r="T871" s="7" t="n">
        <f aca="false">Inputs!$B$4-J871</f>
        <v>36</v>
      </c>
      <c r="U871" s="7" t="n">
        <f aca="false">IF(OR(F871="",F871=0),1,0)</f>
        <v>0</v>
      </c>
      <c r="V871" s="7" t="n">
        <f aca="false">IF(K871="",1,0)</f>
        <v>0</v>
      </c>
      <c r="W871" s="7" t="n">
        <f aca="false">IF(AND(O871=1,K871&lt;&gt;"",COUNTIFS(Owners!$A$5:$A$32,K871,Owners!$E$5:$E$32,"No")&gt;0),1,0)</f>
        <v>0</v>
      </c>
      <c r="X871" s="7" t="n">
        <f aca="false">IF(AND(O871=1,I871&lt;Inputs!$B$4),1,0)</f>
        <v>0</v>
      </c>
      <c r="Y871" s="7" t="n">
        <f aca="false">IF(AND(O871=1,T871&gt;Inputs!$B$5),1,0)</f>
        <v>0</v>
      </c>
      <c r="Z871" s="7" t="n">
        <f aca="false">IF(AND(O871=1,G871&lt;&gt;R871),1,0)</f>
        <v>0</v>
      </c>
      <c r="AA871" s="7" t="n">
        <f aca="false">IF(AND(O871=1,M871=""),1,0)</f>
        <v>0</v>
      </c>
      <c r="AB871" s="7" t="n">
        <f aca="false">IF(AND(E871="Closed Lost",N871=""),1,0)</f>
        <v>0</v>
      </c>
      <c r="AC871" s="7" t="n">
        <f aca="false">SUM(U871:AB871)</f>
        <v>0</v>
      </c>
      <c r="AD871" s="7" t="n">
        <f aca="false">IF(AC871=0,1,0)</f>
        <v>1</v>
      </c>
      <c r="AE871" s="7" t="n">
        <f aca="false">IF(AND(O871=1,I871&gt;=Inputs!$B$6,I871&lt;=Inputs!$B$7),1,0)</f>
        <v>1</v>
      </c>
      <c r="AF871" s="7" t="n">
        <f aca="false">IF(AND(E871="Closed Won",I871&gt;=Inputs!$B$6,I871&lt;=Inputs!$B$4),1,0)</f>
        <v>0</v>
      </c>
      <c r="AG871" s="7" t="n">
        <f aca="false">IF(AND(O871=0,I871&gt;Inputs!$B$4-Inputs!$B$8,I871&lt;=Inputs!$B$4),1,0)</f>
        <v>0</v>
      </c>
      <c r="AH871" s="7" t="n">
        <f aca="false">I871-H871</f>
        <v>67</v>
      </c>
    </row>
    <row r="872" customFormat="false" ht="15" hidden="false" customHeight="false" outlineLevel="0" collapsed="false">
      <c r="A872" s="16" t="s">
        <v>2432</v>
      </c>
      <c r="B872" s="16" t="s">
        <v>94</v>
      </c>
      <c r="C872" s="16" t="s">
        <v>2433</v>
      </c>
      <c r="D872" s="16" t="s">
        <v>177</v>
      </c>
      <c r="E872" s="16" t="s">
        <v>531</v>
      </c>
      <c r="F872" s="26" t="n">
        <v>6666000</v>
      </c>
      <c r="G872" s="25" t="n">
        <v>0</v>
      </c>
      <c r="H872" s="22" t="n">
        <v>46046</v>
      </c>
      <c r="I872" s="22" t="n">
        <v>46129</v>
      </c>
      <c r="J872" s="22" t="n">
        <v>46129</v>
      </c>
      <c r="K872" s="16" t="s">
        <v>640</v>
      </c>
      <c r="L872" s="16" t="s">
        <v>584</v>
      </c>
      <c r="M872" s="16"/>
      <c r="N872" s="16" t="s">
        <v>697</v>
      </c>
      <c r="O872" s="7" t="n">
        <f aca="false">IF(OR(E872="Closed Won",E872="Closed Lost"),0,1)</f>
        <v>0</v>
      </c>
      <c r="P872" s="17" t="str">
        <f aca="false">INDEX(Accounts!$K$5:$K$336,MATCH(B872,Accounts!$A$5:$A$336,0))</f>
        <v>Technology, Media &amp; Telecom</v>
      </c>
      <c r="Q872" s="17" t="str">
        <f aca="false">INDEX(Accounts!$D$5:$D$336,MATCH(B872,Accounts!$A$5:$A$336,0))</f>
        <v>Priority</v>
      </c>
      <c r="R872" s="7" t="n">
        <f aca="false">INDEX(Inputs!$B$11:$B$16,MATCH(E872,Inputs!$A$11:$A$16,0))</f>
        <v>0</v>
      </c>
      <c r="S872" s="27" t="n">
        <f aca="false">IF(F872="",0,F872)*R872/100</f>
        <v>0</v>
      </c>
      <c r="T872" s="7" t="n">
        <f aca="false">Inputs!$B$4-J872</f>
        <v>185</v>
      </c>
      <c r="U872" s="7" t="n">
        <f aca="false">IF(OR(F872="",F872=0),1,0)</f>
        <v>0</v>
      </c>
      <c r="V872" s="7" t="n">
        <f aca="false">IF(K872="",1,0)</f>
        <v>0</v>
      </c>
      <c r="W872" s="7" t="n">
        <f aca="false">IF(AND(O872=1,K872&lt;&gt;"",COUNTIFS(Owners!$A$5:$A$32,K872,Owners!$E$5:$E$32,"No")&gt;0),1,0)</f>
        <v>0</v>
      </c>
      <c r="X872" s="7" t="n">
        <f aca="false">IF(AND(O872=1,I872&lt;Inputs!$B$4),1,0)</f>
        <v>0</v>
      </c>
      <c r="Y872" s="7" t="n">
        <f aca="false">IF(AND(O872=1,T872&gt;Inputs!$B$5),1,0)</f>
        <v>0</v>
      </c>
      <c r="Z872" s="7" t="n">
        <f aca="false">IF(AND(O872=1,G872&lt;&gt;R872),1,0)</f>
        <v>0</v>
      </c>
      <c r="AA872" s="7" t="n">
        <f aca="false">IF(AND(O872=1,M872=""),1,0)</f>
        <v>0</v>
      </c>
      <c r="AB872" s="7" t="n">
        <f aca="false">IF(AND(E872="Closed Lost",N872=""),1,0)</f>
        <v>0</v>
      </c>
      <c r="AC872" s="7" t="n">
        <f aca="false">SUM(U872:AB872)</f>
        <v>0</v>
      </c>
      <c r="AD872" s="7" t="n">
        <f aca="false">IF(AC872=0,1,0)</f>
        <v>1</v>
      </c>
      <c r="AE872" s="7" t="n">
        <f aca="false">IF(AND(O872=1,I872&gt;=Inputs!$B$6,I872&lt;=Inputs!$B$7),1,0)</f>
        <v>0</v>
      </c>
      <c r="AF872" s="7" t="n">
        <f aca="false">IF(AND(E872="Closed Won",I872&gt;=Inputs!$B$6,I872&lt;=Inputs!$B$4),1,0)</f>
        <v>0</v>
      </c>
      <c r="AG872" s="7" t="n">
        <f aca="false">IF(AND(O872=0,I872&gt;Inputs!$B$4-Inputs!$B$8,I872&lt;=Inputs!$B$4),1,0)</f>
        <v>1</v>
      </c>
      <c r="AH872" s="7" t="n">
        <f aca="false">I872-H872</f>
        <v>83</v>
      </c>
    </row>
    <row r="873" customFormat="false" ht="15" hidden="false" customHeight="false" outlineLevel="0" collapsed="false">
      <c r="A873" s="16" t="s">
        <v>2434</v>
      </c>
      <c r="B873" s="16" t="s">
        <v>67</v>
      </c>
      <c r="C873" s="16" t="s">
        <v>2435</v>
      </c>
      <c r="D873" s="16" t="s">
        <v>165</v>
      </c>
      <c r="E873" s="16" t="s">
        <v>531</v>
      </c>
      <c r="F873" s="26" t="n">
        <v>29421000</v>
      </c>
      <c r="G873" s="25" t="n">
        <v>0</v>
      </c>
      <c r="H873" s="22" t="n">
        <v>45958</v>
      </c>
      <c r="I873" s="22" t="n">
        <v>46244</v>
      </c>
      <c r="J873" s="22" t="n">
        <v>46244</v>
      </c>
      <c r="K873" s="16" t="s">
        <v>596</v>
      </c>
      <c r="L873" s="16" t="s">
        <v>500</v>
      </c>
      <c r="M873" s="16"/>
      <c r="N873" s="16" t="s">
        <v>610</v>
      </c>
      <c r="O873" s="7" t="n">
        <f aca="false">IF(OR(E873="Closed Won",E873="Closed Lost"),0,1)</f>
        <v>0</v>
      </c>
      <c r="P873" s="17" t="str">
        <f aca="false">INDEX(Accounts!$K$5:$K$336,MATCH(B873,Accounts!$A$5:$A$336,0))</f>
        <v>Financial Services</v>
      </c>
      <c r="Q873" s="17" t="str">
        <f aca="false">INDEX(Accounts!$D$5:$D$336,MATCH(B873,Accounts!$A$5:$A$336,0))</f>
        <v>Priority</v>
      </c>
      <c r="R873" s="7" t="n">
        <f aca="false">INDEX(Inputs!$B$11:$B$16,MATCH(E873,Inputs!$A$11:$A$16,0))</f>
        <v>0</v>
      </c>
      <c r="S873" s="27" t="n">
        <f aca="false">IF(F873="",0,F873)*R873/100</f>
        <v>0</v>
      </c>
      <c r="T873" s="7" t="n">
        <f aca="false">Inputs!$B$4-J873</f>
        <v>70</v>
      </c>
      <c r="U873" s="7" t="n">
        <f aca="false">IF(OR(F873="",F873=0),1,0)</f>
        <v>0</v>
      </c>
      <c r="V873" s="7" t="n">
        <f aca="false">IF(K873="",1,0)</f>
        <v>0</v>
      </c>
      <c r="W873" s="7" t="n">
        <f aca="false">IF(AND(O873=1,K873&lt;&gt;"",COUNTIFS(Owners!$A$5:$A$32,K873,Owners!$E$5:$E$32,"No")&gt;0),1,0)</f>
        <v>0</v>
      </c>
      <c r="X873" s="7" t="n">
        <f aca="false">IF(AND(O873=1,I873&lt;Inputs!$B$4),1,0)</f>
        <v>0</v>
      </c>
      <c r="Y873" s="7" t="n">
        <f aca="false">IF(AND(O873=1,T873&gt;Inputs!$B$5),1,0)</f>
        <v>0</v>
      </c>
      <c r="Z873" s="7" t="n">
        <f aca="false">IF(AND(O873=1,G873&lt;&gt;R873),1,0)</f>
        <v>0</v>
      </c>
      <c r="AA873" s="7" t="n">
        <f aca="false">IF(AND(O873=1,M873=""),1,0)</f>
        <v>0</v>
      </c>
      <c r="AB873" s="7" t="n">
        <f aca="false">IF(AND(E873="Closed Lost",N873=""),1,0)</f>
        <v>0</v>
      </c>
      <c r="AC873" s="7" t="n">
        <f aca="false">SUM(U873:AB873)</f>
        <v>0</v>
      </c>
      <c r="AD873" s="7" t="n">
        <f aca="false">IF(AC873=0,1,0)</f>
        <v>1</v>
      </c>
      <c r="AE873" s="7" t="n">
        <f aca="false">IF(AND(O873=1,I873&gt;=Inputs!$B$6,I873&lt;=Inputs!$B$7),1,0)</f>
        <v>0</v>
      </c>
      <c r="AF873" s="7" t="n">
        <f aca="false">IF(AND(E873="Closed Won",I873&gt;=Inputs!$B$6,I873&lt;=Inputs!$B$4),1,0)</f>
        <v>0</v>
      </c>
      <c r="AG873" s="7" t="n">
        <f aca="false">IF(AND(O873=0,I873&gt;Inputs!$B$4-Inputs!$B$8,I873&lt;=Inputs!$B$4),1,0)</f>
        <v>1</v>
      </c>
      <c r="AH873" s="7" t="n">
        <f aca="false">I873-H873</f>
        <v>286</v>
      </c>
    </row>
    <row r="874" customFormat="false" ht="15" hidden="false" customHeight="false" outlineLevel="0" collapsed="false">
      <c r="A874" s="16" t="s">
        <v>2436</v>
      </c>
      <c r="B874" s="16" t="s">
        <v>960</v>
      </c>
      <c r="C874" s="16" t="s">
        <v>2437</v>
      </c>
      <c r="D874" s="16" t="s">
        <v>167</v>
      </c>
      <c r="E874" s="16" t="s">
        <v>531</v>
      </c>
      <c r="F874" s="26" t="n">
        <v>3382000</v>
      </c>
      <c r="G874" s="25" t="n">
        <v>0</v>
      </c>
      <c r="H874" s="22" t="n">
        <v>46036</v>
      </c>
      <c r="I874" s="22" t="n">
        <v>46127</v>
      </c>
      <c r="J874" s="22" t="n">
        <v>46127</v>
      </c>
      <c r="K874" s="16" t="s">
        <v>691</v>
      </c>
      <c r="L874" s="16" t="s">
        <v>500</v>
      </c>
      <c r="M874" s="16"/>
      <c r="N874" s="16" t="s">
        <v>713</v>
      </c>
      <c r="O874" s="7" t="n">
        <f aca="false">IF(OR(E874="Closed Won",E874="Closed Lost"),0,1)</f>
        <v>0</v>
      </c>
      <c r="P874" s="17" t="str">
        <f aca="false">INDEX(Accounts!$K$5:$K$336,MATCH(B874,Accounts!$A$5:$A$336,0))</f>
        <v>Energy &amp; Resources</v>
      </c>
      <c r="Q874" s="17" t="str">
        <f aca="false">INDEX(Accounts!$D$5:$D$336,MATCH(B874,Accounts!$A$5:$A$336,0))</f>
        <v>Key</v>
      </c>
      <c r="R874" s="7" t="n">
        <f aca="false">INDEX(Inputs!$B$11:$B$16,MATCH(E874,Inputs!$A$11:$A$16,0))</f>
        <v>0</v>
      </c>
      <c r="S874" s="27" t="n">
        <f aca="false">IF(F874="",0,F874)*R874/100</f>
        <v>0</v>
      </c>
      <c r="T874" s="7" t="n">
        <f aca="false">Inputs!$B$4-J874</f>
        <v>187</v>
      </c>
      <c r="U874" s="7" t="n">
        <f aca="false">IF(OR(F874="",F874=0),1,0)</f>
        <v>0</v>
      </c>
      <c r="V874" s="7" t="n">
        <f aca="false">IF(K874="",1,0)</f>
        <v>0</v>
      </c>
      <c r="W874" s="7" t="n">
        <f aca="false">IF(AND(O874=1,K874&lt;&gt;"",COUNTIFS(Owners!$A$5:$A$32,K874,Owners!$E$5:$E$32,"No")&gt;0),1,0)</f>
        <v>0</v>
      </c>
      <c r="X874" s="7" t="n">
        <f aca="false">IF(AND(O874=1,I874&lt;Inputs!$B$4),1,0)</f>
        <v>0</v>
      </c>
      <c r="Y874" s="7" t="n">
        <f aca="false">IF(AND(O874=1,T874&gt;Inputs!$B$5),1,0)</f>
        <v>0</v>
      </c>
      <c r="Z874" s="7" t="n">
        <f aca="false">IF(AND(O874=1,G874&lt;&gt;R874),1,0)</f>
        <v>0</v>
      </c>
      <c r="AA874" s="7" t="n">
        <f aca="false">IF(AND(O874=1,M874=""),1,0)</f>
        <v>0</v>
      </c>
      <c r="AB874" s="7" t="n">
        <f aca="false">IF(AND(E874="Closed Lost",N874=""),1,0)</f>
        <v>0</v>
      </c>
      <c r="AC874" s="7" t="n">
        <f aca="false">SUM(U874:AB874)</f>
        <v>0</v>
      </c>
      <c r="AD874" s="7" t="n">
        <f aca="false">IF(AC874=0,1,0)</f>
        <v>1</v>
      </c>
      <c r="AE874" s="7" t="n">
        <f aca="false">IF(AND(O874=1,I874&gt;=Inputs!$B$6,I874&lt;=Inputs!$B$7),1,0)</f>
        <v>0</v>
      </c>
      <c r="AF874" s="7" t="n">
        <f aca="false">IF(AND(E874="Closed Won",I874&gt;=Inputs!$B$6,I874&lt;=Inputs!$B$4),1,0)</f>
        <v>0</v>
      </c>
      <c r="AG874" s="7" t="n">
        <f aca="false">IF(AND(O874=0,I874&gt;Inputs!$B$4-Inputs!$B$8,I874&lt;=Inputs!$B$4),1,0)</f>
        <v>1</v>
      </c>
      <c r="AH874" s="7" t="n">
        <f aca="false">I874-H874</f>
        <v>91</v>
      </c>
    </row>
    <row r="875" customFormat="false" ht="15" hidden="false" customHeight="false" outlineLevel="0" collapsed="false">
      <c r="A875" s="16" t="s">
        <v>2438</v>
      </c>
      <c r="B875" s="16" t="s">
        <v>2439</v>
      </c>
      <c r="C875" s="16" t="s">
        <v>2440</v>
      </c>
      <c r="D875" s="16" t="s">
        <v>167</v>
      </c>
      <c r="E875" s="16" t="s">
        <v>530</v>
      </c>
      <c r="F875" s="26"/>
      <c r="G875" s="25" t="n">
        <v>100</v>
      </c>
      <c r="H875" s="22" t="n">
        <v>45992</v>
      </c>
      <c r="I875" s="22" t="n">
        <v>46289</v>
      </c>
      <c r="J875" s="22" t="n">
        <v>46289</v>
      </c>
      <c r="K875" s="16" t="s">
        <v>591</v>
      </c>
      <c r="L875" s="16" t="s">
        <v>609</v>
      </c>
      <c r="M875" s="16"/>
      <c r="N875" s="16"/>
      <c r="O875" s="7" t="n">
        <f aca="false">IF(OR(E875="Closed Won",E875="Closed Lost"),0,1)</f>
        <v>0</v>
      </c>
      <c r="P875" s="17" t="str">
        <f aca="false">INDEX(Accounts!$K$5:$K$336,MATCH(B875,Accounts!$A$5:$A$336,0))</f>
        <v>Consumer &amp; Retail</v>
      </c>
      <c r="Q875" s="17" t="str">
        <f aca="false">INDEX(Accounts!$D$5:$D$336,MATCH(B875,Accounts!$A$5:$A$336,0))</f>
        <v>Standard</v>
      </c>
      <c r="R875" s="7" t="n">
        <f aca="false">INDEX(Inputs!$B$11:$B$16,MATCH(E875,Inputs!$A$11:$A$16,0))</f>
        <v>100</v>
      </c>
      <c r="S875" s="27" t="n">
        <f aca="false">IF(F875="",0,F875)*R875/100</f>
        <v>0</v>
      </c>
      <c r="T875" s="7" t="n">
        <f aca="false">Inputs!$B$4-J875</f>
        <v>25</v>
      </c>
      <c r="U875" s="7" t="n">
        <f aca="false">IF(OR(F875="",F875=0),1,0)</f>
        <v>1</v>
      </c>
      <c r="V875" s="7" t="n">
        <f aca="false">IF(K875="",1,0)</f>
        <v>0</v>
      </c>
      <c r="W875" s="7" t="n">
        <f aca="false">IF(AND(O875=1,K875&lt;&gt;"",COUNTIFS(Owners!$A$5:$A$32,K875,Owners!$E$5:$E$32,"No")&gt;0),1,0)</f>
        <v>0</v>
      </c>
      <c r="X875" s="7" t="n">
        <f aca="false">IF(AND(O875=1,I875&lt;Inputs!$B$4),1,0)</f>
        <v>0</v>
      </c>
      <c r="Y875" s="7" t="n">
        <f aca="false">IF(AND(O875=1,T875&gt;Inputs!$B$5),1,0)</f>
        <v>0</v>
      </c>
      <c r="Z875" s="7" t="n">
        <f aca="false">IF(AND(O875=1,G875&lt;&gt;R875),1,0)</f>
        <v>0</v>
      </c>
      <c r="AA875" s="7" t="n">
        <f aca="false">IF(AND(O875=1,M875=""),1,0)</f>
        <v>0</v>
      </c>
      <c r="AB875" s="7" t="n">
        <f aca="false">IF(AND(E875="Closed Lost",N875=""),1,0)</f>
        <v>0</v>
      </c>
      <c r="AC875" s="7" t="n">
        <f aca="false">SUM(U875:AB875)</f>
        <v>1</v>
      </c>
      <c r="AD875" s="7" t="n">
        <f aca="false">IF(AC875=0,1,0)</f>
        <v>0</v>
      </c>
      <c r="AE875" s="7" t="n">
        <f aca="false">IF(AND(O875=1,I875&gt;=Inputs!$B$6,I875&lt;=Inputs!$B$7),1,0)</f>
        <v>0</v>
      </c>
      <c r="AF875" s="7" t="n">
        <f aca="false">IF(AND(E875="Closed Won",I875&gt;=Inputs!$B$6,I875&lt;=Inputs!$B$4),1,0)</f>
        <v>1</v>
      </c>
      <c r="AG875" s="7" t="n">
        <f aca="false">IF(AND(O875=0,I875&gt;Inputs!$B$4-Inputs!$B$8,I875&lt;=Inputs!$B$4),1,0)</f>
        <v>1</v>
      </c>
      <c r="AH875" s="7" t="n">
        <f aca="false">I875-H875</f>
        <v>297</v>
      </c>
    </row>
    <row r="876" customFormat="false" ht="15" hidden="false" customHeight="false" outlineLevel="0" collapsed="false">
      <c r="A876" s="16" t="s">
        <v>2441</v>
      </c>
      <c r="B876" s="16" t="s">
        <v>2442</v>
      </c>
      <c r="C876" s="16" t="s">
        <v>2443</v>
      </c>
      <c r="D876" s="16" t="s">
        <v>158</v>
      </c>
      <c r="E876" s="16" t="s">
        <v>527</v>
      </c>
      <c r="F876" s="26" t="n">
        <v>8846000</v>
      </c>
      <c r="G876" s="25" t="n">
        <v>25</v>
      </c>
      <c r="H876" s="22" t="n">
        <v>46270</v>
      </c>
      <c r="I876" s="22" t="n">
        <v>46524</v>
      </c>
      <c r="J876" s="22" t="n">
        <v>46299</v>
      </c>
      <c r="K876" s="16" t="s">
        <v>622</v>
      </c>
      <c r="L876" s="16" t="s">
        <v>609</v>
      </c>
      <c r="M876" s="16" t="s">
        <v>569</v>
      </c>
      <c r="N876" s="16"/>
      <c r="O876" s="7" t="n">
        <f aca="false">IF(OR(E876="Closed Won",E876="Closed Lost"),0,1)</f>
        <v>1</v>
      </c>
      <c r="P876" s="17" t="str">
        <f aca="false">INDEX(Accounts!$K$5:$K$336,MATCH(B876,Accounts!$A$5:$A$336,0))</f>
        <v>Financial Services</v>
      </c>
      <c r="Q876" s="17" t="str">
        <f aca="false">INDEX(Accounts!$D$5:$D$336,MATCH(B876,Accounts!$A$5:$A$336,0))</f>
        <v>Key</v>
      </c>
      <c r="R876" s="7" t="n">
        <f aca="false">INDEX(Inputs!$B$11:$B$16,MATCH(E876,Inputs!$A$11:$A$16,0))</f>
        <v>25</v>
      </c>
      <c r="S876" s="27" t="n">
        <f aca="false">IF(F876="",0,F876)*R876/100</f>
        <v>2211500</v>
      </c>
      <c r="T876" s="7" t="n">
        <f aca="false">Inputs!$B$4-J876</f>
        <v>15</v>
      </c>
      <c r="U876" s="7" t="n">
        <f aca="false">IF(OR(F876="",F876=0),1,0)</f>
        <v>0</v>
      </c>
      <c r="V876" s="7" t="n">
        <f aca="false">IF(K876="",1,0)</f>
        <v>0</v>
      </c>
      <c r="W876" s="7" t="n">
        <f aca="false">IF(AND(O876=1,K876&lt;&gt;"",COUNTIFS(Owners!$A$5:$A$32,K876,Owners!$E$5:$E$32,"No")&gt;0),1,0)</f>
        <v>0</v>
      </c>
      <c r="X876" s="7" t="n">
        <f aca="false">IF(AND(O876=1,I876&lt;Inputs!$B$4),1,0)</f>
        <v>0</v>
      </c>
      <c r="Y876" s="7" t="n">
        <f aca="false">IF(AND(O876=1,T876&gt;Inputs!$B$5),1,0)</f>
        <v>0</v>
      </c>
      <c r="Z876" s="7" t="n">
        <f aca="false">IF(AND(O876=1,G876&lt;&gt;R876),1,0)</f>
        <v>0</v>
      </c>
      <c r="AA876" s="7" t="n">
        <f aca="false">IF(AND(O876=1,M876=""),1,0)</f>
        <v>0</v>
      </c>
      <c r="AB876" s="7" t="n">
        <f aca="false">IF(AND(E876="Closed Lost",N876=""),1,0)</f>
        <v>0</v>
      </c>
      <c r="AC876" s="7" t="n">
        <f aca="false">SUM(U876:AB876)</f>
        <v>0</v>
      </c>
      <c r="AD876" s="7" t="n">
        <f aca="false">IF(AC876=0,1,0)</f>
        <v>1</v>
      </c>
      <c r="AE876" s="7" t="n">
        <f aca="false">IF(AND(O876=1,I876&gt;=Inputs!$B$6,I876&lt;=Inputs!$B$7),1,0)</f>
        <v>1</v>
      </c>
      <c r="AF876" s="7" t="n">
        <f aca="false">IF(AND(E876="Closed Won",I876&gt;=Inputs!$B$6,I876&lt;=Inputs!$B$4),1,0)</f>
        <v>0</v>
      </c>
      <c r="AG876" s="7" t="n">
        <f aca="false">IF(AND(O876=0,I876&gt;Inputs!$B$4-Inputs!$B$8,I876&lt;=Inputs!$B$4),1,0)</f>
        <v>0</v>
      </c>
      <c r="AH876" s="7" t="n">
        <f aca="false">I876-H876</f>
        <v>254</v>
      </c>
    </row>
    <row r="877" customFormat="false" ht="15" hidden="false" customHeight="false" outlineLevel="0" collapsed="false">
      <c r="A877" s="16" t="s">
        <v>2444</v>
      </c>
      <c r="B877" s="16" t="s">
        <v>82</v>
      </c>
      <c r="C877" s="16" t="s">
        <v>2445</v>
      </c>
      <c r="D877" s="16" t="s">
        <v>158</v>
      </c>
      <c r="E877" s="16" t="s">
        <v>530</v>
      </c>
      <c r="F877" s="26" t="n">
        <v>10068000</v>
      </c>
      <c r="G877" s="25" t="n">
        <v>100</v>
      </c>
      <c r="H877" s="22" t="n">
        <v>45940</v>
      </c>
      <c r="I877" s="22" t="n">
        <v>46060</v>
      </c>
      <c r="J877" s="22" t="n">
        <v>46060</v>
      </c>
      <c r="K877" s="16" t="s">
        <v>573</v>
      </c>
      <c r="L877" s="16" t="s">
        <v>574</v>
      </c>
      <c r="M877" s="16"/>
      <c r="N877" s="16"/>
      <c r="O877" s="7" t="n">
        <f aca="false">IF(OR(E877="Closed Won",E877="Closed Lost"),0,1)</f>
        <v>0</v>
      </c>
      <c r="P877" s="17" t="str">
        <f aca="false">INDEX(Accounts!$K$5:$K$336,MATCH(B877,Accounts!$A$5:$A$336,0))</f>
        <v>Public Sector &amp; Development</v>
      </c>
      <c r="Q877" s="17" t="str">
        <f aca="false">INDEX(Accounts!$D$5:$D$336,MATCH(B877,Accounts!$A$5:$A$336,0))</f>
        <v>Priority</v>
      </c>
      <c r="R877" s="7" t="n">
        <f aca="false">INDEX(Inputs!$B$11:$B$16,MATCH(E877,Inputs!$A$11:$A$16,0))</f>
        <v>100</v>
      </c>
      <c r="S877" s="27" t="n">
        <f aca="false">IF(F877="",0,F877)*R877/100</f>
        <v>10068000</v>
      </c>
      <c r="T877" s="7" t="n">
        <f aca="false">Inputs!$B$4-J877</f>
        <v>254</v>
      </c>
      <c r="U877" s="7" t="n">
        <f aca="false">IF(OR(F877="",F877=0),1,0)</f>
        <v>0</v>
      </c>
      <c r="V877" s="7" t="n">
        <f aca="false">IF(K877="",1,0)</f>
        <v>0</v>
      </c>
      <c r="W877" s="7" t="n">
        <f aca="false">IF(AND(O877=1,K877&lt;&gt;"",COUNTIFS(Owners!$A$5:$A$32,K877,Owners!$E$5:$E$32,"No")&gt;0),1,0)</f>
        <v>0</v>
      </c>
      <c r="X877" s="7" t="n">
        <f aca="false">IF(AND(O877=1,I877&lt;Inputs!$B$4),1,0)</f>
        <v>0</v>
      </c>
      <c r="Y877" s="7" t="n">
        <f aca="false">IF(AND(O877=1,T877&gt;Inputs!$B$5),1,0)</f>
        <v>0</v>
      </c>
      <c r="Z877" s="7" t="n">
        <f aca="false">IF(AND(O877=1,G877&lt;&gt;R877),1,0)</f>
        <v>0</v>
      </c>
      <c r="AA877" s="7" t="n">
        <f aca="false">IF(AND(O877=1,M877=""),1,0)</f>
        <v>0</v>
      </c>
      <c r="AB877" s="7" t="n">
        <f aca="false">IF(AND(E877="Closed Lost",N877=""),1,0)</f>
        <v>0</v>
      </c>
      <c r="AC877" s="7" t="n">
        <f aca="false">SUM(U877:AB877)</f>
        <v>0</v>
      </c>
      <c r="AD877" s="7" t="n">
        <f aca="false">IF(AC877=0,1,0)</f>
        <v>1</v>
      </c>
      <c r="AE877" s="7" t="n">
        <f aca="false">IF(AND(O877=1,I877&gt;=Inputs!$B$6,I877&lt;=Inputs!$B$7),1,0)</f>
        <v>0</v>
      </c>
      <c r="AF877" s="7" t="n">
        <f aca="false">IF(AND(E877="Closed Won",I877&gt;=Inputs!$B$6,I877&lt;=Inputs!$B$4),1,0)</f>
        <v>0</v>
      </c>
      <c r="AG877" s="7" t="n">
        <f aca="false">IF(AND(O877=0,I877&gt;Inputs!$B$4-Inputs!$B$8,I877&lt;=Inputs!$B$4),1,0)</f>
        <v>1</v>
      </c>
      <c r="AH877" s="7" t="n">
        <f aca="false">I877-H877</f>
        <v>120</v>
      </c>
    </row>
    <row r="878" customFormat="false" ht="15" hidden="false" customHeight="false" outlineLevel="0" collapsed="false">
      <c r="A878" s="16" t="s">
        <v>2446</v>
      </c>
      <c r="B878" s="16" t="s">
        <v>92</v>
      </c>
      <c r="C878" s="16" t="s">
        <v>2447</v>
      </c>
      <c r="D878" s="16" t="s">
        <v>177</v>
      </c>
      <c r="E878" s="16" t="s">
        <v>526</v>
      </c>
      <c r="F878" s="26" t="n">
        <v>3262000</v>
      </c>
      <c r="G878" s="25" t="n">
        <v>10</v>
      </c>
      <c r="H878" s="22" t="n">
        <v>46095</v>
      </c>
      <c r="I878" s="22" t="n">
        <v>46424</v>
      </c>
      <c r="J878" s="22" t="n">
        <v>46271</v>
      </c>
      <c r="K878" s="16" t="s">
        <v>691</v>
      </c>
      <c r="L878" s="16" t="s">
        <v>609</v>
      </c>
      <c r="M878" s="16" t="s">
        <v>601</v>
      </c>
      <c r="N878" s="16"/>
      <c r="O878" s="7" t="n">
        <f aca="false">IF(OR(E878="Closed Won",E878="Closed Lost"),0,1)</f>
        <v>1</v>
      </c>
      <c r="P878" s="17" t="str">
        <f aca="false">INDEX(Accounts!$K$5:$K$336,MATCH(B878,Accounts!$A$5:$A$336,0))</f>
        <v>Public Sector &amp; Development</v>
      </c>
      <c r="Q878" s="17" t="str">
        <f aca="false">INDEX(Accounts!$D$5:$D$336,MATCH(B878,Accounts!$A$5:$A$336,0))</f>
        <v>Priority</v>
      </c>
      <c r="R878" s="7" t="n">
        <f aca="false">INDEX(Inputs!$B$11:$B$16,MATCH(E878,Inputs!$A$11:$A$16,0))</f>
        <v>10</v>
      </c>
      <c r="S878" s="27" t="n">
        <f aca="false">IF(F878="",0,F878)*R878/100</f>
        <v>326200</v>
      </c>
      <c r="T878" s="7" t="n">
        <f aca="false">Inputs!$B$4-J878</f>
        <v>43</v>
      </c>
      <c r="U878" s="7" t="n">
        <f aca="false">IF(OR(F878="",F878=0),1,0)</f>
        <v>0</v>
      </c>
      <c r="V878" s="7" t="n">
        <f aca="false">IF(K878="",1,0)</f>
        <v>0</v>
      </c>
      <c r="W878" s="7" t="n">
        <f aca="false">IF(AND(O878=1,K878&lt;&gt;"",COUNTIFS(Owners!$A$5:$A$32,K878,Owners!$E$5:$E$32,"No")&gt;0),1,0)</f>
        <v>0</v>
      </c>
      <c r="X878" s="7" t="n">
        <f aca="false">IF(AND(O878=1,I878&lt;Inputs!$B$4),1,0)</f>
        <v>0</v>
      </c>
      <c r="Y878" s="7" t="n">
        <f aca="false">IF(AND(O878=1,T878&gt;Inputs!$B$5),1,0)</f>
        <v>0</v>
      </c>
      <c r="Z878" s="7" t="n">
        <f aca="false">IF(AND(O878=1,G878&lt;&gt;R878),1,0)</f>
        <v>0</v>
      </c>
      <c r="AA878" s="7" t="n">
        <f aca="false">IF(AND(O878=1,M878=""),1,0)</f>
        <v>0</v>
      </c>
      <c r="AB878" s="7" t="n">
        <f aca="false">IF(AND(E878="Closed Lost",N878=""),1,0)</f>
        <v>0</v>
      </c>
      <c r="AC878" s="7" t="n">
        <f aca="false">SUM(U878:AB878)</f>
        <v>0</v>
      </c>
      <c r="AD878" s="7" t="n">
        <f aca="false">IF(AC878=0,1,0)</f>
        <v>1</v>
      </c>
      <c r="AE878" s="7" t="n">
        <f aca="false">IF(AND(O878=1,I878&gt;=Inputs!$B$6,I878&lt;=Inputs!$B$7),1,0)</f>
        <v>1</v>
      </c>
      <c r="AF878" s="7" t="n">
        <f aca="false">IF(AND(E878="Closed Won",I878&gt;=Inputs!$B$6,I878&lt;=Inputs!$B$4),1,0)</f>
        <v>0</v>
      </c>
      <c r="AG878" s="7" t="n">
        <f aca="false">IF(AND(O878=0,I878&gt;Inputs!$B$4-Inputs!$B$8,I878&lt;=Inputs!$B$4),1,0)</f>
        <v>0</v>
      </c>
      <c r="AH878" s="7" t="n">
        <f aca="false">I878-H878</f>
        <v>329</v>
      </c>
    </row>
    <row r="879" customFormat="false" ht="15" hidden="false" customHeight="false" outlineLevel="0" collapsed="false">
      <c r="A879" s="16" t="s">
        <v>2448</v>
      </c>
      <c r="B879" s="16" t="s">
        <v>709</v>
      </c>
      <c r="C879" s="16" t="s">
        <v>2449</v>
      </c>
      <c r="D879" s="16" t="s">
        <v>162</v>
      </c>
      <c r="E879" s="16" t="s">
        <v>531</v>
      </c>
      <c r="F879" s="26" t="n">
        <v>4229000</v>
      </c>
      <c r="G879" s="25" t="n">
        <v>0</v>
      </c>
      <c r="H879" s="22" t="n">
        <v>45951</v>
      </c>
      <c r="I879" s="22" t="n">
        <v>46123</v>
      </c>
      <c r="J879" s="22" t="n">
        <v>46123</v>
      </c>
      <c r="K879" s="16" t="s">
        <v>654</v>
      </c>
      <c r="L879" s="16" t="s">
        <v>568</v>
      </c>
      <c r="M879" s="16"/>
      <c r="N879" s="16" t="s">
        <v>722</v>
      </c>
      <c r="O879" s="7" t="n">
        <f aca="false">IF(OR(E879="Closed Won",E879="Closed Lost"),0,1)</f>
        <v>0</v>
      </c>
      <c r="P879" s="17" t="str">
        <f aca="false">INDEX(Accounts!$K$5:$K$336,MATCH(B879,Accounts!$A$5:$A$336,0))</f>
        <v>Health</v>
      </c>
      <c r="Q879" s="17" t="str">
        <f aca="false">INDEX(Accounts!$D$5:$D$336,MATCH(B879,Accounts!$A$5:$A$336,0))</f>
        <v>Key</v>
      </c>
      <c r="R879" s="7" t="n">
        <f aca="false">INDEX(Inputs!$B$11:$B$16,MATCH(E879,Inputs!$A$11:$A$16,0))</f>
        <v>0</v>
      </c>
      <c r="S879" s="27" t="n">
        <f aca="false">IF(F879="",0,F879)*R879/100</f>
        <v>0</v>
      </c>
      <c r="T879" s="7" t="n">
        <f aca="false">Inputs!$B$4-J879</f>
        <v>191</v>
      </c>
      <c r="U879" s="7" t="n">
        <f aca="false">IF(OR(F879="",F879=0),1,0)</f>
        <v>0</v>
      </c>
      <c r="V879" s="7" t="n">
        <f aca="false">IF(K879="",1,0)</f>
        <v>0</v>
      </c>
      <c r="W879" s="7" t="n">
        <f aca="false">IF(AND(O879=1,K879&lt;&gt;"",COUNTIFS(Owners!$A$5:$A$32,K879,Owners!$E$5:$E$32,"No")&gt;0),1,0)</f>
        <v>0</v>
      </c>
      <c r="X879" s="7" t="n">
        <f aca="false">IF(AND(O879=1,I879&lt;Inputs!$B$4),1,0)</f>
        <v>0</v>
      </c>
      <c r="Y879" s="7" t="n">
        <f aca="false">IF(AND(O879=1,T879&gt;Inputs!$B$5),1,0)</f>
        <v>0</v>
      </c>
      <c r="Z879" s="7" t="n">
        <f aca="false">IF(AND(O879=1,G879&lt;&gt;R879),1,0)</f>
        <v>0</v>
      </c>
      <c r="AA879" s="7" t="n">
        <f aca="false">IF(AND(O879=1,M879=""),1,0)</f>
        <v>0</v>
      </c>
      <c r="AB879" s="7" t="n">
        <f aca="false">IF(AND(E879="Closed Lost",N879=""),1,0)</f>
        <v>0</v>
      </c>
      <c r="AC879" s="7" t="n">
        <f aca="false">SUM(U879:AB879)</f>
        <v>0</v>
      </c>
      <c r="AD879" s="7" t="n">
        <f aca="false">IF(AC879=0,1,0)</f>
        <v>1</v>
      </c>
      <c r="AE879" s="7" t="n">
        <f aca="false">IF(AND(O879=1,I879&gt;=Inputs!$B$6,I879&lt;=Inputs!$B$7),1,0)</f>
        <v>0</v>
      </c>
      <c r="AF879" s="7" t="n">
        <f aca="false">IF(AND(E879="Closed Won",I879&gt;=Inputs!$B$6,I879&lt;=Inputs!$B$4),1,0)</f>
        <v>0</v>
      </c>
      <c r="AG879" s="7" t="n">
        <f aca="false">IF(AND(O879=0,I879&gt;Inputs!$B$4-Inputs!$B$8,I879&lt;=Inputs!$B$4),1,0)</f>
        <v>1</v>
      </c>
      <c r="AH879" s="7" t="n">
        <f aca="false">I879-H879</f>
        <v>172</v>
      </c>
    </row>
    <row r="880" customFormat="false" ht="15" hidden="false" customHeight="false" outlineLevel="0" collapsed="false">
      <c r="A880" s="16" t="s">
        <v>2450</v>
      </c>
      <c r="B880" s="16" t="s">
        <v>63</v>
      </c>
      <c r="C880" s="16" t="s">
        <v>2451</v>
      </c>
      <c r="D880" s="16" t="s">
        <v>165</v>
      </c>
      <c r="E880" s="16" t="s">
        <v>527</v>
      </c>
      <c r="F880" s="26" t="n">
        <v>4140000</v>
      </c>
      <c r="G880" s="25" t="n">
        <v>25</v>
      </c>
      <c r="H880" s="22" t="n">
        <v>46186</v>
      </c>
      <c r="I880" s="22" t="n">
        <v>46298</v>
      </c>
      <c r="J880" s="22" t="n">
        <v>46210</v>
      </c>
      <c r="K880" s="16" t="s">
        <v>633</v>
      </c>
      <c r="L880" s="16" t="s">
        <v>609</v>
      </c>
      <c r="M880" s="16" t="s">
        <v>593</v>
      </c>
      <c r="N880" s="16"/>
      <c r="O880" s="7" t="n">
        <f aca="false">IF(OR(E880="Closed Won",E880="Closed Lost"),0,1)</f>
        <v>1</v>
      </c>
      <c r="P880" s="17" t="str">
        <f aca="false">INDEX(Accounts!$K$5:$K$336,MATCH(B880,Accounts!$A$5:$A$336,0))</f>
        <v>Public Sector &amp; Development</v>
      </c>
      <c r="Q880" s="17" t="str">
        <f aca="false">INDEX(Accounts!$D$5:$D$336,MATCH(B880,Accounts!$A$5:$A$336,0))</f>
        <v>Priority</v>
      </c>
      <c r="R880" s="7" t="n">
        <f aca="false">INDEX(Inputs!$B$11:$B$16,MATCH(E880,Inputs!$A$11:$A$16,0))</f>
        <v>25</v>
      </c>
      <c r="S880" s="27" t="n">
        <f aca="false">IF(F880="",0,F880)*R880/100</f>
        <v>1035000</v>
      </c>
      <c r="T880" s="7" t="n">
        <f aca="false">Inputs!$B$4-J880</f>
        <v>104</v>
      </c>
      <c r="U880" s="7" t="n">
        <f aca="false">IF(OR(F880="",F880=0),1,0)</f>
        <v>0</v>
      </c>
      <c r="V880" s="7" t="n">
        <f aca="false">IF(K880="",1,0)</f>
        <v>0</v>
      </c>
      <c r="W880" s="7" t="n">
        <f aca="false">IF(AND(O880=1,K880&lt;&gt;"",COUNTIFS(Owners!$A$5:$A$32,K880,Owners!$E$5:$E$32,"No")&gt;0),1,0)</f>
        <v>0</v>
      </c>
      <c r="X880" s="7" t="n">
        <f aca="false">IF(AND(O880=1,I880&lt;Inputs!$B$4),1,0)</f>
        <v>1</v>
      </c>
      <c r="Y880" s="7" t="n">
        <f aca="false">IF(AND(O880=1,T880&gt;Inputs!$B$5),1,0)</f>
        <v>1</v>
      </c>
      <c r="Z880" s="7" t="n">
        <f aca="false">IF(AND(O880=1,G880&lt;&gt;R880),1,0)</f>
        <v>0</v>
      </c>
      <c r="AA880" s="7" t="n">
        <f aca="false">IF(AND(O880=1,M880=""),1,0)</f>
        <v>0</v>
      </c>
      <c r="AB880" s="7" t="n">
        <f aca="false">IF(AND(E880="Closed Lost",N880=""),1,0)</f>
        <v>0</v>
      </c>
      <c r="AC880" s="7" t="n">
        <f aca="false">SUM(U880:AB880)</f>
        <v>2</v>
      </c>
      <c r="AD880" s="7" t="n">
        <f aca="false">IF(AC880=0,1,0)</f>
        <v>0</v>
      </c>
      <c r="AE880" s="7" t="n">
        <f aca="false">IF(AND(O880=1,I880&gt;=Inputs!$B$6,I880&lt;=Inputs!$B$7),1,0)</f>
        <v>1</v>
      </c>
      <c r="AF880" s="7" t="n">
        <f aca="false">IF(AND(E880="Closed Won",I880&gt;=Inputs!$B$6,I880&lt;=Inputs!$B$4),1,0)</f>
        <v>0</v>
      </c>
      <c r="AG880" s="7" t="n">
        <f aca="false">IF(AND(O880=0,I880&gt;Inputs!$B$4-Inputs!$B$8,I880&lt;=Inputs!$B$4),1,0)</f>
        <v>0</v>
      </c>
      <c r="AH880" s="7" t="n">
        <f aca="false">I880-H880</f>
        <v>112</v>
      </c>
    </row>
    <row r="881" customFormat="false" ht="15" hidden="false" customHeight="false" outlineLevel="0" collapsed="false">
      <c r="A881" s="16" t="s">
        <v>2452</v>
      </c>
      <c r="B881" s="16" t="s">
        <v>63</v>
      </c>
      <c r="C881" s="16" t="s">
        <v>2453</v>
      </c>
      <c r="D881" s="16" t="s">
        <v>162</v>
      </c>
      <c r="E881" s="16" t="s">
        <v>531</v>
      </c>
      <c r="F881" s="26" t="n">
        <v>4596000</v>
      </c>
      <c r="G881" s="25" t="n">
        <v>0</v>
      </c>
      <c r="H881" s="22" t="n">
        <v>46125</v>
      </c>
      <c r="I881" s="22" t="n">
        <v>46197</v>
      </c>
      <c r="J881" s="22" t="n">
        <v>46197</v>
      </c>
      <c r="K881" s="16" t="s">
        <v>633</v>
      </c>
      <c r="L881" s="16" t="s">
        <v>592</v>
      </c>
      <c r="M881" s="16"/>
      <c r="N881" s="16" t="s">
        <v>722</v>
      </c>
      <c r="O881" s="7" t="n">
        <f aca="false">IF(OR(E881="Closed Won",E881="Closed Lost"),0,1)</f>
        <v>0</v>
      </c>
      <c r="P881" s="17" t="str">
        <f aca="false">INDEX(Accounts!$K$5:$K$336,MATCH(B881,Accounts!$A$5:$A$336,0))</f>
        <v>Public Sector &amp; Development</v>
      </c>
      <c r="Q881" s="17" t="str">
        <f aca="false">INDEX(Accounts!$D$5:$D$336,MATCH(B881,Accounts!$A$5:$A$336,0))</f>
        <v>Priority</v>
      </c>
      <c r="R881" s="7" t="n">
        <f aca="false">INDEX(Inputs!$B$11:$B$16,MATCH(E881,Inputs!$A$11:$A$16,0))</f>
        <v>0</v>
      </c>
      <c r="S881" s="27" t="n">
        <f aca="false">IF(F881="",0,F881)*R881/100</f>
        <v>0</v>
      </c>
      <c r="T881" s="7" t="n">
        <f aca="false">Inputs!$B$4-J881</f>
        <v>117</v>
      </c>
      <c r="U881" s="7" t="n">
        <f aca="false">IF(OR(F881="",F881=0),1,0)</f>
        <v>0</v>
      </c>
      <c r="V881" s="7" t="n">
        <f aca="false">IF(K881="",1,0)</f>
        <v>0</v>
      </c>
      <c r="W881" s="7" t="n">
        <f aca="false">IF(AND(O881=1,K881&lt;&gt;"",COUNTIFS(Owners!$A$5:$A$32,K881,Owners!$E$5:$E$32,"No")&gt;0),1,0)</f>
        <v>0</v>
      </c>
      <c r="X881" s="7" t="n">
        <f aca="false">IF(AND(O881=1,I881&lt;Inputs!$B$4),1,0)</f>
        <v>0</v>
      </c>
      <c r="Y881" s="7" t="n">
        <f aca="false">IF(AND(O881=1,T881&gt;Inputs!$B$5),1,0)</f>
        <v>0</v>
      </c>
      <c r="Z881" s="7" t="n">
        <f aca="false">IF(AND(O881=1,G881&lt;&gt;R881),1,0)</f>
        <v>0</v>
      </c>
      <c r="AA881" s="7" t="n">
        <f aca="false">IF(AND(O881=1,M881=""),1,0)</f>
        <v>0</v>
      </c>
      <c r="AB881" s="7" t="n">
        <f aca="false">IF(AND(E881="Closed Lost",N881=""),1,0)</f>
        <v>0</v>
      </c>
      <c r="AC881" s="7" t="n">
        <f aca="false">SUM(U881:AB881)</f>
        <v>0</v>
      </c>
      <c r="AD881" s="7" t="n">
        <f aca="false">IF(AC881=0,1,0)</f>
        <v>1</v>
      </c>
      <c r="AE881" s="7" t="n">
        <f aca="false">IF(AND(O881=1,I881&gt;=Inputs!$B$6,I881&lt;=Inputs!$B$7),1,0)</f>
        <v>0</v>
      </c>
      <c r="AF881" s="7" t="n">
        <f aca="false">IF(AND(E881="Closed Won",I881&gt;=Inputs!$B$6,I881&lt;=Inputs!$B$4),1,0)</f>
        <v>0</v>
      </c>
      <c r="AG881" s="7" t="n">
        <f aca="false">IF(AND(O881=0,I881&gt;Inputs!$B$4-Inputs!$B$8,I881&lt;=Inputs!$B$4),1,0)</f>
        <v>1</v>
      </c>
      <c r="AH881" s="7" t="n">
        <f aca="false">I881-H881</f>
        <v>72</v>
      </c>
    </row>
    <row r="882" customFormat="false" ht="15" hidden="false" customHeight="false" outlineLevel="0" collapsed="false">
      <c r="A882" s="16" t="s">
        <v>2454</v>
      </c>
      <c r="B882" s="16" t="s">
        <v>1170</v>
      </c>
      <c r="C882" s="16" t="s">
        <v>2455</v>
      </c>
      <c r="D882" s="16" t="s">
        <v>165</v>
      </c>
      <c r="E882" s="16" t="s">
        <v>530</v>
      </c>
      <c r="F882" s="26" t="n">
        <v>94973000</v>
      </c>
      <c r="G882" s="25" t="n">
        <v>100</v>
      </c>
      <c r="H882" s="22" t="n">
        <v>45959</v>
      </c>
      <c r="I882" s="22" t="n">
        <v>46194</v>
      </c>
      <c r="J882" s="22" t="n">
        <v>46194</v>
      </c>
      <c r="K882" s="16" t="s">
        <v>677</v>
      </c>
      <c r="L882" s="16" t="s">
        <v>584</v>
      </c>
      <c r="M882" s="16"/>
      <c r="N882" s="16"/>
      <c r="O882" s="7" t="n">
        <f aca="false">IF(OR(E882="Closed Won",E882="Closed Lost"),0,1)</f>
        <v>0</v>
      </c>
      <c r="P882" s="17" t="str">
        <f aca="false">INDEX(Accounts!$K$5:$K$336,MATCH(B882,Accounts!$A$5:$A$336,0))</f>
        <v>Financial Services</v>
      </c>
      <c r="Q882" s="17" t="str">
        <f aca="false">INDEX(Accounts!$D$5:$D$336,MATCH(B882,Accounts!$A$5:$A$336,0))</f>
        <v>Standard</v>
      </c>
      <c r="R882" s="7" t="n">
        <f aca="false">INDEX(Inputs!$B$11:$B$16,MATCH(E882,Inputs!$A$11:$A$16,0))</f>
        <v>100</v>
      </c>
      <c r="S882" s="27" t="n">
        <f aca="false">IF(F882="",0,F882)*R882/100</f>
        <v>94973000</v>
      </c>
      <c r="T882" s="7" t="n">
        <f aca="false">Inputs!$B$4-J882</f>
        <v>120</v>
      </c>
      <c r="U882" s="7" t="n">
        <f aca="false">IF(OR(F882="",F882=0),1,0)</f>
        <v>0</v>
      </c>
      <c r="V882" s="7" t="n">
        <f aca="false">IF(K882="",1,0)</f>
        <v>0</v>
      </c>
      <c r="W882" s="7" t="n">
        <f aca="false">IF(AND(O882=1,K882&lt;&gt;"",COUNTIFS(Owners!$A$5:$A$32,K882,Owners!$E$5:$E$32,"No")&gt;0),1,0)</f>
        <v>0</v>
      </c>
      <c r="X882" s="7" t="n">
        <f aca="false">IF(AND(O882=1,I882&lt;Inputs!$B$4),1,0)</f>
        <v>0</v>
      </c>
      <c r="Y882" s="7" t="n">
        <f aca="false">IF(AND(O882=1,T882&gt;Inputs!$B$5),1,0)</f>
        <v>0</v>
      </c>
      <c r="Z882" s="7" t="n">
        <f aca="false">IF(AND(O882=1,G882&lt;&gt;R882),1,0)</f>
        <v>0</v>
      </c>
      <c r="AA882" s="7" t="n">
        <f aca="false">IF(AND(O882=1,M882=""),1,0)</f>
        <v>0</v>
      </c>
      <c r="AB882" s="7" t="n">
        <f aca="false">IF(AND(E882="Closed Lost",N882=""),1,0)</f>
        <v>0</v>
      </c>
      <c r="AC882" s="7" t="n">
        <f aca="false">SUM(U882:AB882)</f>
        <v>0</v>
      </c>
      <c r="AD882" s="7" t="n">
        <f aca="false">IF(AC882=0,1,0)</f>
        <v>1</v>
      </c>
      <c r="AE882" s="7" t="n">
        <f aca="false">IF(AND(O882=1,I882&gt;=Inputs!$B$6,I882&lt;=Inputs!$B$7),1,0)</f>
        <v>0</v>
      </c>
      <c r="AF882" s="7" t="n">
        <f aca="false">IF(AND(E882="Closed Won",I882&gt;=Inputs!$B$6,I882&lt;=Inputs!$B$4),1,0)</f>
        <v>0</v>
      </c>
      <c r="AG882" s="7" t="n">
        <f aca="false">IF(AND(O882=0,I882&gt;Inputs!$B$4-Inputs!$B$8,I882&lt;=Inputs!$B$4),1,0)</f>
        <v>1</v>
      </c>
      <c r="AH882" s="7" t="n">
        <f aca="false">I882-H882</f>
        <v>235</v>
      </c>
    </row>
    <row r="883" customFormat="false" ht="15" hidden="false" customHeight="false" outlineLevel="0" collapsed="false">
      <c r="A883" s="16" t="s">
        <v>2456</v>
      </c>
      <c r="B883" s="16" t="s">
        <v>68</v>
      </c>
      <c r="C883" s="16" t="s">
        <v>2457</v>
      </c>
      <c r="D883" s="16" t="s">
        <v>167</v>
      </c>
      <c r="E883" s="16" t="s">
        <v>527</v>
      </c>
      <c r="F883" s="26" t="n">
        <v>4052000</v>
      </c>
      <c r="G883" s="25" t="n">
        <v>25</v>
      </c>
      <c r="H883" s="22" t="n">
        <v>46179</v>
      </c>
      <c r="I883" s="22" t="n">
        <v>46456</v>
      </c>
      <c r="J883" s="22" t="n">
        <v>46122</v>
      </c>
      <c r="K883" s="16" t="s">
        <v>691</v>
      </c>
      <c r="L883" s="16" t="s">
        <v>568</v>
      </c>
      <c r="M883" s="16" t="s">
        <v>619</v>
      </c>
      <c r="N883" s="16"/>
      <c r="O883" s="7" t="n">
        <f aca="false">IF(OR(E883="Closed Won",E883="Closed Lost"),0,1)</f>
        <v>1</v>
      </c>
      <c r="P883" s="17" t="str">
        <f aca="false">INDEX(Accounts!$K$5:$K$336,MATCH(B883,Accounts!$A$5:$A$336,0))</f>
        <v>Financial Services</v>
      </c>
      <c r="Q883" s="17" t="str">
        <f aca="false">INDEX(Accounts!$D$5:$D$336,MATCH(B883,Accounts!$A$5:$A$336,0))</f>
        <v>Priority</v>
      </c>
      <c r="R883" s="7" t="n">
        <f aca="false">INDEX(Inputs!$B$11:$B$16,MATCH(E883,Inputs!$A$11:$A$16,0))</f>
        <v>25</v>
      </c>
      <c r="S883" s="27" t="n">
        <f aca="false">IF(F883="",0,F883)*R883/100</f>
        <v>1013000</v>
      </c>
      <c r="T883" s="7" t="n">
        <f aca="false">Inputs!$B$4-J883</f>
        <v>192</v>
      </c>
      <c r="U883" s="7" t="n">
        <f aca="false">IF(OR(F883="",F883=0),1,0)</f>
        <v>0</v>
      </c>
      <c r="V883" s="7" t="n">
        <f aca="false">IF(K883="",1,0)</f>
        <v>0</v>
      </c>
      <c r="W883" s="7" t="n">
        <f aca="false">IF(AND(O883=1,K883&lt;&gt;"",COUNTIFS(Owners!$A$5:$A$32,K883,Owners!$E$5:$E$32,"No")&gt;0),1,0)</f>
        <v>0</v>
      </c>
      <c r="X883" s="7" t="n">
        <f aca="false">IF(AND(O883=1,I883&lt;Inputs!$B$4),1,0)</f>
        <v>0</v>
      </c>
      <c r="Y883" s="7" t="n">
        <f aca="false">IF(AND(O883=1,T883&gt;Inputs!$B$5),1,0)</f>
        <v>1</v>
      </c>
      <c r="Z883" s="7" t="n">
        <f aca="false">IF(AND(O883=1,G883&lt;&gt;R883),1,0)</f>
        <v>0</v>
      </c>
      <c r="AA883" s="7" t="n">
        <f aca="false">IF(AND(O883=1,M883=""),1,0)</f>
        <v>0</v>
      </c>
      <c r="AB883" s="7" t="n">
        <f aca="false">IF(AND(E883="Closed Lost",N883=""),1,0)</f>
        <v>0</v>
      </c>
      <c r="AC883" s="7" t="n">
        <f aca="false">SUM(U883:AB883)</f>
        <v>1</v>
      </c>
      <c r="AD883" s="7" t="n">
        <f aca="false">IF(AC883=0,1,0)</f>
        <v>0</v>
      </c>
      <c r="AE883" s="7" t="n">
        <f aca="false">IF(AND(O883=1,I883&gt;=Inputs!$B$6,I883&lt;=Inputs!$B$7),1,0)</f>
        <v>1</v>
      </c>
      <c r="AF883" s="7" t="n">
        <f aca="false">IF(AND(E883="Closed Won",I883&gt;=Inputs!$B$6,I883&lt;=Inputs!$B$4),1,0)</f>
        <v>0</v>
      </c>
      <c r="AG883" s="7" t="n">
        <f aca="false">IF(AND(O883=0,I883&gt;Inputs!$B$4-Inputs!$B$8,I883&lt;=Inputs!$B$4),1,0)</f>
        <v>0</v>
      </c>
      <c r="AH883" s="7" t="n">
        <f aca="false">I883-H883</f>
        <v>277</v>
      </c>
    </row>
    <row r="884" customFormat="false" ht="15" hidden="false" customHeight="false" outlineLevel="0" collapsed="false">
      <c r="A884" s="16" t="s">
        <v>2458</v>
      </c>
      <c r="B884" s="16" t="s">
        <v>2459</v>
      </c>
      <c r="C884" s="16" t="s">
        <v>2460</v>
      </c>
      <c r="D884" s="16" t="s">
        <v>177</v>
      </c>
      <c r="E884" s="16" t="s">
        <v>527</v>
      </c>
      <c r="F884" s="26" t="n">
        <v>5441000</v>
      </c>
      <c r="G884" s="25" t="n">
        <v>25</v>
      </c>
      <c r="H884" s="22" t="n">
        <v>46287</v>
      </c>
      <c r="I884" s="22" t="n">
        <v>46393</v>
      </c>
      <c r="J884" s="22" t="n">
        <v>46273</v>
      </c>
      <c r="K884" s="16" t="s">
        <v>596</v>
      </c>
      <c r="L884" s="16" t="s">
        <v>568</v>
      </c>
      <c r="M884" s="16" t="s">
        <v>619</v>
      </c>
      <c r="N884" s="16"/>
      <c r="O884" s="7" t="n">
        <f aca="false">IF(OR(E884="Closed Won",E884="Closed Lost"),0,1)</f>
        <v>1</v>
      </c>
      <c r="P884" s="17" t="str">
        <f aca="false">INDEX(Accounts!$K$5:$K$336,MATCH(B884,Accounts!$A$5:$A$336,0))</f>
        <v>Real Estate &amp; Infrastructure</v>
      </c>
      <c r="Q884" s="17" t="str">
        <f aca="false">INDEX(Accounts!$D$5:$D$336,MATCH(B884,Accounts!$A$5:$A$336,0))</f>
        <v>Standard</v>
      </c>
      <c r="R884" s="7" t="n">
        <f aca="false">INDEX(Inputs!$B$11:$B$16,MATCH(E884,Inputs!$A$11:$A$16,0))</f>
        <v>25</v>
      </c>
      <c r="S884" s="27" t="n">
        <f aca="false">IF(F884="",0,F884)*R884/100</f>
        <v>1360250</v>
      </c>
      <c r="T884" s="7" t="n">
        <f aca="false">Inputs!$B$4-J884</f>
        <v>41</v>
      </c>
      <c r="U884" s="7" t="n">
        <f aca="false">IF(OR(F884="",F884=0),1,0)</f>
        <v>0</v>
      </c>
      <c r="V884" s="7" t="n">
        <f aca="false">IF(K884="",1,0)</f>
        <v>0</v>
      </c>
      <c r="W884" s="7" t="n">
        <f aca="false">IF(AND(O884=1,K884&lt;&gt;"",COUNTIFS(Owners!$A$5:$A$32,K884,Owners!$E$5:$E$32,"No")&gt;0),1,0)</f>
        <v>0</v>
      </c>
      <c r="X884" s="7" t="n">
        <f aca="false">IF(AND(O884=1,I884&lt;Inputs!$B$4),1,0)</f>
        <v>0</v>
      </c>
      <c r="Y884" s="7" t="n">
        <f aca="false">IF(AND(O884=1,T884&gt;Inputs!$B$5),1,0)</f>
        <v>0</v>
      </c>
      <c r="Z884" s="7" t="n">
        <f aca="false">IF(AND(O884=1,G884&lt;&gt;R884),1,0)</f>
        <v>0</v>
      </c>
      <c r="AA884" s="7" t="n">
        <f aca="false">IF(AND(O884=1,M884=""),1,0)</f>
        <v>0</v>
      </c>
      <c r="AB884" s="7" t="n">
        <f aca="false">IF(AND(E884="Closed Lost",N884=""),1,0)</f>
        <v>0</v>
      </c>
      <c r="AC884" s="7" t="n">
        <f aca="false">SUM(U884:AB884)</f>
        <v>0</v>
      </c>
      <c r="AD884" s="7" t="n">
        <f aca="false">IF(AC884=0,1,0)</f>
        <v>1</v>
      </c>
      <c r="AE884" s="7" t="n">
        <f aca="false">IF(AND(O884=1,I884&gt;=Inputs!$B$6,I884&lt;=Inputs!$B$7),1,0)</f>
        <v>1</v>
      </c>
      <c r="AF884" s="7" t="n">
        <f aca="false">IF(AND(E884="Closed Won",I884&gt;=Inputs!$B$6,I884&lt;=Inputs!$B$4),1,0)</f>
        <v>0</v>
      </c>
      <c r="AG884" s="7" t="n">
        <f aca="false">IF(AND(O884=0,I884&gt;Inputs!$B$4-Inputs!$B$8,I884&lt;=Inputs!$B$4),1,0)</f>
        <v>0</v>
      </c>
      <c r="AH884" s="7" t="n">
        <f aca="false">I884-H884</f>
        <v>106</v>
      </c>
    </row>
    <row r="885" customFormat="false" ht="15" hidden="false" customHeight="false" outlineLevel="0" collapsed="false">
      <c r="A885" s="16" t="s">
        <v>2461</v>
      </c>
      <c r="B885" s="16" t="s">
        <v>450</v>
      </c>
      <c r="C885" s="16" t="s">
        <v>2462</v>
      </c>
      <c r="D885" s="16" t="s">
        <v>158</v>
      </c>
      <c r="E885" s="16" t="s">
        <v>530</v>
      </c>
      <c r="F885" s="26" t="n">
        <v>111201000</v>
      </c>
      <c r="G885" s="25" t="n">
        <v>100</v>
      </c>
      <c r="H885" s="22" t="n">
        <v>45994</v>
      </c>
      <c r="I885" s="22" t="n">
        <v>46225</v>
      </c>
      <c r="J885" s="22" t="n">
        <v>46225</v>
      </c>
      <c r="K885" s="16" t="s">
        <v>591</v>
      </c>
      <c r="L885" s="16" t="s">
        <v>584</v>
      </c>
      <c r="M885" s="16"/>
      <c r="N885" s="16"/>
      <c r="O885" s="7" t="n">
        <f aca="false">IF(OR(E885="Closed Won",E885="Closed Lost"),0,1)</f>
        <v>0</v>
      </c>
      <c r="P885" s="17" t="str">
        <f aca="false">INDEX(Accounts!$K$5:$K$336,MATCH(B885,Accounts!$A$5:$A$336,0))</f>
        <v>Technology, Media &amp; Telecom</v>
      </c>
      <c r="Q885" s="17" t="str">
        <f aca="false">INDEX(Accounts!$D$5:$D$336,MATCH(B885,Accounts!$A$5:$A$336,0))</f>
        <v>Standard</v>
      </c>
      <c r="R885" s="7" t="n">
        <f aca="false">INDEX(Inputs!$B$11:$B$16,MATCH(E885,Inputs!$A$11:$A$16,0))</f>
        <v>100</v>
      </c>
      <c r="S885" s="27" t="n">
        <f aca="false">IF(F885="",0,F885)*R885/100</f>
        <v>111201000</v>
      </c>
      <c r="T885" s="7" t="n">
        <f aca="false">Inputs!$B$4-J885</f>
        <v>89</v>
      </c>
      <c r="U885" s="7" t="n">
        <f aca="false">IF(OR(F885="",F885=0),1,0)</f>
        <v>0</v>
      </c>
      <c r="V885" s="7" t="n">
        <f aca="false">IF(K885="",1,0)</f>
        <v>0</v>
      </c>
      <c r="W885" s="7" t="n">
        <f aca="false">IF(AND(O885=1,K885&lt;&gt;"",COUNTIFS(Owners!$A$5:$A$32,K885,Owners!$E$5:$E$32,"No")&gt;0),1,0)</f>
        <v>0</v>
      </c>
      <c r="X885" s="7" t="n">
        <f aca="false">IF(AND(O885=1,I885&lt;Inputs!$B$4),1,0)</f>
        <v>0</v>
      </c>
      <c r="Y885" s="7" t="n">
        <f aca="false">IF(AND(O885=1,T885&gt;Inputs!$B$5),1,0)</f>
        <v>0</v>
      </c>
      <c r="Z885" s="7" t="n">
        <f aca="false">IF(AND(O885=1,G885&lt;&gt;R885),1,0)</f>
        <v>0</v>
      </c>
      <c r="AA885" s="7" t="n">
        <f aca="false">IF(AND(O885=1,M885=""),1,0)</f>
        <v>0</v>
      </c>
      <c r="AB885" s="7" t="n">
        <f aca="false">IF(AND(E885="Closed Lost",N885=""),1,0)</f>
        <v>0</v>
      </c>
      <c r="AC885" s="7" t="n">
        <f aca="false">SUM(U885:AB885)</f>
        <v>0</v>
      </c>
      <c r="AD885" s="7" t="n">
        <f aca="false">IF(AC885=0,1,0)</f>
        <v>1</v>
      </c>
      <c r="AE885" s="7" t="n">
        <f aca="false">IF(AND(O885=1,I885&gt;=Inputs!$B$6,I885&lt;=Inputs!$B$7),1,0)</f>
        <v>0</v>
      </c>
      <c r="AF885" s="7" t="n">
        <f aca="false">IF(AND(E885="Closed Won",I885&gt;=Inputs!$B$6,I885&lt;=Inputs!$B$4),1,0)</f>
        <v>1</v>
      </c>
      <c r="AG885" s="7" t="n">
        <f aca="false">IF(AND(O885=0,I885&gt;Inputs!$B$4-Inputs!$B$8,I885&lt;=Inputs!$B$4),1,0)</f>
        <v>1</v>
      </c>
      <c r="AH885" s="7" t="n">
        <f aca="false">I885-H885</f>
        <v>231</v>
      </c>
    </row>
    <row r="886" customFormat="false" ht="15" hidden="false" customHeight="false" outlineLevel="0" collapsed="false">
      <c r="A886" s="16" t="s">
        <v>2463</v>
      </c>
      <c r="B886" s="16" t="s">
        <v>338</v>
      </c>
      <c r="C886" s="16" t="s">
        <v>2464</v>
      </c>
      <c r="D886" s="16" t="s">
        <v>158</v>
      </c>
      <c r="E886" s="16" t="s">
        <v>526</v>
      </c>
      <c r="F886" s="26" t="n">
        <v>3709000</v>
      </c>
      <c r="G886" s="25" t="n">
        <v>10</v>
      </c>
      <c r="H886" s="22" t="n">
        <v>46232</v>
      </c>
      <c r="I886" s="22" t="n">
        <v>46503</v>
      </c>
      <c r="J886" s="22" t="n">
        <v>46274</v>
      </c>
      <c r="K886" s="16" t="s">
        <v>637</v>
      </c>
      <c r="L886" s="16" t="s">
        <v>500</v>
      </c>
      <c r="M886" s="16"/>
      <c r="N886" s="16"/>
      <c r="O886" s="7" t="n">
        <f aca="false">IF(OR(E886="Closed Won",E886="Closed Lost"),0,1)</f>
        <v>1</v>
      </c>
      <c r="P886" s="17" t="str">
        <f aca="false">INDEX(Accounts!$K$5:$K$336,MATCH(B886,Accounts!$A$5:$A$336,0))</f>
        <v>Health</v>
      </c>
      <c r="Q886" s="17" t="str">
        <f aca="false">INDEX(Accounts!$D$5:$D$336,MATCH(B886,Accounts!$A$5:$A$336,0))</f>
        <v>Key</v>
      </c>
      <c r="R886" s="7" t="n">
        <f aca="false">INDEX(Inputs!$B$11:$B$16,MATCH(E886,Inputs!$A$11:$A$16,0))</f>
        <v>10</v>
      </c>
      <c r="S886" s="27" t="n">
        <f aca="false">IF(F886="",0,F886)*R886/100</f>
        <v>370900</v>
      </c>
      <c r="T886" s="7" t="n">
        <f aca="false">Inputs!$B$4-J886</f>
        <v>40</v>
      </c>
      <c r="U886" s="7" t="n">
        <f aca="false">IF(OR(F886="",F886=0),1,0)</f>
        <v>0</v>
      </c>
      <c r="V886" s="7" t="n">
        <f aca="false">IF(K886="",1,0)</f>
        <v>0</v>
      </c>
      <c r="W886" s="7" t="n">
        <f aca="false">IF(AND(O886=1,K886&lt;&gt;"",COUNTIFS(Owners!$A$5:$A$32,K886,Owners!$E$5:$E$32,"No")&gt;0),1,0)</f>
        <v>0</v>
      </c>
      <c r="X886" s="7" t="n">
        <f aca="false">IF(AND(O886=1,I886&lt;Inputs!$B$4),1,0)</f>
        <v>0</v>
      </c>
      <c r="Y886" s="7" t="n">
        <f aca="false">IF(AND(O886=1,T886&gt;Inputs!$B$5),1,0)</f>
        <v>0</v>
      </c>
      <c r="Z886" s="7" t="n">
        <f aca="false">IF(AND(O886=1,G886&lt;&gt;R886),1,0)</f>
        <v>0</v>
      </c>
      <c r="AA886" s="7" t="n">
        <f aca="false">IF(AND(O886=1,M886=""),1,0)</f>
        <v>1</v>
      </c>
      <c r="AB886" s="7" t="n">
        <f aca="false">IF(AND(E886="Closed Lost",N886=""),1,0)</f>
        <v>0</v>
      </c>
      <c r="AC886" s="7" t="n">
        <f aca="false">SUM(U886:AB886)</f>
        <v>1</v>
      </c>
      <c r="AD886" s="7" t="n">
        <f aca="false">IF(AC886=0,1,0)</f>
        <v>0</v>
      </c>
      <c r="AE886" s="7" t="n">
        <f aca="false">IF(AND(O886=1,I886&gt;=Inputs!$B$6,I886&lt;=Inputs!$B$7),1,0)</f>
        <v>1</v>
      </c>
      <c r="AF886" s="7" t="n">
        <f aca="false">IF(AND(E886="Closed Won",I886&gt;=Inputs!$B$6,I886&lt;=Inputs!$B$4),1,0)</f>
        <v>0</v>
      </c>
      <c r="AG886" s="7" t="n">
        <f aca="false">IF(AND(O886=0,I886&gt;Inputs!$B$4-Inputs!$B$8,I886&lt;=Inputs!$B$4),1,0)</f>
        <v>0</v>
      </c>
      <c r="AH886" s="7" t="n">
        <f aca="false">I886-H886</f>
        <v>271</v>
      </c>
    </row>
    <row r="887" customFormat="false" ht="15" hidden="false" customHeight="false" outlineLevel="0" collapsed="false">
      <c r="A887" s="16" t="s">
        <v>2465</v>
      </c>
      <c r="B887" s="16" t="s">
        <v>266</v>
      </c>
      <c r="C887" s="16" t="s">
        <v>2466</v>
      </c>
      <c r="D887" s="16" t="s">
        <v>158</v>
      </c>
      <c r="E887" s="16" t="s">
        <v>530</v>
      </c>
      <c r="F887" s="26" t="n">
        <v>13115000</v>
      </c>
      <c r="G887" s="25" t="n">
        <v>100</v>
      </c>
      <c r="H887" s="22" t="n">
        <v>46093</v>
      </c>
      <c r="I887" s="22" t="n">
        <v>46248</v>
      </c>
      <c r="J887" s="22" t="n">
        <v>46248</v>
      </c>
      <c r="K887" s="16" t="s">
        <v>567</v>
      </c>
      <c r="L887" s="16" t="s">
        <v>592</v>
      </c>
      <c r="M887" s="16"/>
      <c r="N887" s="16"/>
      <c r="O887" s="7" t="n">
        <f aca="false">IF(OR(E887="Closed Won",E887="Closed Lost"),0,1)</f>
        <v>0</v>
      </c>
      <c r="P887" s="17" t="str">
        <f aca="false">INDEX(Accounts!$K$5:$K$336,MATCH(B887,Accounts!$A$5:$A$336,0))</f>
        <v>Technology, Media &amp; Telecom</v>
      </c>
      <c r="Q887" s="17" t="str">
        <f aca="false">INDEX(Accounts!$D$5:$D$336,MATCH(B887,Accounts!$A$5:$A$336,0))</f>
        <v>Key</v>
      </c>
      <c r="R887" s="7" t="n">
        <f aca="false">INDEX(Inputs!$B$11:$B$16,MATCH(E887,Inputs!$A$11:$A$16,0))</f>
        <v>100</v>
      </c>
      <c r="S887" s="27" t="n">
        <f aca="false">IF(F887="",0,F887)*R887/100</f>
        <v>13115000</v>
      </c>
      <c r="T887" s="7" t="n">
        <f aca="false">Inputs!$B$4-J887</f>
        <v>66</v>
      </c>
      <c r="U887" s="7" t="n">
        <f aca="false">IF(OR(F887="",F887=0),1,0)</f>
        <v>0</v>
      </c>
      <c r="V887" s="7" t="n">
        <f aca="false">IF(K887="",1,0)</f>
        <v>0</v>
      </c>
      <c r="W887" s="7" t="n">
        <f aca="false">IF(AND(O887=1,K887&lt;&gt;"",COUNTIFS(Owners!$A$5:$A$32,K887,Owners!$E$5:$E$32,"No")&gt;0),1,0)</f>
        <v>0</v>
      </c>
      <c r="X887" s="7" t="n">
        <f aca="false">IF(AND(O887=1,I887&lt;Inputs!$B$4),1,0)</f>
        <v>0</v>
      </c>
      <c r="Y887" s="7" t="n">
        <f aca="false">IF(AND(O887=1,T887&gt;Inputs!$B$5),1,0)</f>
        <v>0</v>
      </c>
      <c r="Z887" s="7" t="n">
        <f aca="false">IF(AND(O887=1,G887&lt;&gt;R887),1,0)</f>
        <v>0</v>
      </c>
      <c r="AA887" s="7" t="n">
        <f aca="false">IF(AND(O887=1,M887=""),1,0)</f>
        <v>0</v>
      </c>
      <c r="AB887" s="7" t="n">
        <f aca="false">IF(AND(E887="Closed Lost",N887=""),1,0)</f>
        <v>0</v>
      </c>
      <c r="AC887" s="7" t="n">
        <f aca="false">SUM(U887:AB887)</f>
        <v>0</v>
      </c>
      <c r="AD887" s="7" t="n">
        <f aca="false">IF(AC887=0,1,0)</f>
        <v>1</v>
      </c>
      <c r="AE887" s="7" t="n">
        <f aca="false">IF(AND(O887=1,I887&gt;=Inputs!$B$6,I887&lt;=Inputs!$B$7),1,0)</f>
        <v>0</v>
      </c>
      <c r="AF887" s="7" t="n">
        <f aca="false">IF(AND(E887="Closed Won",I887&gt;=Inputs!$B$6,I887&lt;=Inputs!$B$4),1,0)</f>
        <v>1</v>
      </c>
      <c r="AG887" s="7" t="n">
        <f aca="false">IF(AND(O887=0,I887&gt;Inputs!$B$4-Inputs!$B$8,I887&lt;=Inputs!$B$4),1,0)</f>
        <v>1</v>
      </c>
      <c r="AH887" s="7" t="n">
        <f aca="false">I887-H887</f>
        <v>155</v>
      </c>
    </row>
    <row r="888" customFormat="false" ht="15" hidden="false" customHeight="false" outlineLevel="0" collapsed="false">
      <c r="A888" s="16" t="s">
        <v>2467</v>
      </c>
      <c r="B888" s="16" t="s">
        <v>2468</v>
      </c>
      <c r="C888" s="16" t="s">
        <v>2469</v>
      </c>
      <c r="D888" s="16" t="s">
        <v>167</v>
      </c>
      <c r="E888" s="16" t="s">
        <v>530</v>
      </c>
      <c r="F888" s="26" t="n">
        <v>4769000</v>
      </c>
      <c r="G888" s="25" t="n">
        <v>100</v>
      </c>
      <c r="H888" s="22" t="n">
        <v>46131</v>
      </c>
      <c r="I888" s="22" t="n">
        <v>46249</v>
      </c>
      <c r="J888" s="22" t="n">
        <v>46249</v>
      </c>
      <c r="K888" s="16" t="s">
        <v>600</v>
      </c>
      <c r="L888" s="16" t="s">
        <v>584</v>
      </c>
      <c r="M888" s="16"/>
      <c r="N888" s="16"/>
      <c r="O888" s="7" t="n">
        <f aca="false">IF(OR(E888="Closed Won",E888="Closed Lost"),0,1)</f>
        <v>0</v>
      </c>
      <c r="P888" s="17" t="str">
        <f aca="false">INDEX(Accounts!$K$5:$K$336,MATCH(B888,Accounts!$A$5:$A$336,0))</f>
        <v>Health</v>
      </c>
      <c r="Q888" s="17" t="str">
        <f aca="false">INDEX(Accounts!$D$5:$D$336,MATCH(B888,Accounts!$A$5:$A$336,0))</f>
        <v>Standard</v>
      </c>
      <c r="R888" s="7" t="n">
        <f aca="false">INDEX(Inputs!$B$11:$B$16,MATCH(E888,Inputs!$A$11:$A$16,0))</f>
        <v>100</v>
      </c>
      <c r="S888" s="27" t="n">
        <f aca="false">IF(F888="",0,F888)*R888/100</f>
        <v>4769000</v>
      </c>
      <c r="T888" s="7" t="n">
        <f aca="false">Inputs!$B$4-J888</f>
        <v>65</v>
      </c>
      <c r="U888" s="7" t="n">
        <f aca="false">IF(OR(F888="",F888=0),1,0)</f>
        <v>0</v>
      </c>
      <c r="V888" s="7" t="n">
        <f aca="false">IF(K888="",1,0)</f>
        <v>0</v>
      </c>
      <c r="W888" s="7" t="n">
        <f aca="false">IF(AND(O888=1,K888&lt;&gt;"",COUNTIFS(Owners!$A$5:$A$32,K888,Owners!$E$5:$E$32,"No")&gt;0),1,0)</f>
        <v>0</v>
      </c>
      <c r="X888" s="7" t="n">
        <f aca="false">IF(AND(O888=1,I888&lt;Inputs!$B$4),1,0)</f>
        <v>0</v>
      </c>
      <c r="Y888" s="7" t="n">
        <f aca="false">IF(AND(O888=1,T888&gt;Inputs!$B$5),1,0)</f>
        <v>0</v>
      </c>
      <c r="Z888" s="7" t="n">
        <f aca="false">IF(AND(O888=1,G888&lt;&gt;R888),1,0)</f>
        <v>0</v>
      </c>
      <c r="AA888" s="7" t="n">
        <f aca="false">IF(AND(O888=1,M888=""),1,0)</f>
        <v>0</v>
      </c>
      <c r="AB888" s="7" t="n">
        <f aca="false">IF(AND(E888="Closed Lost",N888=""),1,0)</f>
        <v>0</v>
      </c>
      <c r="AC888" s="7" t="n">
        <f aca="false">SUM(U888:AB888)</f>
        <v>0</v>
      </c>
      <c r="AD888" s="7" t="n">
        <f aca="false">IF(AC888=0,1,0)</f>
        <v>1</v>
      </c>
      <c r="AE888" s="7" t="n">
        <f aca="false">IF(AND(O888=1,I888&gt;=Inputs!$B$6,I888&lt;=Inputs!$B$7),1,0)</f>
        <v>0</v>
      </c>
      <c r="AF888" s="7" t="n">
        <f aca="false">IF(AND(E888="Closed Won",I888&gt;=Inputs!$B$6,I888&lt;=Inputs!$B$4),1,0)</f>
        <v>1</v>
      </c>
      <c r="AG888" s="7" t="n">
        <f aca="false">IF(AND(O888=0,I888&gt;Inputs!$B$4-Inputs!$B$8,I888&lt;=Inputs!$B$4),1,0)</f>
        <v>1</v>
      </c>
      <c r="AH888" s="7" t="n">
        <f aca="false">I888-H888</f>
        <v>118</v>
      </c>
    </row>
    <row r="889" customFormat="false" ht="15" hidden="false" customHeight="false" outlineLevel="0" collapsed="false">
      <c r="A889" s="16" t="s">
        <v>2470</v>
      </c>
      <c r="B889" s="16" t="s">
        <v>858</v>
      </c>
      <c r="C889" s="16" t="s">
        <v>2471</v>
      </c>
      <c r="D889" s="16" t="s">
        <v>177</v>
      </c>
      <c r="E889" s="16" t="s">
        <v>530</v>
      </c>
      <c r="F889" s="26" t="n">
        <v>79761000</v>
      </c>
      <c r="G889" s="25" t="n">
        <v>100</v>
      </c>
      <c r="H889" s="22" t="n">
        <v>45993</v>
      </c>
      <c r="I889" s="22" t="n">
        <v>46215</v>
      </c>
      <c r="J889" s="22" t="n">
        <v>46215</v>
      </c>
      <c r="K889" s="16" t="s">
        <v>704</v>
      </c>
      <c r="L889" s="16" t="s">
        <v>500</v>
      </c>
      <c r="M889" s="16"/>
      <c r="N889" s="16"/>
      <c r="O889" s="7" t="n">
        <f aca="false">IF(OR(E889="Closed Won",E889="Closed Lost"),0,1)</f>
        <v>0</v>
      </c>
      <c r="P889" s="17" t="str">
        <f aca="false">INDEX(Accounts!$K$5:$K$336,MATCH(B889,Accounts!$A$5:$A$336,0))</f>
        <v>Unassigned</v>
      </c>
      <c r="Q889" s="17" t="str">
        <f aca="false">INDEX(Accounts!$D$5:$D$336,MATCH(B889,Accounts!$A$5:$A$336,0))</f>
        <v>Key</v>
      </c>
      <c r="R889" s="7" t="n">
        <f aca="false">INDEX(Inputs!$B$11:$B$16,MATCH(E889,Inputs!$A$11:$A$16,0))</f>
        <v>100</v>
      </c>
      <c r="S889" s="27" t="n">
        <f aca="false">IF(F889="",0,F889)*R889/100</f>
        <v>79761000</v>
      </c>
      <c r="T889" s="7" t="n">
        <f aca="false">Inputs!$B$4-J889</f>
        <v>99</v>
      </c>
      <c r="U889" s="7" t="n">
        <f aca="false">IF(OR(F889="",F889=0),1,0)</f>
        <v>0</v>
      </c>
      <c r="V889" s="7" t="n">
        <f aca="false">IF(K889="",1,0)</f>
        <v>0</v>
      </c>
      <c r="W889" s="7" t="n">
        <f aca="false">IF(AND(O889=1,K889&lt;&gt;"",COUNTIFS(Owners!$A$5:$A$32,K889,Owners!$E$5:$E$32,"No")&gt;0),1,0)</f>
        <v>0</v>
      </c>
      <c r="X889" s="7" t="n">
        <f aca="false">IF(AND(O889=1,I889&lt;Inputs!$B$4),1,0)</f>
        <v>0</v>
      </c>
      <c r="Y889" s="7" t="n">
        <f aca="false">IF(AND(O889=1,T889&gt;Inputs!$B$5),1,0)</f>
        <v>0</v>
      </c>
      <c r="Z889" s="7" t="n">
        <f aca="false">IF(AND(O889=1,G889&lt;&gt;R889),1,0)</f>
        <v>0</v>
      </c>
      <c r="AA889" s="7" t="n">
        <f aca="false">IF(AND(O889=1,M889=""),1,0)</f>
        <v>0</v>
      </c>
      <c r="AB889" s="7" t="n">
        <f aca="false">IF(AND(E889="Closed Lost",N889=""),1,0)</f>
        <v>0</v>
      </c>
      <c r="AC889" s="7" t="n">
        <f aca="false">SUM(U889:AB889)</f>
        <v>0</v>
      </c>
      <c r="AD889" s="7" t="n">
        <f aca="false">IF(AC889=0,1,0)</f>
        <v>1</v>
      </c>
      <c r="AE889" s="7" t="n">
        <f aca="false">IF(AND(O889=1,I889&gt;=Inputs!$B$6,I889&lt;=Inputs!$B$7),1,0)</f>
        <v>0</v>
      </c>
      <c r="AF889" s="7" t="n">
        <f aca="false">IF(AND(E889="Closed Won",I889&gt;=Inputs!$B$6,I889&lt;=Inputs!$B$4),1,0)</f>
        <v>1</v>
      </c>
      <c r="AG889" s="7" t="n">
        <f aca="false">IF(AND(O889=0,I889&gt;Inputs!$B$4-Inputs!$B$8,I889&lt;=Inputs!$B$4),1,0)</f>
        <v>1</v>
      </c>
      <c r="AH889" s="7" t="n">
        <f aca="false">I889-H889</f>
        <v>222</v>
      </c>
    </row>
    <row r="890" customFormat="false" ht="15" hidden="false" customHeight="false" outlineLevel="0" collapsed="false">
      <c r="A890" s="16" t="s">
        <v>2472</v>
      </c>
      <c r="B890" s="16" t="s">
        <v>57</v>
      </c>
      <c r="C890" s="16" t="s">
        <v>2473</v>
      </c>
      <c r="D890" s="16" t="s">
        <v>162</v>
      </c>
      <c r="E890" s="16" t="s">
        <v>529</v>
      </c>
      <c r="F890" s="26"/>
      <c r="G890" s="25" t="n">
        <v>75</v>
      </c>
      <c r="H890" s="22" t="n">
        <v>46249</v>
      </c>
      <c r="I890" s="22" t="n">
        <v>46313</v>
      </c>
      <c r="J890" s="22" t="n">
        <v>46296</v>
      </c>
      <c r="K890" s="16"/>
      <c r="L890" s="16" t="s">
        <v>500</v>
      </c>
      <c r="M890" s="16" t="s">
        <v>575</v>
      </c>
      <c r="N890" s="16"/>
      <c r="O890" s="7" t="n">
        <f aca="false">IF(OR(E890="Closed Won",E890="Closed Lost"),0,1)</f>
        <v>1</v>
      </c>
      <c r="P890" s="17" t="str">
        <f aca="false">INDEX(Accounts!$K$5:$K$336,MATCH(B890,Accounts!$A$5:$A$336,0))</f>
        <v>Financial Services</v>
      </c>
      <c r="Q890" s="17" t="str">
        <f aca="false">INDEX(Accounts!$D$5:$D$336,MATCH(B890,Accounts!$A$5:$A$336,0))</f>
        <v>Priority</v>
      </c>
      <c r="R890" s="7" t="n">
        <f aca="false">INDEX(Inputs!$B$11:$B$16,MATCH(E890,Inputs!$A$11:$A$16,0))</f>
        <v>75</v>
      </c>
      <c r="S890" s="27" t="n">
        <f aca="false">IF(F890="",0,F890)*R890/100</f>
        <v>0</v>
      </c>
      <c r="T890" s="7" t="n">
        <f aca="false">Inputs!$B$4-J890</f>
        <v>18</v>
      </c>
      <c r="U890" s="7" t="n">
        <f aca="false">IF(OR(F890="",F890=0),1,0)</f>
        <v>1</v>
      </c>
      <c r="V890" s="7" t="n">
        <f aca="false">IF(K890="",1,0)</f>
        <v>1</v>
      </c>
      <c r="W890" s="7" t="n">
        <f aca="false">IF(AND(O890=1,K890&lt;&gt;"",COUNTIFS(Owners!$A$5:$A$32,K890,Owners!$E$5:$E$32,"No")&gt;0),1,0)</f>
        <v>0</v>
      </c>
      <c r="X890" s="7" t="n">
        <f aca="false">IF(AND(O890=1,I890&lt;Inputs!$B$4),1,0)</f>
        <v>1</v>
      </c>
      <c r="Y890" s="7" t="n">
        <f aca="false">IF(AND(O890=1,T890&gt;Inputs!$B$5),1,0)</f>
        <v>0</v>
      </c>
      <c r="Z890" s="7" t="n">
        <f aca="false">IF(AND(O890=1,G890&lt;&gt;R890),1,0)</f>
        <v>0</v>
      </c>
      <c r="AA890" s="7" t="n">
        <f aca="false">IF(AND(O890=1,M890=""),1,0)</f>
        <v>0</v>
      </c>
      <c r="AB890" s="7" t="n">
        <f aca="false">IF(AND(E890="Closed Lost",N890=""),1,0)</f>
        <v>0</v>
      </c>
      <c r="AC890" s="7" t="n">
        <f aca="false">SUM(U890:AB890)</f>
        <v>3</v>
      </c>
      <c r="AD890" s="7" t="n">
        <f aca="false">IF(AC890=0,1,0)</f>
        <v>0</v>
      </c>
      <c r="AE890" s="7" t="n">
        <f aca="false">IF(AND(O890=1,I890&gt;=Inputs!$B$6,I890&lt;=Inputs!$B$7),1,0)</f>
        <v>1</v>
      </c>
      <c r="AF890" s="7" t="n">
        <f aca="false">IF(AND(E890="Closed Won",I890&gt;=Inputs!$B$6,I890&lt;=Inputs!$B$4),1,0)</f>
        <v>0</v>
      </c>
      <c r="AG890" s="7" t="n">
        <f aca="false">IF(AND(O890=0,I890&gt;Inputs!$B$4-Inputs!$B$8,I890&lt;=Inputs!$B$4),1,0)</f>
        <v>0</v>
      </c>
      <c r="AH890" s="7" t="n">
        <f aca="false">I890-H890</f>
        <v>64</v>
      </c>
    </row>
    <row r="891" customFormat="false" ht="15" hidden="false" customHeight="false" outlineLevel="0" collapsed="false">
      <c r="A891" s="16" t="s">
        <v>2474</v>
      </c>
      <c r="B891" s="16" t="s">
        <v>2279</v>
      </c>
      <c r="C891" s="16" t="s">
        <v>2475</v>
      </c>
      <c r="D891" s="16" t="s">
        <v>165</v>
      </c>
      <c r="E891" s="16" t="s">
        <v>530</v>
      </c>
      <c r="F891" s="26" t="n">
        <v>15990000</v>
      </c>
      <c r="G891" s="25" t="n">
        <v>100</v>
      </c>
      <c r="H891" s="22" t="n">
        <v>46083</v>
      </c>
      <c r="I891" s="22" t="n">
        <v>46193</v>
      </c>
      <c r="J891" s="22" t="n">
        <v>46193</v>
      </c>
      <c r="K891" s="16" t="s">
        <v>860</v>
      </c>
      <c r="L891" s="16" t="s">
        <v>592</v>
      </c>
      <c r="M891" s="16"/>
      <c r="N891" s="16"/>
      <c r="O891" s="7" t="n">
        <f aca="false">IF(OR(E891="Closed Won",E891="Closed Lost"),0,1)</f>
        <v>0</v>
      </c>
      <c r="P891" s="17" t="str">
        <f aca="false">INDEX(Accounts!$K$5:$K$336,MATCH(B891,Accounts!$A$5:$A$336,0))</f>
        <v>Real Estate &amp; Infrastructure</v>
      </c>
      <c r="Q891" s="17" t="str">
        <f aca="false">INDEX(Accounts!$D$5:$D$336,MATCH(B891,Accounts!$A$5:$A$336,0))</f>
        <v>Standard</v>
      </c>
      <c r="R891" s="7" t="n">
        <f aca="false">INDEX(Inputs!$B$11:$B$16,MATCH(E891,Inputs!$A$11:$A$16,0))</f>
        <v>100</v>
      </c>
      <c r="S891" s="27" t="n">
        <f aca="false">IF(F891="",0,F891)*R891/100</f>
        <v>15990000</v>
      </c>
      <c r="T891" s="7" t="n">
        <f aca="false">Inputs!$B$4-J891</f>
        <v>121</v>
      </c>
      <c r="U891" s="7" t="n">
        <f aca="false">IF(OR(F891="",F891=0),1,0)</f>
        <v>0</v>
      </c>
      <c r="V891" s="7" t="n">
        <f aca="false">IF(K891="",1,0)</f>
        <v>0</v>
      </c>
      <c r="W891" s="7" t="n">
        <f aca="false">IF(AND(O891=1,K891&lt;&gt;"",COUNTIFS(Owners!$A$5:$A$32,K891,Owners!$E$5:$E$32,"No")&gt;0),1,0)</f>
        <v>0</v>
      </c>
      <c r="X891" s="7" t="n">
        <f aca="false">IF(AND(O891=1,I891&lt;Inputs!$B$4),1,0)</f>
        <v>0</v>
      </c>
      <c r="Y891" s="7" t="n">
        <f aca="false">IF(AND(O891=1,T891&gt;Inputs!$B$5),1,0)</f>
        <v>0</v>
      </c>
      <c r="Z891" s="7" t="n">
        <f aca="false">IF(AND(O891=1,G891&lt;&gt;R891),1,0)</f>
        <v>0</v>
      </c>
      <c r="AA891" s="7" t="n">
        <f aca="false">IF(AND(O891=1,M891=""),1,0)</f>
        <v>0</v>
      </c>
      <c r="AB891" s="7" t="n">
        <f aca="false">IF(AND(E891="Closed Lost",N891=""),1,0)</f>
        <v>0</v>
      </c>
      <c r="AC891" s="7" t="n">
        <f aca="false">SUM(U891:AB891)</f>
        <v>0</v>
      </c>
      <c r="AD891" s="7" t="n">
        <f aca="false">IF(AC891=0,1,0)</f>
        <v>1</v>
      </c>
      <c r="AE891" s="7" t="n">
        <f aca="false">IF(AND(O891=1,I891&gt;=Inputs!$B$6,I891&lt;=Inputs!$B$7),1,0)</f>
        <v>0</v>
      </c>
      <c r="AF891" s="7" t="n">
        <f aca="false">IF(AND(E891="Closed Won",I891&gt;=Inputs!$B$6,I891&lt;=Inputs!$B$4),1,0)</f>
        <v>0</v>
      </c>
      <c r="AG891" s="7" t="n">
        <f aca="false">IF(AND(O891=0,I891&gt;Inputs!$B$4-Inputs!$B$8,I891&lt;=Inputs!$B$4),1,0)</f>
        <v>1</v>
      </c>
      <c r="AH891" s="7" t="n">
        <f aca="false">I891-H891</f>
        <v>110</v>
      </c>
    </row>
    <row r="892" customFormat="false" ht="15" hidden="false" customHeight="false" outlineLevel="0" collapsed="false">
      <c r="A892" s="16" t="s">
        <v>2476</v>
      </c>
      <c r="B892" s="16" t="s">
        <v>64</v>
      </c>
      <c r="C892" s="16" t="s">
        <v>2477</v>
      </c>
      <c r="D892" s="16" t="s">
        <v>177</v>
      </c>
      <c r="E892" s="16" t="s">
        <v>526</v>
      </c>
      <c r="F892" s="26" t="n">
        <v>1512000</v>
      </c>
      <c r="G892" s="25" t="n">
        <v>10</v>
      </c>
      <c r="H892" s="22" t="n">
        <v>46174</v>
      </c>
      <c r="I892" s="22" t="n">
        <v>46480</v>
      </c>
      <c r="J892" s="22" t="n">
        <v>46298</v>
      </c>
      <c r="K892" s="16" t="s">
        <v>691</v>
      </c>
      <c r="L892" s="16" t="s">
        <v>592</v>
      </c>
      <c r="M892" s="16" t="s">
        <v>601</v>
      </c>
      <c r="N892" s="16"/>
      <c r="O892" s="7" t="n">
        <f aca="false">IF(OR(E892="Closed Won",E892="Closed Lost"),0,1)</f>
        <v>1</v>
      </c>
      <c r="P892" s="17" t="str">
        <f aca="false">INDEX(Accounts!$K$5:$K$336,MATCH(B892,Accounts!$A$5:$A$336,0))</f>
        <v>Financial Services</v>
      </c>
      <c r="Q892" s="17" t="str">
        <f aca="false">INDEX(Accounts!$D$5:$D$336,MATCH(B892,Accounts!$A$5:$A$336,0))</f>
        <v>Priority</v>
      </c>
      <c r="R892" s="7" t="n">
        <f aca="false">INDEX(Inputs!$B$11:$B$16,MATCH(E892,Inputs!$A$11:$A$16,0))</f>
        <v>10</v>
      </c>
      <c r="S892" s="27" t="n">
        <f aca="false">IF(F892="",0,F892)*R892/100</f>
        <v>151200</v>
      </c>
      <c r="T892" s="7" t="n">
        <f aca="false">Inputs!$B$4-J892</f>
        <v>16</v>
      </c>
      <c r="U892" s="7" t="n">
        <f aca="false">IF(OR(F892="",F892=0),1,0)</f>
        <v>0</v>
      </c>
      <c r="V892" s="7" t="n">
        <f aca="false">IF(K892="",1,0)</f>
        <v>0</v>
      </c>
      <c r="W892" s="7" t="n">
        <f aca="false">IF(AND(O892=1,K892&lt;&gt;"",COUNTIFS(Owners!$A$5:$A$32,K892,Owners!$E$5:$E$32,"No")&gt;0),1,0)</f>
        <v>0</v>
      </c>
      <c r="X892" s="7" t="n">
        <f aca="false">IF(AND(O892=1,I892&lt;Inputs!$B$4),1,0)</f>
        <v>0</v>
      </c>
      <c r="Y892" s="7" t="n">
        <f aca="false">IF(AND(O892=1,T892&gt;Inputs!$B$5),1,0)</f>
        <v>0</v>
      </c>
      <c r="Z892" s="7" t="n">
        <f aca="false">IF(AND(O892=1,G892&lt;&gt;R892),1,0)</f>
        <v>0</v>
      </c>
      <c r="AA892" s="7" t="n">
        <f aca="false">IF(AND(O892=1,M892=""),1,0)</f>
        <v>0</v>
      </c>
      <c r="AB892" s="7" t="n">
        <f aca="false">IF(AND(E892="Closed Lost",N892=""),1,0)</f>
        <v>0</v>
      </c>
      <c r="AC892" s="7" t="n">
        <f aca="false">SUM(U892:AB892)</f>
        <v>0</v>
      </c>
      <c r="AD892" s="7" t="n">
        <f aca="false">IF(AC892=0,1,0)</f>
        <v>1</v>
      </c>
      <c r="AE892" s="7" t="n">
        <f aca="false">IF(AND(O892=1,I892&gt;=Inputs!$B$6,I892&lt;=Inputs!$B$7),1,0)</f>
        <v>1</v>
      </c>
      <c r="AF892" s="7" t="n">
        <f aca="false">IF(AND(E892="Closed Won",I892&gt;=Inputs!$B$6,I892&lt;=Inputs!$B$4),1,0)</f>
        <v>0</v>
      </c>
      <c r="AG892" s="7" t="n">
        <f aca="false">IF(AND(O892=0,I892&gt;Inputs!$B$4-Inputs!$B$8,I892&lt;=Inputs!$B$4),1,0)</f>
        <v>0</v>
      </c>
      <c r="AH892" s="7" t="n">
        <f aca="false">I892-H892</f>
        <v>306</v>
      </c>
    </row>
    <row r="893" customFormat="false" ht="15" hidden="false" customHeight="false" outlineLevel="0" collapsed="false">
      <c r="A893" s="16" t="s">
        <v>2478</v>
      </c>
      <c r="B893" s="16" t="s">
        <v>60</v>
      </c>
      <c r="C893" s="16" t="s">
        <v>1054</v>
      </c>
      <c r="D893" s="16" t="s">
        <v>167</v>
      </c>
      <c r="E893" s="16" t="s">
        <v>527</v>
      </c>
      <c r="F893" s="26" t="n">
        <v>5040000</v>
      </c>
      <c r="G893" s="25" t="n">
        <v>25</v>
      </c>
      <c r="H893" s="22" t="n">
        <v>46208</v>
      </c>
      <c r="I893" s="22" t="n">
        <v>46356</v>
      </c>
      <c r="J893" s="22" t="n">
        <v>46269</v>
      </c>
      <c r="K893" s="16" t="s">
        <v>596</v>
      </c>
      <c r="L893" s="16" t="s">
        <v>568</v>
      </c>
      <c r="M893" s="16" t="s">
        <v>569</v>
      </c>
      <c r="N893" s="16"/>
      <c r="O893" s="7" t="n">
        <f aca="false">IF(OR(E893="Closed Won",E893="Closed Lost"),0,1)</f>
        <v>1</v>
      </c>
      <c r="P893" s="17" t="str">
        <f aca="false">INDEX(Accounts!$K$5:$K$336,MATCH(B893,Accounts!$A$5:$A$336,0))</f>
        <v>Financial Services</v>
      </c>
      <c r="Q893" s="17" t="str">
        <f aca="false">INDEX(Accounts!$D$5:$D$336,MATCH(B893,Accounts!$A$5:$A$336,0))</f>
        <v>Priority</v>
      </c>
      <c r="R893" s="7" t="n">
        <f aca="false">INDEX(Inputs!$B$11:$B$16,MATCH(E893,Inputs!$A$11:$A$16,0))</f>
        <v>25</v>
      </c>
      <c r="S893" s="27" t="n">
        <f aca="false">IF(F893="",0,F893)*R893/100</f>
        <v>1260000</v>
      </c>
      <c r="T893" s="7" t="n">
        <f aca="false">Inputs!$B$4-J893</f>
        <v>45</v>
      </c>
      <c r="U893" s="7" t="n">
        <f aca="false">IF(OR(F893="",F893=0),1,0)</f>
        <v>0</v>
      </c>
      <c r="V893" s="7" t="n">
        <f aca="false">IF(K893="",1,0)</f>
        <v>0</v>
      </c>
      <c r="W893" s="7" t="n">
        <f aca="false">IF(AND(O893=1,K893&lt;&gt;"",COUNTIFS(Owners!$A$5:$A$32,K893,Owners!$E$5:$E$32,"No")&gt;0),1,0)</f>
        <v>0</v>
      </c>
      <c r="X893" s="7" t="n">
        <f aca="false">IF(AND(O893=1,I893&lt;Inputs!$B$4),1,0)</f>
        <v>0</v>
      </c>
      <c r="Y893" s="7" t="n">
        <f aca="false">IF(AND(O893=1,T893&gt;Inputs!$B$5),1,0)</f>
        <v>0</v>
      </c>
      <c r="Z893" s="7" t="n">
        <f aca="false">IF(AND(O893=1,G893&lt;&gt;R893),1,0)</f>
        <v>0</v>
      </c>
      <c r="AA893" s="7" t="n">
        <f aca="false">IF(AND(O893=1,M893=""),1,0)</f>
        <v>0</v>
      </c>
      <c r="AB893" s="7" t="n">
        <f aca="false">IF(AND(E893="Closed Lost",N893=""),1,0)</f>
        <v>0</v>
      </c>
      <c r="AC893" s="7" t="n">
        <f aca="false">SUM(U893:AB893)</f>
        <v>0</v>
      </c>
      <c r="AD893" s="7" t="n">
        <f aca="false">IF(AC893=0,1,0)</f>
        <v>1</v>
      </c>
      <c r="AE893" s="7" t="n">
        <f aca="false">IF(AND(O893=1,I893&gt;=Inputs!$B$6,I893&lt;=Inputs!$B$7),1,0)</f>
        <v>1</v>
      </c>
      <c r="AF893" s="7" t="n">
        <f aca="false">IF(AND(E893="Closed Won",I893&gt;=Inputs!$B$6,I893&lt;=Inputs!$B$4),1,0)</f>
        <v>0</v>
      </c>
      <c r="AG893" s="7" t="n">
        <f aca="false">IF(AND(O893=0,I893&gt;Inputs!$B$4-Inputs!$B$8,I893&lt;=Inputs!$B$4),1,0)</f>
        <v>0</v>
      </c>
      <c r="AH893" s="7" t="n">
        <f aca="false">I893-H893</f>
        <v>148</v>
      </c>
    </row>
    <row r="894" customFormat="false" ht="15" hidden="false" customHeight="false" outlineLevel="0" collapsed="false">
      <c r="A894" s="16" t="s">
        <v>2479</v>
      </c>
      <c r="B894" s="16" t="s">
        <v>73</v>
      </c>
      <c r="C894" s="16" t="s">
        <v>2480</v>
      </c>
      <c r="D894" s="16" t="s">
        <v>167</v>
      </c>
      <c r="E894" s="16" t="s">
        <v>526</v>
      </c>
      <c r="F894" s="26" t="n">
        <v>2907000</v>
      </c>
      <c r="G894" s="25" t="n">
        <v>10</v>
      </c>
      <c r="H894" s="22" t="n">
        <v>46238</v>
      </c>
      <c r="I894" s="22" t="n">
        <v>46511</v>
      </c>
      <c r="J894" s="22" t="n">
        <v>46301</v>
      </c>
      <c r="K894" s="16" t="s">
        <v>640</v>
      </c>
      <c r="L894" s="16" t="s">
        <v>584</v>
      </c>
      <c r="M894" s="16" t="s">
        <v>569</v>
      </c>
      <c r="N894" s="16"/>
      <c r="O894" s="7" t="n">
        <f aca="false">IF(OR(E894="Closed Won",E894="Closed Lost"),0,1)</f>
        <v>1</v>
      </c>
      <c r="P894" s="17" t="str">
        <f aca="false">INDEX(Accounts!$K$5:$K$336,MATCH(B894,Accounts!$A$5:$A$336,0))</f>
        <v>Energy &amp; Resources</v>
      </c>
      <c r="Q894" s="17" t="str">
        <f aca="false">INDEX(Accounts!$D$5:$D$336,MATCH(B894,Accounts!$A$5:$A$336,0))</f>
        <v>Priority</v>
      </c>
      <c r="R894" s="7" t="n">
        <f aca="false">INDEX(Inputs!$B$11:$B$16,MATCH(E894,Inputs!$A$11:$A$16,0))</f>
        <v>10</v>
      </c>
      <c r="S894" s="27" t="n">
        <f aca="false">IF(F894="",0,F894)*R894/100</f>
        <v>290700</v>
      </c>
      <c r="T894" s="7" t="n">
        <f aca="false">Inputs!$B$4-J894</f>
        <v>13</v>
      </c>
      <c r="U894" s="7" t="n">
        <f aca="false">IF(OR(F894="",F894=0),1,0)</f>
        <v>0</v>
      </c>
      <c r="V894" s="7" t="n">
        <f aca="false">IF(K894="",1,0)</f>
        <v>0</v>
      </c>
      <c r="W894" s="7" t="n">
        <f aca="false">IF(AND(O894=1,K894&lt;&gt;"",COUNTIFS(Owners!$A$5:$A$32,K894,Owners!$E$5:$E$32,"No")&gt;0),1,0)</f>
        <v>0</v>
      </c>
      <c r="X894" s="7" t="n">
        <f aca="false">IF(AND(O894=1,I894&lt;Inputs!$B$4),1,0)</f>
        <v>0</v>
      </c>
      <c r="Y894" s="7" t="n">
        <f aca="false">IF(AND(O894=1,T894&gt;Inputs!$B$5),1,0)</f>
        <v>0</v>
      </c>
      <c r="Z894" s="7" t="n">
        <f aca="false">IF(AND(O894=1,G894&lt;&gt;R894),1,0)</f>
        <v>0</v>
      </c>
      <c r="AA894" s="7" t="n">
        <f aca="false">IF(AND(O894=1,M894=""),1,0)</f>
        <v>0</v>
      </c>
      <c r="AB894" s="7" t="n">
        <f aca="false">IF(AND(E894="Closed Lost",N894=""),1,0)</f>
        <v>0</v>
      </c>
      <c r="AC894" s="7" t="n">
        <f aca="false">SUM(U894:AB894)</f>
        <v>0</v>
      </c>
      <c r="AD894" s="7" t="n">
        <f aca="false">IF(AC894=0,1,0)</f>
        <v>1</v>
      </c>
      <c r="AE894" s="7" t="n">
        <f aca="false">IF(AND(O894=1,I894&gt;=Inputs!$B$6,I894&lt;=Inputs!$B$7),1,0)</f>
        <v>1</v>
      </c>
      <c r="AF894" s="7" t="n">
        <f aca="false">IF(AND(E894="Closed Won",I894&gt;=Inputs!$B$6,I894&lt;=Inputs!$B$4),1,0)</f>
        <v>0</v>
      </c>
      <c r="AG894" s="7" t="n">
        <f aca="false">IF(AND(O894=0,I894&gt;Inputs!$B$4-Inputs!$B$8,I894&lt;=Inputs!$B$4),1,0)</f>
        <v>0</v>
      </c>
      <c r="AH894" s="7" t="n">
        <f aca="false">I894-H894</f>
        <v>273</v>
      </c>
    </row>
    <row r="895" customFormat="false" ht="15" hidden="false" customHeight="false" outlineLevel="0" collapsed="false">
      <c r="A895" s="16" t="s">
        <v>2481</v>
      </c>
      <c r="B895" s="16" t="s">
        <v>68</v>
      </c>
      <c r="C895" s="16" t="s">
        <v>2482</v>
      </c>
      <c r="D895" s="16" t="s">
        <v>167</v>
      </c>
      <c r="E895" s="16" t="s">
        <v>531</v>
      </c>
      <c r="F895" s="26" t="n">
        <v>1655000</v>
      </c>
      <c r="G895" s="25" t="n">
        <v>0</v>
      </c>
      <c r="H895" s="22" t="n">
        <v>46090</v>
      </c>
      <c r="I895" s="22" t="n">
        <v>46177</v>
      </c>
      <c r="J895" s="22" t="n">
        <v>46177</v>
      </c>
      <c r="K895" s="16" t="s">
        <v>600</v>
      </c>
      <c r="L895" s="16" t="s">
        <v>584</v>
      </c>
      <c r="M895" s="16"/>
      <c r="N895" s="16"/>
      <c r="O895" s="7" t="n">
        <f aca="false">IF(OR(E895="Closed Won",E895="Closed Lost"),0,1)</f>
        <v>0</v>
      </c>
      <c r="P895" s="17" t="str">
        <f aca="false">INDEX(Accounts!$K$5:$K$336,MATCH(B895,Accounts!$A$5:$A$336,0))</f>
        <v>Financial Services</v>
      </c>
      <c r="Q895" s="17" t="str">
        <f aca="false">INDEX(Accounts!$D$5:$D$336,MATCH(B895,Accounts!$A$5:$A$336,0))</f>
        <v>Priority</v>
      </c>
      <c r="R895" s="7" t="n">
        <f aca="false">INDEX(Inputs!$B$11:$B$16,MATCH(E895,Inputs!$A$11:$A$16,0))</f>
        <v>0</v>
      </c>
      <c r="S895" s="27" t="n">
        <f aca="false">IF(F895="",0,F895)*R895/100</f>
        <v>0</v>
      </c>
      <c r="T895" s="7" t="n">
        <f aca="false">Inputs!$B$4-J895</f>
        <v>137</v>
      </c>
      <c r="U895" s="7" t="n">
        <f aca="false">IF(OR(F895="",F895=0),1,0)</f>
        <v>0</v>
      </c>
      <c r="V895" s="7" t="n">
        <f aca="false">IF(K895="",1,0)</f>
        <v>0</v>
      </c>
      <c r="W895" s="7" t="n">
        <f aca="false">IF(AND(O895=1,K895&lt;&gt;"",COUNTIFS(Owners!$A$5:$A$32,K895,Owners!$E$5:$E$32,"No")&gt;0),1,0)</f>
        <v>0</v>
      </c>
      <c r="X895" s="7" t="n">
        <f aca="false">IF(AND(O895=1,I895&lt;Inputs!$B$4),1,0)</f>
        <v>0</v>
      </c>
      <c r="Y895" s="7" t="n">
        <f aca="false">IF(AND(O895=1,T895&gt;Inputs!$B$5),1,0)</f>
        <v>0</v>
      </c>
      <c r="Z895" s="7" t="n">
        <f aca="false">IF(AND(O895=1,G895&lt;&gt;R895),1,0)</f>
        <v>0</v>
      </c>
      <c r="AA895" s="7" t="n">
        <f aca="false">IF(AND(O895=1,M895=""),1,0)</f>
        <v>0</v>
      </c>
      <c r="AB895" s="7" t="n">
        <f aca="false">IF(AND(E895="Closed Lost",N895=""),1,0)</f>
        <v>1</v>
      </c>
      <c r="AC895" s="7" t="n">
        <f aca="false">SUM(U895:AB895)</f>
        <v>1</v>
      </c>
      <c r="AD895" s="7" t="n">
        <f aca="false">IF(AC895=0,1,0)</f>
        <v>0</v>
      </c>
      <c r="AE895" s="7" t="n">
        <f aca="false">IF(AND(O895=1,I895&gt;=Inputs!$B$6,I895&lt;=Inputs!$B$7),1,0)</f>
        <v>0</v>
      </c>
      <c r="AF895" s="7" t="n">
        <f aca="false">IF(AND(E895="Closed Won",I895&gt;=Inputs!$B$6,I895&lt;=Inputs!$B$4),1,0)</f>
        <v>0</v>
      </c>
      <c r="AG895" s="7" t="n">
        <f aca="false">IF(AND(O895=0,I895&gt;Inputs!$B$4-Inputs!$B$8,I895&lt;=Inputs!$B$4),1,0)</f>
        <v>1</v>
      </c>
      <c r="AH895" s="7" t="n">
        <f aca="false">I895-H895</f>
        <v>87</v>
      </c>
    </row>
    <row r="896" customFormat="false" ht="15" hidden="false" customHeight="false" outlineLevel="0" collapsed="false">
      <c r="A896" s="16" t="s">
        <v>2483</v>
      </c>
      <c r="B896" s="16" t="s">
        <v>58</v>
      </c>
      <c r="C896" s="16" t="s">
        <v>2484</v>
      </c>
      <c r="D896" s="16" t="s">
        <v>158</v>
      </c>
      <c r="E896" s="16" t="s">
        <v>531</v>
      </c>
      <c r="F896" s="26" t="n">
        <v>86886000</v>
      </c>
      <c r="G896" s="25" t="n">
        <v>0</v>
      </c>
      <c r="H896" s="22" t="n">
        <v>45974</v>
      </c>
      <c r="I896" s="22" t="n">
        <v>46072</v>
      </c>
      <c r="J896" s="22" t="n">
        <v>46072</v>
      </c>
      <c r="K896" s="16" t="s">
        <v>654</v>
      </c>
      <c r="L896" s="16" t="s">
        <v>584</v>
      </c>
      <c r="M896" s="16"/>
      <c r="N896" s="16" t="s">
        <v>597</v>
      </c>
      <c r="O896" s="7" t="n">
        <f aca="false">IF(OR(E896="Closed Won",E896="Closed Lost"),0,1)</f>
        <v>0</v>
      </c>
      <c r="P896" s="17" t="str">
        <f aca="false">INDEX(Accounts!$K$5:$K$336,MATCH(B896,Accounts!$A$5:$A$336,0))</f>
        <v>Financial Services</v>
      </c>
      <c r="Q896" s="17" t="str">
        <f aca="false">INDEX(Accounts!$D$5:$D$336,MATCH(B896,Accounts!$A$5:$A$336,0))</f>
        <v>Priority</v>
      </c>
      <c r="R896" s="7" t="n">
        <f aca="false">INDEX(Inputs!$B$11:$B$16,MATCH(E896,Inputs!$A$11:$A$16,0))</f>
        <v>0</v>
      </c>
      <c r="S896" s="27" t="n">
        <f aca="false">IF(F896="",0,F896)*R896/100</f>
        <v>0</v>
      </c>
      <c r="T896" s="7" t="n">
        <f aca="false">Inputs!$B$4-J896</f>
        <v>242</v>
      </c>
      <c r="U896" s="7" t="n">
        <f aca="false">IF(OR(F896="",F896=0),1,0)</f>
        <v>0</v>
      </c>
      <c r="V896" s="7" t="n">
        <f aca="false">IF(K896="",1,0)</f>
        <v>0</v>
      </c>
      <c r="W896" s="7" t="n">
        <f aca="false">IF(AND(O896=1,K896&lt;&gt;"",COUNTIFS(Owners!$A$5:$A$32,K896,Owners!$E$5:$E$32,"No")&gt;0),1,0)</f>
        <v>0</v>
      </c>
      <c r="X896" s="7" t="n">
        <f aca="false">IF(AND(O896=1,I896&lt;Inputs!$B$4),1,0)</f>
        <v>0</v>
      </c>
      <c r="Y896" s="7" t="n">
        <f aca="false">IF(AND(O896=1,T896&gt;Inputs!$B$5),1,0)</f>
        <v>0</v>
      </c>
      <c r="Z896" s="7" t="n">
        <f aca="false">IF(AND(O896=1,G896&lt;&gt;R896),1,0)</f>
        <v>0</v>
      </c>
      <c r="AA896" s="7" t="n">
        <f aca="false">IF(AND(O896=1,M896=""),1,0)</f>
        <v>0</v>
      </c>
      <c r="AB896" s="7" t="n">
        <f aca="false">IF(AND(E896="Closed Lost",N896=""),1,0)</f>
        <v>0</v>
      </c>
      <c r="AC896" s="7" t="n">
        <f aca="false">SUM(U896:AB896)</f>
        <v>0</v>
      </c>
      <c r="AD896" s="7" t="n">
        <f aca="false">IF(AC896=0,1,0)</f>
        <v>1</v>
      </c>
      <c r="AE896" s="7" t="n">
        <f aca="false">IF(AND(O896=1,I896&gt;=Inputs!$B$6,I896&lt;=Inputs!$B$7),1,0)</f>
        <v>0</v>
      </c>
      <c r="AF896" s="7" t="n">
        <f aca="false">IF(AND(E896="Closed Won",I896&gt;=Inputs!$B$6,I896&lt;=Inputs!$B$4),1,0)</f>
        <v>0</v>
      </c>
      <c r="AG896" s="7" t="n">
        <f aca="false">IF(AND(O896=0,I896&gt;Inputs!$B$4-Inputs!$B$8,I896&lt;=Inputs!$B$4),1,0)</f>
        <v>1</v>
      </c>
      <c r="AH896" s="7" t="n">
        <f aca="false">I896-H896</f>
        <v>98</v>
      </c>
    </row>
    <row r="897" customFormat="false" ht="15" hidden="false" customHeight="false" outlineLevel="0" collapsed="false">
      <c r="A897" s="16" t="s">
        <v>2485</v>
      </c>
      <c r="B897" s="16" t="s">
        <v>397</v>
      </c>
      <c r="C897" s="16" t="s">
        <v>2486</v>
      </c>
      <c r="D897" s="16" t="s">
        <v>167</v>
      </c>
      <c r="E897" s="16" t="s">
        <v>531</v>
      </c>
      <c r="F897" s="26" t="n">
        <v>9688000</v>
      </c>
      <c r="G897" s="25" t="n">
        <v>0</v>
      </c>
      <c r="H897" s="22" t="n">
        <v>46106</v>
      </c>
      <c r="I897" s="22" t="n">
        <v>46247</v>
      </c>
      <c r="J897" s="22" t="n">
        <v>46247</v>
      </c>
      <c r="K897" s="16" t="s">
        <v>600</v>
      </c>
      <c r="L897" s="16" t="s">
        <v>568</v>
      </c>
      <c r="M897" s="16"/>
      <c r="N897" s="16" t="s">
        <v>597</v>
      </c>
      <c r="O897" s="7" t="n">
        <f aca="false">IF(OR(E897="Closed Won",E897="Closed Lost"),0,1)</f>
        <v>0</v>
      </c>
      <c r="P897" s="17" t="str">
        <f aca="false">INDEX(Accounts!$K$5:$K$336,MATCH(B897,Accounts!$A$5:$A$336,0))</f>
        <v>Technology, Media &amp; Telecom</v>
      </c>
      <c r="Q897" s="17" t="str">
        <f aca="false">INDEX(Accounts!$D$5:$D$336,MATCH(B897,Accounts!$A$5:$A$336,0))</f>
        <v>Key</v>
      </c>
      <c r="R897" s="7" t="n">
        <f aca="false">INDEX(Inputs!$B$11:$B$16,MATCH(E897,Inputs!$A$11:$A$16,0))</f>
        <v>0</v>
      </c>
      <c r="S897" s="27" t="n">
        <f aca="false">IF(F897="",0,F897)*R897/100</f>
        <v>0</v>
      </c>
      <c r="T897" s="7" t="n">
        <f aca="false">Inputs!$B$4-J897</f>
        <v>67</v>
      </c>
      <c r="U897" s="7" t="n">
        <f aca="false">IF(OR(F897="",F897=0),1,0)</f>
        <v>0</v>
      </c>
      <c r="V897" s="7" t="n">
        <f aca="false">IF(K897="",1,0)</f>
        <v>0</v>
      </c>
      <c r="W897" s="7" t="n">
        <f aca="false">IF(AND(O897=1,K897&lt;&gt;"",COUNTIFS(Owners!$A$5:$A$32,K897,Owners!$E$5:$E$32,"No")&gt;0),1,0)</f>
        <v>0</v>
      </c>
      <c r="X897" s="7" t="n">
        <f aca="false">IF(AND(O897=1,I897&lt;Inputs!$B$4),1,0)</f>
        <v>0</v>
      </c>
      <c r="Y897" s="7" t="n">
        <f aca="false">IF(AND(O897=1,T897&gt;Inputs!$B$5),1,0)</f>
        <v>0</v>
      </c>
      <c r="Z897" s="7" t="n">
        <f aca="false">IF(AND(O897=1,G897&lt;&gt;R897),1,0)</f>
        <v>0</v>
      </c>
      <c r="AA897" s="7" t="n">
        <f aca="false">IF(AND(O897=1,M897=""),1,0)</f>
        <v>0</v>
      </c>
      <c r="AB897" s="7" t="n">
        <f aca="false">IF(AND(E897="Closed Lost",N897=""),1,0)</f>
        <v>0</v>
      </c>
      <c r="AC897" s="7" t="n">
        <f aca="false">SUM(U897:AB897)</f>
        <v>0</v>
      </c>
      <c r="AD897" s="7" t="n">
        <f aca="false">IF(AC897=0,1,0)</f>
        <v>1</v>
      </c>
      <c r="AE897" s="7" t="n">
        <f aca="false">IF(AND(O897=1,I897&gt;=Inputs!$B$6,I897&lt;=Inputs!$B$7),1,0)</f>
        <v>0</v>
      </c>
      <c r="AF897" s="7" t="n">
        <f aca="false">IF(AND(E897="Closed Won",I897&gt;=Inputs!$B$6,I897&lt;=Inputs!$B$4),1,0)</f>
        <v>0</v>
      </c>
      <c r="AG897" s="7" t="n">
        <f aca="false">IF(AND(O897=0,I897&gt;Inputs!$B$4-Inputs!$B$8,I897&lt;=Inputs!$B$4),1,0)</f>
        <v>1</v>
      </c>
      <c r="AH897" s="7" t="n">
        <f aca="false">I897-H897</f>
        <v>141</v>
      </c>
    </row>
    <row r="898" customFormat="false" ht="15" hidden="false" customHeight="false" outlineLevel="0" collapsed="false">
      <c r="A898" s="16" t="s">
        <v>2487</v>
      </c>
      <c r="B898" s="16" t="s">
        <v>2488</v>
      </c>
      <c r="C898" s="16" t="s">
        <v>2489</v>
      </c>
      <c r="D898" s="16" t="s">
        <v>158</v>
      </c>
      <c r="E898" s="16" t="s">
        <v>527</v>
      </c>
      <c r="F898" s="26" t="n">
        <v>8235000</v>
      </c>
      <c r="G898" s="25" t="n">
        <v>25</v>
      </c>
      <c r="H898" s="22" t="n">
        <v>46142</v>
      </c>
      <c r="I898" s="22" t="n">
        <v>46302</v>
      </c>
      <c r="J898" s="22" t="n">
        <v>46280</v>
      </c>
      <c r="K898" s="16" t="s">
        <v>640</v>
      </c>
      <c r="L898" s="16" t="s">
        <v>500</v>
      </c>
      <c r="M898" s="16" t="s">
        <v>569</v>
      </c>
      <c r="N898" s="16"/>
      <c r="O898" s="7" t="n">
        <f aca="false">IF(OR(E898="Closed Won",E898="Closed Lost"),0,1)</f>
        <v>1</v>
      </c>
      <c r="P898" s="17" t="str">
        <f aca="false">INDEX(Accounts!$K$5:$K$336,MATCH(B898,Accounts!$A$5:$A$336,0))</f>
        <v>Real Estate &amp; Infrastructure</v>
      </c>
      <c r="Q898" s="17" t="str">
        <f aca="false">INDEX(Accounts!$D$5:$D$336,MATCH(B898,Accounts!$A$5:$A$336,0))</f>
        <v>Standard</v>
      </c>
      <c r="R898" s="7" t="n">
        <f aca="false">INDEX(Inputs!$B$11:$B$16,MATCH(E898,Inputs!$A$11:$A$16,0))</f>
        <v>25</v>
      </c>
      <c r="S898" s="27" t="n">
        <f aca="false">IF(F898="",0,F898)*R898/100</f>
        <v>2058750</v>
      </c>
      <c r="T898" s="7" t="n">
        <f aca="false">Inputs!$B$4-J898</f>
        <v>34</v>
      </c>
      <c r="U898" s="7" t="n">
        <f aca="false">IF(OR(F898="",F898=0),1,0)</f>
        <v>0</v>
      </c>
      <c r="V898" s="7" t="n">
        <f aca="false">IF(K898="",1,0)</f>
        <v>0</v>
      </c>
      <c r="W898" s="7" t="n">
        <f aca="false">IF(AND(O898=1,K898&lt;&gt;"",COUNTIFS(Owners!$A$5:$A$32,K898,Owners!$E$5:$E$32,"No")&gt;0),1,0)</f>
        <v>0</v>
      </c>
      <c r="X898" s="7" t="n">
        <f aca="false">IF(AND(O898=1,I898&lt;Inputs!$B$4),1,0)</f>
        <v>1</v>
      </c>
      <c r="Y898" s="7" t="n">
        <f aca="false">IF(AND(O898=1,T898&gt;Inputs!$B$5),1,0)</f>
        <v>0</v>
      </c>
      <c r="Z898" s="7" t="n">
        <f aca="false">IF(AND(O898=1,G898&lt;&gt;R898),1,0)</f>
        <v>0</v>
      </c>
      <c r="AA898" s="7" t="n">
        <f aca="false">IF(AND(O898=1,M898=""),1,0)</f>
        <v>0</v>
      </c>
      <c r="AB898" s="7" t="n">
        <f aca="false">IF(AND(E898="Closed Lost",N898=""),1,0)</f>
        <v>0</v>
      </c>
      <c r="AC898" s="7" t="n">
        <f aca="false">SUM(U898:AB898)</f>
        <v>1</v>
      </c>
      <c r="AD898" s="7" t="n">
        <f aca="false">IF(AC898=0,1,0)</f>
        <v>0</v>
      </c>
      <c r="AE898" s="7" t="n">
        <f aca="false">IF(AND(O898=1,I898&gt;=Inputs!$B$6,I898&lt;=Inputs!$B$7),1,0)</f>
        <v>1</v>
      </c>
      <c r="AF898" s="7" t="n">
        <f aca="false">IF(AND(E898="Closed Won",I898&gt;=Inputs!$B$6,I898&lt;=Inputs!$B$4),1,0)</f>
        <v>0</v>
      </c>
      <c r="AG898" s="7" t="n">
        <f aca="false">IF(AND(O898=0,I898&gt;Inputs!$B$4-Inputs!$B$8,I898&lt;=Inputs!$B$4),1,0)</f>
        <v>0</v>
      </c>
      <c r="AH898" s="7" t="n">
        <f aca="false">I898-H898</f>
        <v>160</v>
      </c>
    </row>
    <row r="899" customFormat="false" ht="15" hidden="false" customHeight="false" outlineLevel="0" collapsed="false">
      <c r="A899" s="16" t="s">
        <v>2490</v>
      </c>
      <c r="B899" s="16" t="s">
        <v>2468</v>
      </c>
      <c r="C899" s="16" t="s">
        <v>2491</v>
      </c>
      <c r="D899" s="16" t="s">
        <v>165</v>
      </c>
      <c r="E899" s="16" t="s">
        <v>527</v>
      </c>
      <c r="F899" s="26" t="n">
        <v>27319000</v>
      </c>
      <c r="G899" s="25" t="n">
        <v>25</v>
      </c>
      <c r="H899" s="22" t="n">
        <v>46177</v>
      </c>
      <c r="I899" s="22" t="n">
        <v>46570</v>
      </c>
      <c r="J899" s="22" t="n">
        <v>46140</v>
      </c>
      <c r="K899" s="16" t="s">
        <v>663</v>
      </c>
      <c r="L899" s="16" t="s">
        <v>584</v>
      </c>
      <c r="M899" s="16" t="s">
        <v>575</v>
      </c>
      <c r="N899" s="16"/>
      <c r="O899" s="7" t="n">
        <f aca="false">IF(OR(E899="Closed Won",E899="Closed Lost"),0,1)</f>
        <v>1</v>
      </c>
      <c r="P899" s="17" t="str">
        <f aca="false">INDEX(Accounts!$K$5:$K$336,MATCH(B899,Accounts!$A$5:$A$336,0))</f>
        <v>Health</v>
      </c>
      <c r="Q899" s="17" t="str">
        <f aca="false">INDEX(Accounts!$D$5:$D$336,MATCH(B899,Accounts!$A$5:$A$336,0))</f>
        <v>Standard</v>
      </c>
      <c r="R899" s="7" t="n">
        <f aca="false">INDEX(Inputs!$B$11:$B$16,MATCH(E899,Inputs!$A$11:$A$16,0))</f>
        <v>25</v>
      </c>
      <c r="S899" s="27" t="n">
        <f aca="false">IF(F899="",0,F899)*R899/100</f>
        <v>6829750</v>
      </c>
      <c r="T899" s="7" t="n">
        <f aca="false">Inputs!$B$4-J899</f>
        <v>174</v>
      </c>
      <c r="U899" s="7" t="n">
        <f aca="false">IF(OR(F899="",F899=0),1,0)</f>
        <v>0</v>
      </c>
      <c r="V899" s="7" t="n">
        <f aca="false">IF(K899="",1,0)</f>
        <v>0</v>
      </c>
      <c r="W899" s="7" t="n">
        <f aca="false">IF(AND(O899=1,K899&lt;&gt;"",COUNTIFS(Owners!$A$5:$A$32,K899,Owners!$E$5:$E$32,"No")&gt;0),1,0)</f>
        <v>0</v>
      </c>
      <c r="X899" s="7" t="n">
        <f aca="false">IF(AND(O899=1,I899&lt;Inputs!$B$4),1,0)</f>
        <v>0</v>
      </c>
      <c r="Y899" s="7" t="n">
        <f aca="false">IF(AND(O899=1,T899&gt;Inputs!$B$5),1,0)</f>
        <v>1</v>
      </c>
      <c r="Z899" s="7" t="n">
        <f aca="false">IF(AND(O899=1,G899&lt;&gt;R899),1,0)</f>
        <v>0</v>
      </c>
      <c r="AA899" s="7" t="n">
        <f aca="false">IF(AND(O899=1,M899=""),1,0)</f>
        <v>0</v>
      </c>
      <c r="AB899" s="7" t="n">
        <f aca="false">IF(AND(E899="Closed Lost",N899=""),1,0)</f>
        <v>0</v>
      </c>
      <c r="AC899" s="7" t="n">
        <f aca="false">SUM(U899:AB899)</f>
        <v>1</v>
      </c>
      <c r="AD899" s="7" t="n">
        <f aca="false">IF(AC899=0,1,0)</f>
        <v>0</v>
      </c>
      <c r="AE899" s="7" t="n">
        <f aca="false">IF(AND(O899=1,I899&gt;=Inputs!$B$6,I899&lt;=Inputs!$B$7),1,0)</f>
        <v>0</v>
      </c>
      <c r="AF899" s="7" t="n">
        <f aca="false">IF(AND(E899="Closed Won",I899&gt;=Inputs!$B$6,I899&lt;=Inputs!$B$4),1,0)</f>
        <v>0</v>
      </c>
      <c r="AG899" s="7" t="n">
        <f aca="false">IF(AND(O899=0,I899&gt;Inputs!$B$4-Inputs!$B$8,I899&lt;=Inputs!$B$4),1,0)</f>
        <v>0</v>
      </c>
      <c r="AH899" s="7" t="n">
        <f aca="false">I899-H899</f>
        <v>393</v>
      </c>
    </row>
    <row r="900" customFormat="false" ht="15" hidden="false" customHeight="false" outlineLevel="0" collapsed="false">
      <c r="A900" s="16" t="s">
        <v>2492</v>
      </c>
      <c r="B900" s="16" t="s">
        <v>63</v>
      </c>
      <c r="C900" s="16" t="s">
        <v>2493</v>
      </c>
      <c r="D900" s="16" t="s">
        <v>177</v>
      </c>
      <c r="E900" s="16" t="s">
        <v>526</v>
      </c>
      <c r="F900" s="26" t="n">
        <v>36684000</v>
      </c>
      <c r="G900" s="25" t="n">
        <v>10</v>
      </c>
      <c r="H900" s="22" t="n">
        <v>46197</v>
      </c>
      <c r="I900" s="22" t="n">
        <v>46382</v>
      </c>
      <c r="J900" s="22" t="n">
        <v>46277</v>
      </c>
      <c r="K900" s="16" t="s">
        <v>573</v>
      </c>
      <c r="L900" s="16" t="s">
        <v>592</v>
      </c>
      <c r="M900" s="16" t="s">
        <v>593</v>
      </c>
      <c r="N900" s="16"/>
      <c r="O900" s="7" t="n">
        <f aca="false">IF(OR(E900="Closed Won",E900="Closed Lost"),0,1)</f>
        <v>1</v>
      </c>
      <c r="P900" s="17" t="str">
        <f aca="false">INDEX(Accounts!$K$5:$K$336,MATCH(B900,Accounts!$A$5:$A$336,0))</f>
        <v>Public Sector &amp; Development</v>
      </c>
      <c r="Q900" s="17" t="str">
        <f aca="false">INDEX(Accounts!$D$5:$D$336,MATCH(B900,Accounts!$A$5:$A$336,0))</f>
        <v>Priority</v>
      </c>
      <c r="R900" s="7" t="n">
        <f aca="false">INDEX(Inputs!$B$11:$B$16,MATCH(E900,Inputs!$A$11:$A$16,0))</f>
        <v>10</v>
      </c>
      <c r="S900" s="27" t="n">
        <f aca="false">IF(F900="",0,F900)*R900/100</f>
        <v>3668400</v>
      </c>
      <c r="T900" s="7" t="n">
        <f aca="false">Inputs!$B$4-J900</f>
        <v>37</v>
      </c>
      <c r="U900" s="7" t="n">
        <f aca="false">IF(OR(F900="",F900=0),1,0)</f>
        <v>0</v>
      </c>
      <c r="V900" s="7" t="n">
        <f aca="false">IF(K900="",1,0)</f>
        <v>0</v>
      </c>
      <c r="W900" s="7" t="n">
        <f aca="false">IF(AND(O900=1,K900&lt;&gt;"",COUNTIFS(Owners!$A$5:$A$32,K900,Owners!$E$5:$E$32,"No")&gt;0),1,0)</f>
        <v>0</v>
      </c>
      <c r="X900" s="7" t="n">
        <f aca="false">IF(AND(O900=1,I900&lt;Inputs!$B$4),1,0)</f>
        <v>0</v>
      </c>
      <c r="Y900" s="7" t="n">
        <f aca="false">IF(AND(O900=1,T900&gt;Inputs!$B$5),1,0)</f>
        <v>0</v>
      </c>
      <c r="Z900" s="7" t="n">
        <f aca="false">IF(AND(O900=1,G900&lt;&gt;R900),1,0)</f>
        <v>0</v>
      </c>
      <c r="AA900" s="7" t="n">
        <f aca="false">IF(AND(O900=1,M900=""),1,0)</f>
        <v>0</v>
      </c>
      <c r="AB900" s="7" t="n">
        <f aca="false">IF(AND(E900="Closed Lost",N900=""),1,0)</f>
        <v>0</v>
      </c>
      <c r="AC900" s="7" t="n">
        <f aca="false">SUM(U900:AB900)</f>
        <v>0</v>
      </c>
      <c r="AD900" s="7" t="n">
        <f aca="false">IF(AC900=0,1,0)</f>
        <v>1</v>
      </c>
      <c r="AE900" s="7" t="n">
        <f aca="false">IF(AND(O900=1,I900&gt;=Inputs!$B$6,I900&lt;=Inputs!$B$7),1,0)</f>
        <v>1</v>
      </c>
      <c r="AF900" s="7" t="n">
        <f aca="false">IF(AND(E900="Closed Won",I900&gt;=Inputs!$B$6,I900&lt;=Inputs!$B$4),1,0)</f>
        <v>0</v>
      </c>
      <c r="AG900" s="7" t="n">
        <f aca="false">IF(AND(O900=0,I900&gt;Inputs!$B$4-Inputs!$B$8,I900&lt;=Inputs!$B$4),1,0)</f>
        <v>0</v>
      </c>
      <c r="AH900" s="7" t="n">
        <f aca="false">I900-H900</f>
        <v>185</v>
      </c>
    </row>
    <row r="901" customFormat="false" ht="15" hidden="false" customHeight="false" outlineLevel="0" collapsed="false">
      <c r="A901" s="16" t="s">
        <v>2494</v>
      </c>
      <c r="B901" s="16" t="s">
        <v>2106</v>
      </c>
      <c r="C901" s="16" t="s">
        <v>2495</v>
      </c>
      <c r="D901" s="16" t="s">
        <v>165</v>
      </c>
      <c r="E901" s="16" t="s">
        <v>528</v>
      </c>
      <c r="F901" s="26" t="n">
        <v>6911000</v>
      </c>
      <c r="G901" s="25" t="n">
        <v>50</v>
      </c>
      <c r="H901" s="22" t="n">
        <v>46239</v>
      </c>
      <c r="I901" s="22" t="n">
        <v>46301</v>
      </c>
      <c r="J901" s="22" t="n">
        <v>46226</v>
      </c>
      <c r="K901" s="16" t="s">
        <v>588</v>
      </c>
      <c r="L901" s="16" t="s">
        <v>609</v>
      </c>
      <c r="M901" s="16" t="s">
        <v>575</v>
      </c>
      <c r="N901" s="16"/>
      <c r="O901" s="7" t="n">
        <f aca="false">IF(OR(E901="Closed Won",E901="Closed Lost"),0,1)</f>
        <v>1</v>
      </c>
      <c r="P901" s="17" t="str">
        <f aca="false">INDEX(Accounts!$K$5:$K$336,MATCH(B901,Accounts!$A$5:$A$336,0))</f>
        <v>Technology, Media &amp; Telecom</v>
      </c>
      <c r="Q901" s="17" t="str">
        <f aca="false">INDEX(Accounts!$D$5:$D$336,MATCH(B901,Accounts!$A$5:$A$336,0))</f>
        <v>Standard</v>
      </c>
      <c r="R901" s="7" t="n">
        <f aca="false">INDEX(Inputs!$B$11:$B$16,MATCH(E901,Inputs!$A$11:$A$16,0))</f>
        <v>50</v>
      </c>
      <c r="S901" s="27" t="n">
        <f aca="false">IF(F901="",0,F901)*R901/100</f>
        <v>3455500</v>
      </c>
      <c r="T901" s="7" t="n">
        <f aca="false">Inputs!$B$4-J901</f>
        <v>88</v>
      </c>
      <c r="U901" s="7" t="n">
        <f aca="false">IF(OR(F901="",F901=0),1,0)</f>
        <v>0</v>
      </c>
      <c r="V901" s="7" t="n">
        <f aca="false">IF(K901="",1,0)</f>
        <v>0</v>
      </c>
      <c r="W901" s="7" t="n">
        <f aca="false">IF(AND(O901=1,K901&lt;&gt;"",COUNTIFS(Owners!$A$5:$A$32,K901,Owners!$E$5:$E$32,"No")&gt;0),1,0)</f>
        <v>0</v>
      </c>
      <c r="X901" s="7" t="n">
        <f aca="false">IF(AND(O901=1,I901&lt;Inputs!$B$4),1,0)</f>
        <v>1</v>
      </c>
      <c r="Y901" s="7" t="n">
        <f aca="false">IF(AND(O901=1,T901&gt;Inputs!$B$5),1,0)</f>
        <v>1</v>
      </c>
      <c r="Z901" s="7" t="n">
        <f aca="false">IF(AND(O901=1,G901&lt;&gt;R901),1,0)</f>
        <v>0</v>
      </c>
      <c r="AA901" s="7" t="n">
        <f aca="false">IF(AND(O901=1,M901=""),1,0)</f>
        <v>0</v>
      </c>
      <c r="AB901" s="7" t="n">
        <f aca="false">IF(AND(E901="Closed Lost",N901=""),1,0)</f>
        <v>0</v>
      </c>
      <c r="AC901" s="7" t="n">
        <f aca="false">SUM(U901:AB901)</f>
        <v>2</v>
      </c>
      <c r="AD901" s="7" t="n">
        <f aca="false">IF(AC901=0,1,0)</f>
        <v>0</v>
      </c>
      <c r="AE901" s="7" t="n">
        <f aca="false">IF(AND(O901=1,I901&gt;=Inputs!$B$6,I901&lt;=Inputs!$B$7),1,0)</f>
        <v>1</v>
      </c>
      <c r="AF901" s="7" t="n">
        <f aca="false">IF(AND(E901="Closed Won",I901&gt;=Inputs!$B$6,I901&lt;=Inputs!$B$4),1,0)</f>
        <v>0</v>
      </c>
      <c r="AG901" s="7" t="n">
        <f aca="false">IF(AND(O901=0,I901&gt;Inputs!$B$4-Inputs!$B$8,I901&lt;=Inputs!$B$4),1,0)</f>
        <v>0</v>
      </c>
      <c r="AH901" s="7" t="n">
        <f aca="false">I901-H901</f>
        <v>62</v>
      </c>
    </row>
    <row r="902" customFormat="false" ht="15" hidden="false" customHeight="false" outlineLevel="0" collapsed="false">
      <c r="A902" s="16" t="s">
        <v>2496</v>
      </c>
      <c r="B902" s="16" t="s">
        <v>422</v>
      </c>
      <c r="C902" s="16" t="s">
        <v>2497</v>
      </c>
      <c r="D902" s="16" t="s">
        <v>165</v>
      </c>
      <c r="E902" s="16" t="s">
        <v>529</v>
      </c>
      <c r="F902" s="26" t="n">
        <v>27617000</v>
      </c>
      <c r="G902" s="25" t="n">
        <v>75</v>
      </c>
      <c r="H902" s="22" t="n">
        <v>46070</v>
      </c>
      <c r="I902" s="22" t="n">
        <v>46372</v>
      </c>
      <c r="J902" s="22" t="n">
        <v>46224</v>
      </c>
      <c r="K902" s="16" t="s">
        <v>729</v>
      </c>
      <c r="L902" s="16" t="s">
        <v>500</v>
      </c>
      <c r="M902" s="16" t="s">
        <v>569</v>
      </c>
      <c r="N902" s="16"/>
      <c r="O902" s="7" t="n">
        <f aca="false">IF(OR(E902="Closed Won",E902="Closed Lost"),0,1)</f>
        <v>1</v>
      </c>
      <c r="P902" s="17" t="str">
        <f aca="false">INDEX(Accounts!$K$5:$K$336,MATCH(B902,Accounts!$A$5:$A$336,0))</f>
        <v>Real Estate &amp; Infrastructure</v>
      </c>
      <c r="Q902" s="17" t="str">
        <f aca="false">INDEX(Accounts!$D$5:$D$336,MATCH(B902,Accounts!$A$5:$A$336,0))</f>
        <v>Standard</v>
      </c>
      <c r="R902" s="7" t="n">
        <f aca="false">INDEX(Inputs!$B$11:$B$16,MATCH(E902,Inputs!$A$11:$A$16,0))</f>
        <v>75</v>
      </c>
      <c r="S902" s="27" t="n">
        <f aca="false">IF(F902="",0,F902)*R902/100</f>
        <v>20712750</v>
      </c>
      <c r="T902" s="7" t="n">
        <f aca="false">Inputs!$B$4-J902</f>
        <v>90</v>
      </c>
      <c r="U902" s="7" t="n">
        <f aca="false">IF(OR(F902="",F902=0),1,0)</f>
        <v>0</v>
      </c>
      <c r="V902" s="7" t="n">
        <f aca="false">IF(K902="",1,0)</f>
        <v>0</v>
      </c>
      <c r="W902" s="7" t="n">
        <f aca="false">IF(AND(O902=1,K902&lt;&gt;"",COUNTIFS(Owners!$A$5:$A$32,K902,Owners!$E$5:$E$32,"No")&gt;0),1,0)</f>
        <v>0</v>
      </c>
      <c r="X902" s="7" t="n">
        <f aca="false">IF(AND(O902=1,I902&lt;Inputs!$B$4),1,0)</f>
        <v>0</v>
      </c>
      <c r="Y902" s="7" t="n">
        <f aca="false">IF(AND(O902=1,T902&gt;Inputs!$B$5),1,0)</f>
        <v>1</v>
      </c>
      <c r="Z902" s="7" t="n">
        <f aca="false">IF(AND(O902=1,G902&lt;&gt;R902),1,0)</f>
        <v>0</v>
      </c>
      <c r="AA902" s="7" t="n">
        <f aca="false">IF(AND(O902=1,M902=""),1,0)</f>
        <v>0</v>
      </c>
      <c r="AB902" s="7" t="n">
        <f aca="false">IF(AND(E902="Closed Lost",N902=""),1,0)</f>
        <v>0</v>
      </c>
      <c r="AC902" s="7" t="n">
        <f aca="false">SUM(U902:AB902)</f>
        <v>1</v>
      </c>
      <c r="AD902" s="7" t="n">
        <f aca="false">IF(AC902=0,1,0)</f>
        <v>0</v>
      </c>
      <c r="AE902" s="7" t="n">
        <f aca="false">IF(AND(O902=1,I902&gt;=Inputs!$B$6,I902&lt;=Inputs!$B$7),1,0)</f>
        <v>1</v>
      </c>
      <c r="AF902" s="7" t="n">
        <f aca="false">IF(AND(E902="Closed Won",I902&gt;=Inputs!$B$6,I902&lt;=Inputs!$B$4),1,0)</f>
        <v>0</v>
      </c>
      <c r="AG902" s="7" t="n">
        <f aca="false">IF(AND(O902=0,I902&gt;Inputs!$B$4-Inputs!$B$8,I902&lt;=Inputs!$B$4),1,0)</f>
        <v>0</v>
      </c>
      <c r="AH902" s="7" t="n">
        <f aca="false">I902-H902</f>
        <v>302</v>
      </c>
    </row>
    <row r="903" customFormat="false" ht="15" hidden="false" customHeight="false" outlineLevel="0" collapsed="false">
      <c r="A903" s="16" t="s">
        <v>2498</v>
      </c>
      <c r="B903" s="16" t="s">
        <v>313</v>
      </c>
      <c r="C903" s="16" t="s">
        <v>2499</v>
      </c>
      <c r="D903" s="16" t="s">
        <v>165</v>
      </c>
      <c r="E903" s="16" t="s">
        <v>531</v>
      </c>
      <c r="F903" s="26" t="n">
        <v>18661000</v>
      </c>
      <c r="G903" s="25" t="n">
        <v>0</v>
      </c>
      <c r="H903" s="22" t="n">
        <v>45918</v>
      </c>
      <c r="I903" s="22" t="n">
        <v>46037</v>
      </c>
      <c r="J903" s="22" t="n">
        <v>46037</v>
      </c>
      <c r="K903" s="16" t="s">
        <v>685</v>
      </c>
      <c r="L903" s="16" t="s">
        <v>584</v>
      </c>
      <c r="M903" s="16"/>
      <c r="N903" s="16"/>
      <c r="O903" s="7" t="n">
        <f aca="false">IF(OR(E903="Closed Won",E903="Closed Lost"),0,1)</f>
        <v>0</v>
      </c>
      <c r="P903" s="17" t="str">
        <f aca="false">INDEX(Accounts!$K$5:$K$336,MATCH(B903,Accounts!$A$5:$A$336,0))</f>
        <v>Technology, Media &amp; Telecom</v>
      </c>
      <c r="Q903" s="17" t="str">
        <f aca="false">INDEX(Accounts!$D$5:$D$336,MATCH(B903,Accounts!$A$5:$A$336,0))</f>
        <v>Standard</v>
      </c>
      <c r="R903" s="7" t="n">
        <f aca="false">INDEX(Inputs!$B$11:$B$16,MATCH(E903,Inputs!$A$11:$A$16,0))</f>
        <v>0</v>
      </c>
      <c r="S903" s="27" t="n">
        <f aca="false">IF(F903="",0,F903)*R903/100</f>
        <v>0</v>
      </c>
      <c r="T903" s="7" t="n">
        <f aca="false">Inputs!$B$4-J903</f>
        <v>277</v>
      </c>
      <c r="U903" s="7" t="n">
        <f aca="false">IF(OR(F903="",F903=0),1,0)</f>
        <v>0</v>
      </c>
      <c r="V903" s="7" t="n">
        <f aca="false">IF(K903="",1,0)</f>
        <v>0</v>
      </c>
      <c r="W903" s="7" t="n">
        <f aca="false">IF(AND(O903=1,K903&lt;&gt;"",COUNTIFS(Owners!$A$5:$A$32,K903,Owners!$E$5:$E$32,"No")&gt;0),1,0)</f>
        <v>0</v>
      </c>
      <c r="X903" s="7" t="n">
        <f aca="false">IF(AND(O903=1,I903&lt;Inputs!$B$4),1,0)</f>
        <v>0</v>
      </c>
      <c r="Y903" s="7" t="n">
        <f aca="false">IF(AND(O903=1,T903&gt;Inputs!$B$5),1,0)</f>
        <v>0</v>
      </c>
      <c r="Z903" s="7" t="n">
        <f aca="false">IF(AND(O903=1,G903&lt;&gt;R903),1,0)</f>
        <v>0</v>
      </c>
      <c r="AA903" s="7" t="n">
        <f aca="false">IF(AND(O903=1,M903=""),1,0)</f>
        <v>0</v>
      </c>
      <c r="AB903" s="7" t="n">
        <f aca="false">IF(AND(E903="Closed Lost",N903=""),1,0)</f>
        <v>1</v>
      </c>
      <c r="AC903" s="7" t="n">
        <f aca="false">SUM(U903:AB903)</f>
        <v>1</v>
      </c>
      <c r="AD903" s="7" t="n">
        <f aca="false">IF(AC903=0,1,0)</f>
        <v>0</v>
      </c>
      <c r="AE903" s="7" t="n">
        <f aca="false">IF(AND(O903=1,I903&gt;=Inputs!$B$6,I903&lt;=Inputs!$B$7),1,0)</f>
        <v>0</v>
      </c>
      <c r="AF903" s="7" t="n">
        <f aca="false">IF(AND(E903="Closed Won",I903&gt;=Inputs!$B$6,I903&lt;=Inputs!$B$4),1,0)</f>
        <v>0</v>
      </c>
      <c r="AG903" s="7" t="n">
        <f aca="false">IF(AND(O903=0,I903&gt;Inputs!$B$4-Inputs!$B$8,I903&lt;=Inputs!$B$4),1,0)</f>
        <v>1</v>
      </c>
      <c r="AH903" s="7" t="n">
        <f aca="false">I903-H903</f>
        <v>119</v>
      </c>
    </row>
    <row r="904" customFormat="false" ht="15" hidden="false" customHeight="false" outlineLevel="0" collapsed="false">
      <c r="A904" s="16" t="s">
        <v>2500</v>
      </c>
      <c r="B904" s="16" t="s">
        <v>1177</v>
      </c>
      <c r="C904" s="16" t="s">
        <v>1837</v>
      </c>
      <c r="D904" s="16" t="s">
        <v>167</v>
      </c>
      <c r="E904" s="16" t="s">
        <v>528</v>
      </c>
      <c r="F904" s="26" t="n">
        <v>4328000</v>
      </c>
      <c r="G904" s="25" t="n">
        <v>50</v>
      </c>
      <c r="H904" s="22" t="n">
        <v>46108</v>
      </c>
      <c r="I904" s="22" t="n">
        <v>46529</v>
      </c>
      <c r="J904" s="22" t="n">
        <v>46289</v>
      </c>
      <c r="K904" s="16" t="s">
        <v>677</v>
      </c>
      <c r="L904" s="16" t="s">
        <v>584</v>
      </c>
      <c r="M904" s="16" t="s">
        <v>575</v>
      </c>
      <c r="N904" s="16"/>
      <c r="O904" s="7" t="n">
        <f aca="false">IF(OR(E904="Closed Won",E904="Closed Lost"),0,1)</f>
        <v>1</v>
      </c>
      <c r="P904" s="17" t="str">
        <f aca="false">INDEX(Accounts!$K$5:$K$336,MATCH(B904,Accounts!$A$5:$A$336,0))</f>
        <v>Consumer &amp; Retail</v>
      </c>
      <c r="Q904" s="17" t="str">
        <f aca="false">INDEX(Accounts!$D$5:$D$336,MATCH(B904,Accounts!$A$5:$A$336,0))</f>
        <v>Standard</v>
      </c>
      <c r="R904" s="7" t="n">
        <f aca="false">INDEX(Inputs!$B$11:$B$16,MATCH(E904,Inputs!$A$11:$A$16,0))</f>
        <v>50</v>
      </c>
      <c r="S904" s="27" t="n">
        <f aca="false">IF(F904="",0,F904)*R904/100</f>
        <v>2164000</v>
      </c>
      <c r="T904" s="7" t="n">
        <f aca="false">Inputs!$B$4-J904</f>
        <v>25</v>
      </c>
      <c r="U904" s="7" t="n">
        <f aca="false">IF(OR(F904="",F904=0),1,0)</f>
        <v>0</v>
      </c>
      <c r="V904" s="7" t="n">
        <f aca="false">IF(K904="",1,0)</f>
        <v>0</v>
      </c>
      <c r="W904" s="7" t="n">
        <f aca="false">IF(AND(O904=1,K904&lt;&gt;"",COUNTIFS(Owners!$A$5:$A$32,K904,Owners!$E$5:$E$32,"No")&gt;0),1,0)</f>
        <v>0</v>
      </c>
      <c r="X904" s="7" t="n">
        <f aca="false">IF(AND(O904=1,I904&lt;Inputs!$B$4),1,0)</f>
        <v>0</v>
      </c>
      <c r="Y904" s="7" t="n">
        <f aca="false">IF(AND(O904=1,T904&gt;Inputs!$B$5),1,0)</f>
        <v>0</v>
      </c>
      <c r="Z904" s="7" t="n">
        <f aca="false">IF(AND(O904=1,G904&lt;&gt;R904),1,0)</f>
        <v>0</v>
      </c>
      <c r="AA904" s="7" t="n">
        <f aca="false">IF(AND(O904=1,M904=""),1,0)</f>
        <v>0</v>
      </c>
      <c r="AB904" s="7" t="n">
        <f aca="false">IF(AND(E904="Closed Lost",N904=""),1,0)</f>
        <v>0</v>
      </c>
      <c r="AC904" s="7" t="n">
        <f aca="false">SUM(U904:AB904)</f>
        <v>0</v>
      </c>
      <c r="AD904" s="7" t="n">
        <f aca="false">IF(AC904=0,1,0)</f>
        <v>1</v>
      </c>
      <c r="AE904" s="7" t="n">
        <f aca="false">IF(AND(O904=1,I904&gt;=Inputs!$B$6,I904&lt;=Inputs!$B$7),1,0)</f>
        <v>1</v>
      </c>
      <c r="AF904" s="7" t="n">
        <f aca="false">IF(AND(E904="Closed Won",I904&gt;=Inputs!$B$6,I904&lt;=Inputs!$B$4),1,0)</f>
        <v>0</v>
      </c>
      <c r="AG904" s="7" t="n">
        <f aca="false">IF(AND(O904=0,I904&gt;Inputs!$B$4-Inputs!$B$8,I904&lt;=Inputs!$B$4),1,0)</f>
        <v>0</v>
      </c>
      <c r="AH904" s="7" t="n">
        <f aca="false">I904-H904</f>
        <v>421</v>
      </c>
    </row>
    <row r="905" customFormat="false" ht="15" hidden="false" customHeight="false" outlineLevel="0" collapsed="false">
      <c r="A905" s="16" t="s">
        <v>2501</v>
      </c>
      <c r="B905" s="16" t="s">
        <v>92</v>
      </c>
      <c r="C905" s="16" t="s">
        <v>2502</v>
      </c>
      <c r="D905" s="16" t="s">
        <v>167</v>
      </c>
      <c r="E905" s="16" t="s">
        <v>531</v>
      </c>
      <c r="F905" s="26" t="n">
        <v>5108000</v>
      </c>
      <c r="G905" s="25" t="n">
        <v>0</v>
      </c>
      <c r="H905" s="22" t="n">
        <v>46015</v>
      </c>
      <c r="I905" s="22" t="n">
        <v>46278</v>
      </c>
      <c r="J905" s="22" t="n">
        <v>46278</v>
      </c>
      <c r="K905" s="16" t="s">
        <v>691</v>
      </c>
      <c r="L905" s="16" t="s">
        <v>584</v>
      </c>
      <c r="M905" s="16"/>
      <c r="N905" s="16" t="s">
        <v>713</v>
      </c>
      <c r="O905" s="7" t="n">
        <f aca="false">IF(OR(E905="Closed Won",E905="Closed Lost"),0,1)</f>
        <v>0</v>
      </c>
      <c r="P905" s="17" t="str">
        <f aca="false">INDEX(Accounts!$K$5:$K$336,MATCH(B905,Accounts!$A$5:$A$336,0))</f>
        <v>Public Sector &amp; Development</v>
      </c>
      <c r="Q905" s="17" t="str">
        <f aca="false">INDEX(Accounts!$D$5:$D$336,MATCH(B905,Accounts!$A$5:$A$336,0))</f>
        <v>Priority</v>
      </c>
      <c r="R905" s="7" t="n">
        <f aca="false">INDEX(Inputs!$B$11:$B$16,MATCH(E905,Inputs!$A$11:$A$16,0))</f>
        <v>0</v>
      </c>
      <c r="S905" s="27" t="n">
        <f aca="false">IF(F905="",0,F905)*R905/100</f>
        <v>0</v>
      </c>
      <c r="T905" s="7" t="n">
        <f aca="false">Inputs!$B$4-J905</f>
        <v>36</v>
      </c>
      <c r="U905" s="7" t="n">
        <f aca="false">IF(OR(F905="",F905=0),1,0)</f>
        <v>0</v>
      </c>
      <c r="V905" s="7" t="n">
        <f aca="false">IF(K905="",1,0)</f>
        <v>0</v>
      </c>
      <c r="W905" s="7" t="n">
        <f aca="false">IF(AND(O905=1,K905&lt;&gt;"",COUNTIFS(Owners!$A$5:$A$32,K905,Owners!$E$5:$E$32,"No")&gt;0),1,0)</f>
        <v>0</v>
      </c>
      <c r="X905" s="7" t="n">
        <f aca="false">IF(AND(O905=1,I905&lt;Inputs!$B$4),1,0)</f>
        <v>0</v>
      </c>
      <c r="Y905" s="7" t="n">
        <f aca="false">IF(AND(O905=1,T905&gt;Inputs!$B$5),1,0)</f>
        <v>0</v>
      </c>
      <c r="Z905" s="7" t="n">
        <f aca="false">IF(AND(O905=1,G905&lt;&gt;R905),1,0)</f>
        <v>0</v>
      </c>
      <c r="AA905" s="7" t="n">
        <f aca="false">IF(AND(O905=1,M905=""),1,0)</f>
        <v>0</v>
      </c>
      <c r="AB905" s="7" t="n">
        <f aca="false">IF(AND(E905="Closed Lost",N905=""),1,0)</f>
        <v>0</v>
      </c>
      <c r="AC905" s="7" t="n">
        <f aca="false">SUM(U905:AB905)</f>
        <v>0</v>
      </c>
      <c r="AD905" s="7" t="n">
        <f aca="false">IF(AC905=0,1,0)</f>
        <v>1</v>
      </c>
      <c r="AE905" s="7" t="n">
        <f aca="false">IF(AND(O905=1,I905&gt;=Inputs!$B$6,I905&lt;=Inputs!$B$7),1,0)</f>
        <v>0</v>
      </c>
      <c r="AF905" s="7" t="n">
        <f aca="false">IF(AND(E905="Closed Won",I905&gt;=Inputs!$B$6,I905&lt;=Inputs!$B$4),1,0)</f>
        <v>0</v>
      </c>
      <c r="AG905" s="7" t="n">
        <f aca="false">IF(AND(O905=0,I905&gt;Inputs!$B$4-Inputs!$B$8,I905&lt;=Inputs!$B$4),1,0)</f>
        <v>1</v>
      </c>
      <c r="AH905" s="7" t="n">
        <f aca="false">I905-H905</f>
        <v>263</v>
      </c>
    </row>
    <row r="906" customFormat="false" ht="15" hidden="false" customHeight="false" outlineLevel="0" collapsed="false">
      <c r="A906" s="16" t="s">
        <v>2503</v>
      </c>
      <c r="B906" s="16" t="s">
        <v>74</v>
      </c>
      <c r="C906" s="16" t="s">
        <v>2504</v>
      </c>
      <c r="D906" s="16" t="s">
        <v>165</v>
      </c>
      <c r="E906" s="16" t="s">
        <v>527</v>
      </c>
      <c r="F906" s="26" t="n">
        <v>46349000</v>
      </c>
      <c r="G906" s="25" t="n">
        <v>25</v>
      </c>
      <c r="H906" s="22" t="n">
        <v>46111</v>
      </c>
      <c r="I906" s="22" t="n">
        <v>46540</v>
      </c>
      <c r="J906" s="22" t="n">
        <v>46308</v>
      </c>
      <c r="K906" s="16" t="s">
        <v>880</v>
      </c>
      <c r="L906" s="16" t="s">
        <v>592</v>
      </c>
      <c r="M906" s="16" t="s">
        <v>575</v>
      </c>
      <c r="N906" s="16"/>
      <c r="O906" s="7" t="n">
        <f aca="false">IF(OR(E906="Closed Won",E906="Closed Lost"),0,1)</f>
        <v>1</v>
      </c>
      <c r="P906" s="17" t="str">
        <f aca="false">INDEX(Accounts!$K$5:$K$336,MATCH(B906,Accounts!$A$5:$A$336,0))</f>
        <v>Technology, Media &amp; Telecom</v>
      </c>
      <c r="Q906" s="17" t="str">
        <f aca="false">INDEX(Accounts!$D$5:$D$336,MATCH(B906,Accounts!$A$5:$A$336,0))</f>
        <v>Priority</v>
      </c>
      <c r="R906" s="7" t="n">
        <f aca="false">INDEX(Inputs!$B$11:$B$16,MATCH(E906,Inputs!$A$11:$A$16,0))</f>
        <v>25</v>
      </c>
      <c r="S906" s="27" t="n">
        <f aca="false">IF(F906="",0,F906)*R906/100</f>
        <v>11587250</v>
      </c>
      <c r="T906" s="7" t="n">
        <f aca="false">Inputs!$B$4-J906</f>
        <v>6</v>
      </c>
      <c r="U906" s="7" t="n">
        <f aca="false">IF(OR(F906="",F906=0),1,0)</f>
        <v>0</v>
      </c>
      <c r="V906" s="7" t="n">
        <f aca="false">IF(K906="",1,0)</f>
        <v>0</v>
      </c>
      <c r="W906" s="7" t="n">
        <f aca="false">IF(AND(O906=1,K906&lt;&gt;"",COUNTIFS(Owners!$A$5:$A$32,K906,Owners!$E$5:$E$32,"No")&gt;0),1,0)</f>
        <v>1</v>
      </c>
      <c r="X906" s="7" t="n">
        <f aca="false">IF(AND(O906=1,I906&lt;Inputs!$B$4),1,0)</f>
        <v>0</v>
      </c>
      <c r="Y906" s="7" t="n">
        <f aca="false">IF(AND(O906=1,T906&gt;Inputs!$B$5),1,0)</f>
        <v>0</v>
      </c>
      <c r="Z906" s="7" t="n">
        <f aca="false">IF(AND(O906=1,G906&lt;&gt;R906),1,0)</f>
        <v>0</v>
      </c>
      <c r="AA906" s="7" t="n">
        <f aca="false">IF(AND(O906=1,M906=""),1,0)</f>
        <v>0</v>
      </c>
      <c r="AB906" s="7" t="n">
        <f aca="false">IF(AND(E906="Closed Lost",N906=""),1,0)</f>
        <v>0</v>
      </c>
      <c r="AC906" s="7" t="n">
        <f aca="false">SUM(U906:AB906)</f>
        <v>1</v>
      </c>
      <c r="AD906" s="7" t="n">
        <f aca="false">IF(AC906=0,1,0)</f>
        <v>0</v>
      </c>
      <c r="AE906" s="7" t="n">
        <f aca="false">IF(AND(O906=1,I906&gt;=Inputs!$B$6,I906&lt;=Inputs!$B$7),1,0)</f>
        <v>1</v>
      </c>
      <c r="AF906" s="7" t="n">
        <f aca="false">IF(AND(E906="Closed Won",I906&gt;=Inputs!$B$6,I906&lt;=Inputs!$B$4),1,0)</f>
        <v>0</v>
      </c>
      <c r="AG906" s="7" t="n">
        <f aca="false">IF(AND(O906=0,I906&gt;Inputs!$B$4-Inputs!$B$8,I906&lt;=Inputs!$B$4),1,0)</f>
        <v>0</v>
      </c>
      <c r="AH906" s="7" t="n">
        <f aca="false">I906-H906</f>
        <v>429</v>
      </c>
    </row>
    <row r="907" customFormat="false" ht="15" hidden="false" customHeight="false" outlineLevel="0" collapsed="false">
      <c r="A907" s="16" t="s">
        <v>2505</v>
      </c>
      <c r="B907" s="16" t="s">
        <v>852</v>
      </c>
      <c r="C907" s="16" t="s">
        <v>2506</v>
      </c>
      <c r="D907" s="16" t="s">
        <v>162</v>
      </c>
      <c r="E907" s="16" t="s">
        <v>527</v>
      </c>
      <c r="F907" s="26" t="n">
        <v>11134000</v>
      </c>
      <c r="G907" s="25" t="n">
        <v>25</v>
      </c>
      <c r="H907" s="22" t="n">
        <v>46281</v>
      </c>
      <c r="I907" s="22" t="n">
        <v>46390</v>
      </c>
      <c r="J907" s="22" t="n">
        <v>46298</v>
      </c>
      <c r="K907" s="16" t="s">
        <v>604</v>
      </c>
      <c r="L907" s="16" t="s">
        <v>592</v>
      </c>
      <c r="M907" s="16" t="s">
        <v>569</v>
      </c>
      <c r="N907" s="16"/>
      <c r="O907" s="7" t="n">
        <f aca="false">IF(OR(E907="Closed Won",E907="Closed Lost"),0,1)</f>
        <v>1</v>
      </c>
      <c r="P907" s="17" t="str">
        <f aca="false">INDEX(Accounts!$K$5:$K$336,MATCH(B907,Accounts!$A$5:$A$336,0))</f>
        <v>Energy &amp; Resources</v>
      </c>
      <c r="Q907" s="17" t="str">
        <f aca="false">INDEX(Accounts!$D$5:$D$336,MATCH(B907,Accounts!$A$5:$A$336,0))</f>
        <v>Standard</v>
      </c>
      <c r="R907" s="7" t="n">
        <f aca="false">INDEX(Inputs!$B$11:$B$16,MATCH(E907,Inputs!$A$11:$A$16,0))</f>
        <v>25</v>
      </c>
      <c r="S907" s="27" t="n">
        <f aca="false">IF(F907="",0,F907)*R907/100</f>
        <v>2783500</v>
      </c>
      <c r="T907" s="7" t="n">
        <f aca="false">Inputs!$B$4-J907</f>
        <v>16</v>
      </c>
      <c r="U907" s="7" t="n">
        <f aca="false">IF(OR(F907="",F907=0),1,0)</f>
        <v>0</v>
      </c>
      <c r="V907" s="7" t="n">
        <f aca="false">IF(K907="",1,0)</f>
        <v>0</v>
      </c>
      <c r="W907" s="7" t="n">
        <f aca="false">IF(AND(O907=1,K907&lt;&gt;"",COUNTIFS(Owners!$A$5:$A$32,K907,Owners!$E$5:$E$32,"No")&gt;0),1,0)</f>
        <v>0</v>
      </c>
      <c r="X907" s="7" t="n">
        <f aca="false">IF(AND(O907=1,I907&lt;Inputs!$B$4),1,0)</f>
        <v>0</v>
      </c>
      <c r="Y907" s="7" t="n">
        <f aca="false">IF(AND(O907=1,T907&gt;Inputs!$B$5),1,0)</f>
        <v>0</v>
      </c>
      <c r="Z907" s="7" t="n">
        <f aca="false">IF(AND(O907=1,G907&lt;&gt;R907),1,0)</f>
        <v>0</v>
      </c>
      <c r="AA907" s="7" t="n">
        <f aca="false">IF(AND(O907=1,M907=""),1,0)</f>
        <v>0</v>
      </c>
      <c r="AB907" s="7" t="n">
        <f aca="false">IF(AND(E907="Closed Lost",N907=""),1,0)</f>
        <v>0</v>
      </c>
      <c r="AC907" s="7" t="n">
        <f aca="false">SUM(U907:AB907)</f>
        <v>0</v>
      </c>
      <c r="AD907" s="7" t="n">
        <f aca="false">IF(AC907=0,1,0)</f>
        <v>1</v>
      </c>
      <c r="AE907" s="7" t="n">
        <f aca="false">IF(AND(O907=1,I907&gt;=Inputs!$B$6,I907&lt;=Inputs!$B$7),1,0)</f>
        <v>1</v>
      </c>
      <c r="AF907" s="7" t="n">
        <f aca="false">IF(AND(E907="Closed Won",I907&gt;=Inputs!$B$6,I907&lt;=Inputs!$B$4),1,0)</f>
        <v>0</v>
      </c>
      <c r="AG907" s="7" t="n">
        <f aca="false">IF(AND(O907=0,I907&gt;Inputs!$B$4-Inputs!$B$8,I907&lt;=Inputs!$B$4),1,0)</f>
        <v>0</v>
      </c>
      <c r="AH907" s="7" t="n">
        <f aca="false">I907-H907</f>
        <v>109</v>
      </c>
    </row>
    <row r="908" customFormat="false" ht="15" hidden="false" customHeight="false" outlineLevel="0" collapsed="false">
      <c r="A908" s="16" t="s">
        <v>2507</v>
      </c>
      <c r="B908" s="16" t="s">
        <v>71</v>
      </c>
      <c r="C908" s="16" t="s">
        <v>2508</v>
      </c>
      <c r="D908" s="16" t="s">
        <v>167</v>
      </c>
      <c r="E908" s="16" t="s">
        <v>530</v>
      </c>
      <c r="F908" s="26"/>
      <c r="G908" s="25" t="n">
        <v>100</v>
      </c>
      <c r="H908" s="22" t="n">
        <v>46026</v>
      </c>
      <c r="I908" s="22" t="n">
        <v>46306</v>
      </c>
      <c r="J908" s="22" t="n">
        <v>46306</v>
      </c>
      <c r="K908" s="16" t="s">
        <v>691</v>
      </c>
      <c r="L908" s="16" t="s">
        <v>584</v>
      </c>
      <c r="M908" s="16"/>
      <c r="N908" s="16"/>
      <c r="O908" s="7" t="n">
        <f aca="false">IF(OR(E908="Closed Won",E908="Closed Lost"),0,1)</f>
        <v>0</v>
      </c>
      <c r="P908" s="17" t="str">
        <f aca="false">INDEX(Accounts!$K$5:$K$336,MATCH(B908,Accounts!$A$5:$A$336,0))</f>
        <v>Energy &amp; Resources</v>
      </c>
      <c r="Q908" s="17" t="str">
        <f aca="false">INDEX(Accounts!$D$5:$D$336,MATCH(B908,Accounts!$A$5:$A$336,0))</f>
        <v>Priority</v>
      </c>
      <c r="R908" s="7" t="n">
        <f aca="false">INDEX(Inputs!$B$11:$B$16,MATCH(E908,Inputs!$A$11:$A$16,0))</f>
        <v>100</v>
      </c>
      <c r="S908" s="27" t="n">
        <f aca="false">IF(F908="",0,F908)*R908/100</f>
        <v>0</v>
      </c>
      <c r="T908" s="7" t="n">
        <f aca="false">Inputs!$B$4-J908</f>
        <v>8</v>
      </c>
      <c r="U908" s="7" t="n">
        <f aca="false">IF(OR(F908="",F908=0),1,0)</f>
        <v>1</v>
      </c>
      <c r="V908" s="7" t="n">
        <f aca="false">IF(K908="",1,0)</f>
        <v>0</v>
      </c>
      <c r="W908" s="7" t="n">
        <f aca="false">IF(AND(O908=1,K908&lt;&gt;"",COUNTIFS(Owners!$A$5:$A$32,K908,Owners!$E$5:$E$32,"No")&gt;0),1,0)</f>
        <v>0</v>
      </c>
      <c r="X908" s="7" t="n">
        <f aca="false">IF(AND(O908=1,I908&lt;Inputs!$B$4),1,0)</f>
        <v>0</v>
      </c>
      <c r="Y908" s="7" t="n">
        <f aca="false">IF(AND(O908=1,T908&gt;Inputs!$B$5),1,0)</f>
        <v>0</v>
      </c>
      <c r="Z908" s="7" t="n">
        <f aca="false">IF(AND(O908=1,G908&lt;&gt;R908),1,0)</f>
        <v>0</v>
      </c>
      <c r="AA908" s="7" t="n">
        <f aca="false">IF(AND(O908=1,M908=""),1,0)</f>
        <v>0</v>
      </c>
      <c r="AB908" s="7" t="n">
        <f aca="false">IF(AND(E908="Closed Lost",N908=""),1,0)</f>
        <v>0</v>
      </c>
      <c r="AC908" s="7" t="n">
        <f aca="false">SUM(U908:AB908)</f>
        <v>1</v>
      </c>
      <c r="AD908" s="7" t="n">
        <f aca="false">IF(AC908=0,1,0)</f>
        <v>0</v>
      </c>
      <c r="AE908" s="7" t="n">
        <f aca="false">IF(AND(O908=1,I908&gt;=Inputs!$B$6,I908&lt;=Inputs!$B$7),1,0)</f>
        <v>0</v>
      </c>
      <c r="AF908" s="7" t="n">
        <f aca="false">IF(AND(E908="Closed Won",I908&gt;=Inputs!$B$6,I908&lt;=Inputs!$B$4),1,0)</f>
        <v>1</v>
      </c>
      <c r="AG908" s="7" t="n">
        <f aca="false">IF(AND(O908=0,I908&gt;Inputs!$B$4-Inputs!$B$8,I908&lt;=Inputs!$B$4),1,0)</f>
        <v>1</v>
      </c>
      <c r="AH908" s="7" t="n">
        <f aca="false">I908-H908</f>
        <v>280</v>
      </c>
    </row>
    <row r="909" customFormat="false" ht="15" hidden="false" customHeight="false" outlineLevel="0" collapsed="false">
      <c r="A909" s="16" t="s">
        <v>2509</v>
      </c>
      <c r="B909" s="16" t="s">
        <v>84</v>
      </c>
      <c r="C909" s="16" t="s">
        <v>2510</v>
      </c>
      <c r="D909" s="16" t="s">
        <v>162</v>
      </c>
      <c r="E909" s="16" t="s">
        <v>531</v>
      </c>
      <c r="F909" s="26" t="n">
        <v>11950000</v>
      </c>
      <c r="G909" s="25" t="n">
        <v>0</v>
      </c>
      <c r="H909" s="22" t="n">
        <v>46074</v>
      </c>
      <c r="I909" s="22" t="n">
        <v>46159</v>
      </c>
      <c r="J909" s="22" t="n">
        <v>46159</v>
      </c>
      <c r="K909" s="16" t="s">
        <v>600</v>
      </c>
      <c r="L909" s="16" t="s">
        <v>500</v>
      </c>
      <c r="M909" s="16"/>
      <c r="N909" s="16"/>
      <c r="O909" s="7" t="n">
        <f aca="false">IF(OR(E909="Closed Won",E909="Closed Lost"),0,1)</f>
        <v>0</v>
      </c>
      <c r="P909" s="17" t="str">
        <f aca="false">INDEX(Accounts!$K$5:$K$336,MATCH(B909,Accounts!$A$5:$A$336,0))</f>
        <v>Consumer &amp; Retail</v>
      </c>
      <c r="Q909" s="17" t="str">
        <f aca="false">INDEX(Accounts!$D$5:$D$336,MATCH(B909,Accounts!$A$5:$A$336,0))</f>
        <v>Priority</v>
      </c>
      <c r="R909" s="7" t="n">
        <f aca="false">INDEX(Inputs!$B$11:$B$16,MATCH(E909,Inputs!$A$11:$A$16,0))</f>
        <v>0</v>
      </c>
      <c r="S909" s="27" t="n">
        <f aca="false">IF(F909="",0,F909)*R909/100</f>
        <v>0</v>
      </c>
      <c r="T909" s="7" t="n">
        <f aca="false">Inputs!$B$4-J909</f>
        <v>155</v>
      </c>
      <c r="U909" s="7" t="n">
        <f aca="false">IF(OR(F909="",F909=0),1,0)</f>
        <v>0</v>
      </c>
      <c r="V909" s="7" t="n">
        <f aca="false">IF(K909="",1,0)</f>
        <v>0</v>
      </c>
      <c r="W909" s="7" t="n">
        <f aca="false">IF(AND(O909=1,K909&lt;&gt;"",COUNTIFS(Owners!$A$5:$A$32,K909,Owners!$E$5:$E$32,"No")&gt;0),1,0)</f>
        <v>0</v>
      </c>
      <c r="X909" s="7" t="n">
        <f aca="false">IF(AND(O909=1,I909&lt;Inputs!$B$4),1,0)</f>
        <v>0</v>
      </c>
      <c r="Y909" s="7" t="n">
        <f aca="false">IF(AND(O909=1,T909&gt;Inputs!$B$5),1,0)</f>
        <v>0</v>
      </c>
      <c r="Z909" s="7" t="n">
        <f aca="false">IF(AND(O909=1,G909&lt;&gt;R909),1,0)</f>
        <v>0</v>
      </c>
      <c r="AA909" s="7" t="n">
        <f aca="false">IF(AND(O909=1,M909=""),1,0)</f>
        <v>0</v>
      </c>
      <c r="AB909" s="7" t="n">
        <f aca="false">IF(AND(E909="Closed Lost",N909=""),1,0)</f>
        <v>1</v>
      </c>
      <c r="AC909" s="7" t="n">
        <f aca="false">SUM(U909:AB909)</f>
        <v>1</v>
      </c>
      <c r="AD909" s="7" t="n">
        <f aca="false">IF(AC909=0,1,0)</f>
        <v>0</v>
      </c>
      <c r="AE909" s="7" t="n">
        <f aca="false">IF(AND(O909=1,I909&gt;=Inputs!$B$6,I909&lt;=Inputs!$B$7),1,0)</f>
        <v>0</v>
      </c>
      <c r="AF909" s="7" t="n">
        <f aca="false">IF(AND(E909="Closed Won",I909&gt;=Inputs!$B$6,I909&lt;=Inputs!$B$4),1,0)</f>
        <v>0</v>
      </c>
      <c r="AG909" s="7" t="n">
        <f aca="false">IF(AND(O909=0,I909&gt;Inputs!$B$4-Inputs!$B$8,I909&lt;=Inputs!$B$4),1,0)</f>
        <v>1</v>
      </c>
      <c r="AH909" s="7" t="n">
        <f aca="false">I909-H909</f>
        <v>85</v>
      </c>
    </row>
    <row r="910" customFormat="false" ht="15" hidden="false" customHeight="false" outlineLevel="0" collapsed="false">
      <c r="A910" s="16" t="s">
        <v>2511</v>
      </c>
      <c r="B910" s="16" t="s">
        <v>275</v>
      </c>
      <c r="C910" s="16" t="s">
        <v>2512</v>
      </c>
      <c r="D910" s="16" t="s">
        <v>177</v>
      </c>
      <c r="E910" s="16" t="s">
        <v>530</v>
      </c>
      <c r="F910" s="26" t="n">
        <v>33664000</v>
      </c>
      <c r="G910" s="25" t="n">
        <v>100</v>
      </c>
      <c r="H910" s="22" t="n">
        <v>45989</v>
      </c>
      <c r="I910" s="22" t="n">
        <v>46190</v>
      </c>
      <c r="J910" s="22" t="n">
        <v>46190</v>
      </c>
      <c r="K910" s="16" t="s">
        <v>717</v>
      </c>
      <c r="L910" s="16" t="s">
        <v>584</v>
      </c>
      <c r="M910" s="16"/>
      <c r="N910" s="16"/>
      <c r="O910" s="7" t="n">
        <f aca="false">IF(OR(E910="Closed Won",E910="Closed Lost"),0,1)</f>
        <v>0</v>
      </c>
      <c r="P910" s="17" t="str">
        <f aca="false">INDEX(Accounts!$K$5:$K$336,MATCH(B910,Accounts!$A$5:$A$336,0))</f>
        <v>Public Sector &amp; Development</v>
      </c>
      <c r="Q910" s="17" t="str">
        <f aca="false">INDEX(Accounts!$D$5:$D$336,MATCH(B910,Accounts!$A$5:$A$336,0))</f>
        <v>Key</v>
      </c>
      <c r="R910" s="7" t="n">
        <f aca="false">INDEX(Inputs!$B$11:$B$16,MATCH(E910,Inputs!$A$11:$A$16,0))</f>
        <v>100</v>
      </c>
      <c r="S910" s="27" t="n">
        <f aca="false">IF(F910="",0,F910)*R910/100</f>
        <v>33664000</v>
      </c>
      <c r="T910" s="7" t="n">
        <f aca="false">Inputs!$B$4-J910</f>
        <v>124</v>
      </c>
      <c r="U910" s="7" t="n">
        <f aca="false">IF(OR(F910="",F910=0),1,0)</f>
        <v>0</v>
      </c>
      <c r="V910" s="7" t="n">
        <f aca="false">IF(K910="",1,0)</f>
        <v>0</v>
      </c>
      <c r="W910" s="7" t="n">
        <f aca="false">IF(AND(O910=1,K910&lt;&gt;"",COUNTIFS(Owners!$A$5:$A$32,K910,Owners!$E$5:$E$32,"No")&gt;0),1,0)</f>
        <v>0</v>
      </c>
      <c r="X910" s="7" t="n">
        <f aca="false">IF(AND(O910=1,I910&lt;Inputs!$B$4),1,0)</f>
        <v>0</v>
      </c>
      <c r="Y910" s="7" t="n">
        <f aca="false">IF(AND(O910=1,T910&gt;Inputs!$B$5),1,0)</f>
        <v>0</v>
      </c>
      <c r="Z910" s="7" t="n">
        <f aca="false">IF(AND(O910=1,G910&lt;&gt;R910),1,0)</f>
        <v>0</v>
      </c>
      <c r="AA910" s="7" t="n">
        <f aca="false">IF(AND(O910=1,M910=""),1,0)</f>
        <v>0</v>
      </c>
      <c r="AB910" s="7" t="n">
        <f aca="false">IF(AND(E910="Closed Lost",N910=""),1,0)</f>
        <v>0</v>
      </c>
      <c r="AC910" s="7" t="n">
        <f aca="false">SUM(U910:AB910)</f>
        <v>0</v>
      </c>
      <c r="AD910" s="7" t="n">
        <f aca="false">IF(AC910=0,1,0)</f>
        <v>1</v>
      </c>
      <c r="AE910" s="7" t="n">
        <f aca="false">IF(AND(O910=1,I910&gt;=Inputs!$B$6,I910&lt;=Inputs!$B$7),1,0)</f>
        <v>0</v>
      </c>
      <c r="AF910" s="7" t="n">
        <f aca="false">IF(AND(E910="Closed Won",I910&gt;=Inputs!$B$6,I910&lt;=Inputs!$B$4),1,0)</f>
        <v>0</v>
      </c>
      <c r="AG910" s="7" t="n">
        <f aca="false">IF(AND(O910=0,I910&gt;Inputs!$B$4-Inputs!$B$8,I910&lt;=Inputs!$B$4),1,0)</f>
        <v>1</v>
      </c>
      <c r="AH910" s="7" t="n">
        <f aca="false">I910-H910</f>
        <v>201</v>
      </c>
    </row>
    <row r="911" customFormat="false" ht="15" hidden="false" customHeight="false" outlineLevel="0" collapsed="false">
      <c r="A911" s="16" t="s">
        <v>2513</v>
      </c>
      <c r="B911" s="16" t="s">
        <v>334</v>
      </c>
      <c r="C911" s="16" t="s">
        <v>2514</v>
      </c>
      <c r="D911" s="16" t="s">
        <v>165</v>
      </c>
      <c r="E911" s="16" t="s">
        <v>528</v>
      </c>
      <c r="F911" s="26" t="n">
        <v>4996000</v>
      </c>
      <c r="G911" s="25" t="n">
        <v>50</v>
      </c>
      <c r="H911" s="22" t="n">
        <v>46257</v>
      </c>
      <c r="I911" s="22" t="n">
        <v>46433</v>
      </c>
      <c r="J911" s="22" t="n">
        <v>46271</v>
      </c>
      <c r="K911" s="16" t="s">
        <v>765</v>
      </c>
      <c r="L911" s="16" t="s">
        <v>574</v>
      </c>
      <c r="M911" s="16" t="s">
        <v>593</v>
      </c>
      <c r="N911" s="16"/>
      <c r="O911" s="7" t="n">
        <f aca="false">IF(OR(E911="Closed Won",E911="Closed Lost"),0,1)</f>
        <v>1</v>
      </c>
      <c r="P911" s="17" t="str">
        <f aca="false">INDEX(Accounts!$K$5:$K$336,MATCH(B911,Accounts!$A$5:$A$336,0))</f>
        <v>Energy &amp; Resources</v>
      </c>
      <c r="Q911" s="17" t="str">
        <f aca="false">INDEX(Accounts!$D$5:$D$336,MATCH(B911,Accounts!$A$5:$A$336,0))</f>
        <v>Standard</v>
      </c>
      <c r="R911" s="7" t="n">
        <f aca="false">INDEX(Inputs!$B$11:$B$16,MATCH(E911,Inputs!$A$11:$A$16,0))</f>
        <v>50</v>
      </c>
      <c r="S911" s="27" t="n">
        <f aca="false">IF(F911="",0,F911)*R911/100</f>
        <v>2498000</v>
      </c>
      <c r="T911" s="7" t="n">
        <f aca="false">Inputs!$B$4-J911</f>
        <v>43</v>
      </c>
      <c r="U911" s="7" t="n">
        <f aca="false">IF(OR(F911="",F911=0),1,0)</f>
        <v>0</v>
      </c>
      <c r="V911" s="7" t="n">
        <f aca="false">IF(K911="",1,0)</f>
        <v>0</v>
      </c>
      <c r="W911" s="7" t="n">
        <f aca="false">IF(AND(O911=1,K911&lt;&gt;"",COUNTIFS(Owners!$A$5:$A$32,K911,Owners!$E$5:$E$32,"No")&gt;0),1,0)</f>
        <v>0</v>
      </c>
      <c r="X911" s="7" t="n">
        <f aca="false">IF(AND(O911=1,I911&lt;Inputs!$B$4),1,0)</f>
        <v>0</v>
      </c>
      <c r="Y911" s="7" t="n">
        <f aca="false">IF(AND(O911=1,T911&gt;Inputs!$B$5),1,0)</f>
        <v>0</v>
      </c>
      <c r="Z911" s="7" t="n">
        <f aca="false">IF(AND(O911=1,G911&lt;&gt;R911),1,0)</f>
        <v>0</v>
      </c>
      <c r="AA911" s="7" t="n">
        <f aca="false">IF(AND(O911=1,M911=""),1,0)</f>
        <v>0</v>
      </c>
      <c r="AB911" s="7" t="n">
        <f aca="false">IF(AND(E911="Closed Lost",N911=""),1,0)</f>
        <v>0</v>
      </c>
      <c r="AC911" s="7" t="n">
        <f aca="false">SUM(U911:AB911)</f>
        <v>0</v>
      </c>
      <c r="AD911" s="7" t="n">
        <f aca="false">IF(AC911=0,1,0)</f>
        <v>1</v>
      </c>
      <c r="AE911" s="7" t="n">
        <f aca="false">IF(AND(O911=1,I911&gt;=Inputs!$B$6,I911&lt;=Inputs!$B$7),1,0)</f>
        <v>1</v>
      </c>
      <c r="AF911" s="7" t="n">
        <f aca="false">IF(AND(E911="Closed Won",I911&gt;=Inputs!$B$6,I911&lt;=Inputs!$B$4),1,0)</f>
        <v>0</v>
      </c>
      <c r="AG911" s="7" t="n">
        <f aca="false">IF(AND(O911=0,I911&gt;Inputs!$B$4-Inputs!$B$8,I911&lt;=Inputs!$B$4),1,0)</f>
        <v>0</v>
      </c>
      <c r="AH911" s="7" t="n">
        <f aca="false">I911-H911</f>
        <v>176</v>
      </c>
    </row>
    <row r="912" customFormat="false" ht="15" hidden="false" customHeight="false" outlineLevel="0" collapsed="false">
      <c r="A912" s="16" t="s">
        <v>2515</v>
      </c>
      <c r="B912" s="16" t="s">
        <v>472</v>
      </c>
      <c r="C912" s="16" t="s">
        <v>2516</v>
      </c>
      <c r="D912" s="16" t="s">
        <v>167</v>
      </c>
      <c r="E912" s="16" t="s">
        <v>530</v>
      </c>
      <c r="F912" s="26"/>
      <c r="G912" s="25" t="n">
        <v>100</v>
      </c>
      <c r="H912" s="22" t="n">
        <v>46198</v>
      </c>
      <c r="I912" s="22" t="n">
        <v>46281</v>
      </c>
      <c r="J912" s="22" t="n">
        <v>46281</v>
      </c>
      <c r="K912" s="16" t="s">
        <v>666</v>
      </c>
      <c r="L912" s="16" t="s">
        <v>584</v>
      </c>
      <c r="M912" s="16"/>
      <c r="N912" s="16"/>
      <c r="O912" s="7" t="n">
        <f aca="false">IF(OR(E912="Closed Won",E912="Closed Lost"),0,1)</f>
        <v>0</v>
      </c>
      <c r="P912" s="17" t="str">
        <f aca="false">INDEX(Accounts!$K$5:$K$336,MATCH(B912,Accounts!$A$5:$A$336,0))</f>
        <v>Health</v>
      </c>
      <c r="Q912" s="17" t="str">
        <f aca="false">INDEX(Accounts!$D$5:$D$336,MATCH(B912,Accounts!$A$5:$A$336,0))</f>
        <v>Standard</v>
      </c>
      <c r="R912" s="7" t="n">
        <f aca="false">INDEX(Inputs!$B$11:$B$16,MATCH(E912,Inputs!$A$11:$A$16,0))</f>
        <v>100</v>
      </c>
      <c r="S912" s="27" t="n">
        <f aca="false">IF(F912="",0,F912)*R912/100</f>
        <v>0</v>
      </c>
      <c r="T912" s="7" t="n">
        <f aca="false">Inputs!$B$4-J912</f>
        <v>33</v>
      </c>
      <c r="U912" s="7" t="n">
        <f aca="false">IF(OR(F912="",F912=0),1,0)</f>
        <v>1</v>
      </c>
      <c r="V912" s="7" t="n">
        <f aca="false">IF(K912="",1,0)</f>
        <v>0</v>
      </c>
      <c r="W912" s="7" t="n">
        <f aca="false">IF(AND(O912=1,K912&lt;&gt;"",COUNTIFS(Owners!$A$5:$A$32,K912,Owners!$E$5:$E$32,"No")&gt;0),1,0)</f>
        <v>0</v>
      </c>
      <c r="X912" s="7" t="n">
        <f aca="false">IF(AND(O912=1,I912&lt;Inputs!$B$4),1,0)</f>
        <v>0</v>
      </c>
      <c r="Y912" s="7" t="n">
        <f aca="false">IF(AND(O912=1,T912&gt;Inputs!$B$5),1,0)</f>
        <v>0</v>
      </c>
      <c r="Z912" s="7" t="n">
        <f aca="false">IF(AND(O912=1,G912&lt;&gt;R912),1,0)</f>
        <v>0</v>
      </c>
      <c r="AA912" s="7" t="n">
        <f aca="false">IF(AND(O912=1,M912=""),1,0)</f>
        <v>0</v>
      </c>
      <c r="AB912" s="7" t="n">
        <f aca="false">IF(AND(E912="Closed Lost",N912=""),1,0)</f>
        <v>0</v>
      </c>
      <c r="AC912" s="7" t="n">
        <f aca="false">SUM(U912:AB912)</f>
        <v>1</v>
      </c>
      <c r="AD912" s="7" t="n">
        <f aca="false">IF(AC912=0,1,0)</f>
        <v>0</v>
      </c>
      <c r="AE912" s="7" t="n">
        <f aca="false">IF(AND(O912=1,I912&gt;=Inputs!$B$6,I912&lt;=Inputs!$B$7),1,0)</f>
        <v>0</v>
      </c>
      <c r="AF912" s="7" t="n">
        <f aca="false">IF(AND(E912="Closed Won",I912&gt;=Inputs!$B$6,I912&lt;=Inputs!$B$4),1,0)</f>
        <v>1</v>
      </c>
      <c r="AG912" s="7" t="n">
        <f aca="false">IF(AND(O912=0,I912&gt;Inputs!$B$4-Inputs!$B$8,I912&lt;=Inputs!$B$4),1,0)</f>
        <v>1</v>
      </c>
      <c r="AH912" s="7" t="n">
        <f aca="false">I912-H912</f>
        <v>83</v>
      </c>
    </row>
    <row r="913" customFormat="false" ht="15" hidden="false" customHeight="false" outlineLevel="0" collapsed="false">
      <c r="A913" s="16" t="s">
        <v>2517</v>
      </c>
      <c r="B913" s="16" t="s">
        <v>76</v>
      </c>
      <c r="C913" s="16" t="s">
        <v>2518</v>
      </c>
      <c r="D913" s="16" t="s">
        <v>165</v>
      </c>
      <c r="E913" s="16" t="s">
        <v>531</v>
      </c>
      <c r="F913" s="26" t="n">
        <v>52862000</v>
      </c>
      <c r="G913" s="25" t="n">
        <v>0</v>
      </c>
      <c r="H913" s="22" t="n">
        <v>46001</v>
      </c>
      <c r="I913" s="22" t="n">
        <v>46295</v>
      </c>
      <c r="J913" s="22" t="n">
        <v>46295</v>
      </c>
      <c r="K913" s="16" t="s">
        <v>604</v>
      </c>
      <c r="L913" s="16" t="s">
        <v>584</v>
      </c>
      <c r="M913" s="16"/>
      <c r="N913" s="16" t="s">
        <v>610</v>
      </c>
      <c r="O913" s="7" t="n">
        <f aca="false">IF(OR(E913="Closed Won",E913="Closed Lost"),0,1)</f>
        <v>0</v>
      </c>
      <c r="P913" s="17" t="str">
        <f aca="false">INDEX(Accounts!$K$5:$K$336,MATCH(B913,Accounts!$A$5:$A$336,0))</f>
        <v>Real Estate &amp; Infrastructure</v>
      </c>
      <c r="Q913" s="17" t="str">
        <f aca="false">INDEX(Accounts!$D$5:$D$336,MATCH(B913,Accounts!$A$5:$A$336,0))</f>
        <v>Priority</v>
      </c>
      <c r="R913" s="7" t="n">
        <f aca="false">INDEX(Inputs!$B$11:$B$16,MATCH(E913,Inputs!$A$11:$A$16,0))</f>
        <v>0</v>
      </c>
      <c r="S913" s="27" t="n">
        <f aca="false">IF(F913="",0,F913)*R913/100</f>
        <v>0</v>
      </c>
      <c r="T913" s="7" t="n">
        <f aca="false">Inputs!$B$4-J913</f>
        <v>19</v>
      </c>
      <c r="U913" s="7" t="n">
        <f aca="false">IF(OR(F913="",F913=0),1,0)</f>
        <v>0</v>
      </c>
      <c r="V913" s="7" t="n">
        <f aca="false">IF(K913="",1,0)</f>
        <v>0</v>
      </c>
      <c r="W913" s="7" t="n">
        <f aca="false">IF(AND(O913=1,K913&lt;&gt;"",COUNTIFS(Owners!$A$5:$A$32,K913,Owners!$E$5:$E$32,"No")&gt;0),1,0)</f>
        <v>0</v>
      </c>
      <c r="X913" s="7" t="n">
        <f aca="false">IF(AND(O913=1,I913&lt;Inputs!$B$4),1,0)</f>
        <v>0</v>
      </c>
      <c r="Y913" s="7" t="n">
        <f aca="false">IF(AND(O913=1,T913&gt;Inputs!$B$5),1,0)</f>
        <v>0</v>
      </c>
      <c r="Z913" s="7" t="n">
        <f aca="false">IF(AND(O913=1,G913&lt;&gt;R913),1,0)</f>
        <v>0</v>
      </c>
      <c r="AA913" s="7" t="n">
        <f aca="false">IF(AND(O913=1,M913=""),1,0)</f>
        <v>0</v>
      </c>
      <c r="AB913" s="7" t="n">
        <f aca="false">IF(AND(E913="Closed Lost",N913=""),1,0)</f>
        <v>0</v>
      </c>
      <c r="AC913" s="7" t="n">
        <f aca="false">SUM(U913:AB913)</f>
        <v>0</v>
      </c>
      <c r="AD913" s="7" t="n">
        <f aca="false">IF(AC913=0,1,0)</f>
        <v>1</v>
      </c>
      <c r="AE913" s="7" t="n">
        <f aca="false">IF(AND(O913=1,I913&gt;=Inputs!$B$6,I913&lt;=Inputs!$B$7),1,0)</f>
        <v>0</v>
      </c>
      <c r="AF913" s="7" t="n">
        <f aca="false">IF(AND(E913="Closed Won",I913&gt;=Inputs!$B$6,I913&lt;=Inputs!$B$4),1,0)</f>
        <v>0</v>
      </c>
      <c r="AG913" s="7" t="n">
        <f aca="false">IF(AND(O913=0,I913&gt;Inputs!$B$4-Inputs!$B$8,I913&lt;=Inputs!$B$4),1,0)</f>
        <v>1</v>
      </c>
      <c r="AH913" s="7" t="n">
        <f aca="false">I913-H913</f>
        <v>294</v>
      </c>
    </row>
    <row r="914" customFormat="false" ht="15" hidden="false" customHeight="false" outlineLevel="0" collapsed="false">
      <c r="A914" s="16" t="s">
        <v>2519</v>
      </c>
      <c r="B914" s="16" t="s">
        <v>62</v>
      </c>
      <c r="C914" s="16" t="s">
        <v>2520</v>
      </c>
      <c r="D914" s="16" t="s">
        <v>158</v>
      </c>
      <c r="E914" s="16" t="s">
        <v>531</v>
      </c>
      <c r="F914" s="26" t="n">
        <v>42496000</v>
      </c>
      <c r="G914" s="25" t="n">
        <v>0</v>
      </c>
      <c r="H914" s="22" t="n">
        <v>45913</v>
      </c>
      <c r="I914" s="22" t="n">
        <v>46159</v>
      </c>
      <c r="J914" s="22" t="n">
        <v>46159</v>
      </c>
      <c r="K914" s="16" t="s">
        <v>604</v>
      </c>
      <c r="L914" s="16" t="s">
        <v>574</v>
      </c>
      <c r="M914" s="16"/>
      <c r="N914" s="16" t="s">
        <v>597</v>
      </c>
      <c r="O914" s="7" t="n">
        <f aca="false">IF(OR(E914="Closed Won",E914="Closed Lost"),0,1)</f>
        <v>0</v>
      </c>
      <c r="P914" s="17" t="str">
        <f aca="false">INDEX(Accounts!$K$5:$K$336,MATCH(B914,Accounts!$A$5:$A$336,0))</f>
        <v>Financial Services</v>
      </c>
      <c r="Q914" s="17" t="str">
        <f aca="false">INDEX(Accounts!$D$5:$D$336,MATCH(B914,Accounts!$A$5:$A$336,0))</f>
        <v>Priority</v>
      </c>
      <c r="R914" s="7" t="n">
        <f aca="false">INDEX(Inputs!$B$11:$B$16,MATCH(E914,Inputs!$A$11:$A$16,0))</f>
        <v>0</v>
      </c>
      <c r="S914" s="27" t="n">
        <f aca="false">IF(F914="",0,F914)*R914/100</f>
        <v>0</v>
      </c>
      <c r="T914" s="7" t="n">
        <f aca="false">Inputs!$B$4-J914</f>
        <v>155</v>
      </c>
      <c r="U914" s="7" t="n">
        <f aca="false">IF(OR(F914="",F914=0),1,0)</f>
        <v>0</v>
      </c>
      <c r="V914" s="7" t="n">
        <f aca="false">IF(K914="",1,0)</f>
        <v>0</v>
      </c>
      <c r="W914" s="7" t="n">
        <f aca="false">IF(AND(O914=1,K914&lt;&gt;"",COUNTIFS(Owners!$A$5:$A$32,K914,Owners!$E$5:$E$32,"No")&gt;0),1,0)</f>
        <v>0</v>
      </c>
      <c r="X914" s="7" t="n">
        <f aca="false">IF(AND(O914=1,I914&lt;Inputs!$B$4),1,0)</f>
        <v>0</v>
      </c>
      <c r="Y914" s="7" t="n">
        <f aca="false">IF(AND(O914=1,T914&gt;Inputs!$B$5),1,0)</f>
        <v>0</v>
      </c>
      <c r="Z914" s="7" t="n">
        <f aca="false">IF(AND(O914=1,G914&lt;&gt;R914),1,0)</f>
        <v>0</v>
      </c>
      <c r="AA914" s="7" t="n">
        <f aca="false">IF(AND(O914=1,M914=""),1,0)</f>
        <v>0</v>
      </c>
      <c r="AB914" s="7" t="n">
        <f aca="false">IF(AND(E914="Closed Lost",N914=""),1,0)</f>
        <v>0</v>
      </c>
      <c r="AC914" s="7" t="n">
        <f aca="false">SUM(U914:AB914)</f>
        <v>0</v>
      </c>
      <c r="AD914" s="7" t="n">
        <f aca="false">IF(AC914=0,1,0)</f>
        <v>1</v>
      </c>
      <c r="AE914" s="7" t="n">
        <f aca="false">IF(AND(O914=1,I914&gt;=Inputs!$B$6,I914&lt;=Inputs!$B$7),1,0)</f>
        <v>0</v>
      </c>
      <c r="AF914" s="7" t="n">
        <f aca="false">IF(AND(E914="Closed Won",I914&gt;=Inputs!$B$6,I914&lt;=Inputs!$B$4),1,0)</f>
        <v>0</v>
      </c>
      <c r="AG914" s="7" t="n">
        <f aca="false">IF(AND(O914=0,I914&gt;Inputs!$B$4-Inputs!$B$8,I914&lt;=Inputs!$B$4),1,0)</f>
        <v>1</v>
      </c>
      <c r="AH914" s="7" t="n">
        <f aca="false">I914-H914</f>
        <v>246</v>
      </c>
    </row>
    <row r="915" customFormat="false" ht="15" hidden="false" customHeight="false" outlineLevel="0" collapsed="false">
      <c r="A915" s="16" t="s">
        <v>2521</v>
      </c>
      <c r="B915" s="16" t="s">
        <v>1692</v>
      </c>
      <c r="C915" s="16" t="s">
        <v>2522</v>
      </c>
      <c r="D915" s="16" t="s">
        <v>167</v>
      </c>
      <c r="E915" s="16" t="s">
        <v>531</v>
      </c>
      <c r="F915" s="26" t="n">
        <v>25249000</v>
      </c>
      <c r="G915" s="25" t="n">
        <v>0</v>
      </c>
      <c r="H915" s="22" t="n">
        <v>46016</v>
      </c>
      <c r="I915" s="22" t="n">
        <v>46101</v>
      </c>
      <c r="J915" s="22" t="n">
        <v>46101</v>
      </c>
      <c r="K915" s="16" t="s">
        <v>583</v>
      </c>
      <c r="L915" s="16" t="s">
        <v>584</v>
      </c>
      <c r="M915" s="16"/>
      <c r="N915" s="16" t="s">
        <v>722</v>
      </c>
      <c r="O915" s="7" t="n">
        <f aca="false">IF(OR(E915="Closed Won",E915="Closed Lost"),0,1)</f>
        <v>0</v>
      </c>
      <c r="P915" s="17" t="str">
        <f aca="false">INDEX(Accounts!$K$5:$K$336,MATCH(B915,Accounts!$A$5:$A$336,0))</f>
        <v>Financial Services</v>
      </c>
      <c r="Q915" s="17" t="str">
        <f aca="false">INDEX(Accounts!$D$5:$D$336,MATCH(B915,Accounts!$A$5:$A$336,0))</f>
        <v>Standard</v>
      </c>
      <c r="R915" s="7" t="n">
        <f aca="false">INDEX(Inputs!$B$11:$B$16,MATCH(E915,Inputs!$A$11:$A$16,0))</f>
        <v>0</v>
      </c>
      <c r="S915" s="27" t="n">
        <f aca="false">IF(F915="",0,F915)*R915/100</f>
        <v>0</v>
      </c>
      <c r="T915" s="7" t="n">
        <f aca="false">Inputs!$B$4-J915</f>
        <v>213</v>
      </c>
      <c r="U915" s="7" t="n">
        <f aca="false">IF(OR(F915="",F915=0),1,0)</f>
        <v>0</v>
      </c>
      <c r="V915" s="7" t="n">
        <f aca="false">IF(K915="",1,0)</f>
        <v>0</v>
      </c>
      <c r="W915" s="7" t="n">
        <f aca="false">IF(AND(O915=1,K915&lt;&gt;"",COUNTIFS(Owners!$A$5:$A$32,K915,Owners!$E$5:$E$32,"No")&gt;0),1,0)</f>
        <v>0</v>
      </c>
      <c r="X915" s="7" t="n">
        <f aca="false">IF(AND(O915=1,I915&lt;Inputs!$B$4),1,0)</f>
        <v>0</v>
      </c>
      <c r="Y915" s="7" t="n">
        <f aca="false">IF(AND(O915=1,T915&gt;Inputs!$B$5),1,0)</f>
        <v>0</v>
      </c>
      <c r="Z915" s="7" t="n">
        <f aca="false">IF(AND(O915=1,G915&lt;&gt;R915),1,0)</f>
        <v>0</v>
      </c>
      <c r="AA915" s="7" t="n">
        <f aca="false">IF(AND(O915=1,M915=""),1,0)</f>
        <v>0</v>
      </c>
      <c r="AB915" s="7" t="n">
        <f aca="false">IF(AND(E915="Closed Lost",N915=""),1,0)</f>
        <v>0</v>
      </c>
      <c r="AC915" s="7" t="n">
        <f aca="false">SUM(U915:AB915)</f>
        <v>0</v>
      </c>
      <c r="AD915" s="7" t="n">
        <f aca="false">IF(AC915=0,1,0)</f>
        <v>1</v>
      </c>
      <c r="AE915" s="7" t="n">
        <f aca="false">IF(AND(O915=1,I915&gt;=Inputs!$B$6,I915&lt;=Inputs!$B$7),1,0)</f>
        <v>0</v>
      </c>
      <c r="AF915" s="7" t="n">
        <f aca="false">IF(AND(E915="Closed Won",I915&gt;=Inputs!$B$6,I915&lt;=Inputs!$B$4),1,0)</f>
        <v>0</v>
      </c>
      <c r="AG915" s="7" t="n">
        <f aca="false">IF(AND(O915=0,I915&gt;Inputs!$B$4-Inputs!$B$8,I915&lt;=Inputs!$B$4),1,0)</f>
        <v>1</v>
      </c>
      <c r="AH915" s="7" t="n">
        <f aca="false">I915-H915</f>
        <v>85</v>
      </c>
    </row>
    <row r="916" customFormat="false" ht="15" hidden="false" customHeight="false" outlineLevel="0" collapsed="false">
      <c r="A916" s="16" t="s">
        <v>2523</v>
      </c>
      <c r="B916" s="16" t="s">
        <v>2304</v>
      </c>
      <c r="C916" s="16" t="s">
        <v>2524</v>
      </c>
      <c r="D916" s="16" t="s">
        <v>165</v>
      </c>
      <c r="E916" s="16" t="s">
        <v>531</v>
      </c>
      <c r="F916" s="26" t="n">
        <v>15543000</v>
      </c>
      <c r="G916" s="25" t="n">
        <v>0</v>
      </c>
      <c r="H916" s="22" t="n">
        <v>46064</v>
      </c>
      <c r="I916" s="22" t="n">
        <v>46228</v>
      </c>
      <c r="J916" s="22" t="n">
        <v>46228</v>
      </c>
      <c r="K916" s="16" t="s">
        <v>596</v>
      </c>
      <c r="L916" s="16" t="s">
        <v>609</v>
      </c>
      <c r="M916" s="16"/>
      <c r="N916" s="16" t="s">
        <v>610</v>
      </c>
      <c r="O916" s="7" t="n">
        <f aca="false">IF(OR(E916="Closed Won",E916="Closed Lost"),0,1)</f>
        <v>0</v>
      </c>
      <c r="P916" s="17" t="str">
        <f aca="false">INDEX(Accounts!$K$5:$K$336,MATCH(B916,Accounts!$A$5:$A$336,0))</f>
        <v>Public Sector &amp; Development</v>
      </c>
      <c r="Q916" s="17" t="str">
        <f aca="false">INDEX(Accounts!$D$5:$D$336,MATCH(B916,Accounts!$A$5:$A$336,0))</f>
        <v>Standard</v>
      </c>
      <c r="R916" s="7" t="n">
        <f aca="false">INDEX(Inputs!$B$11:$B$16,MATCH(E916,Inputs!$A$11:$A$16,0))</f>
        <v>0</v>
      </c>
      <c r="S916" s="27" t="n">
        <f aca="false">IF(F916="",0,F916)*R916/100</f>
        <v>0</v>
      </c>
      <c r="T916" s="7" t="n">
        <f aca="false">Inputs!$B$4-J916</f>
        <v>86</v>
      </c>
      <c r="U916" s="7" t="n">
        <f aca="false">IF(OR(F916="",F916=0),1,0)</f>
        <v>0</v>
      </c>
      <c r="V916" s="7" t="n">
        <f aca="false">IF(K916="",1,0)</f>
        <v>0</v>
      </c>
      <c r="W916" s="7" t="n">
        <f aca="false">IF(AND(O916=1,K916&lt;&gt;"",COUNTIFS(Owners!$A$5:$A$32,K916,Owners!$E$5:$E$32,"No")&gt;0),1,0)</f>
        <v>0</v>
      </c>
      <c r="X916" s="7" t="n">
        <f aca="false">IF(AND(O916=1,I916&lt;Inputs!$B$4),1,0)</f>
        <v>0</v>
      </c>
      <c r="Y916" s="7" t="n">
        <f aca="false">IF(AND(O916=1,T916&gt;Inputs!$B$5),1,0)</f>
        <v>0</v>
      </c>
      <c r="Z916" s="7" t="n">
        <f aca="false">IF(AND(O916=1,G916&lt;&gt;R916),1,0)</f>
        <v>0</v>
      </c>
      <c r="AA916" s="7" t="n">
        <f aca="false">IF(AND(O916=1,M916=""),1,0)</f>
        <v>0</v>
      </c>
      <c r="AB916" s="7" t="n">
        <f aca="false">IF(AND(E916="Closed Lost",N916=""),1,0)</f>
        <v>0</v>
      </c>
      <c r="AC916" s="7" t="n">
        <f aca="false">SUM(U916:AB916)</f>
        <v>0</v>
      </c>
      <c r="AD916" s="7" t="n">
        <f aca="false">IF(AC916=0,1,0)</f>
        <v>1</v>
      </c>
      <c r="AE916" s="7" t="n">
        <f aca="false">IF(AND(O916=1,I916&gt;=Inputs!$B$6,I916&lt;=Inputs!$B$7),1,0)</f>
        <v>0</v>
      </c>
      <c r="AF916" s="7" t="n">
        <f aca="false">IF(AND(E916="Closed Won",I916&gt;=Inputs!$B$6,I916&lt;=Inputs!$B$4),1,0)</f>
        <v>0</v>
      </c>
      <c r="AG916" s="7" t="n">
        <f aca="false">IF(AND(O916=0,I916&gt;Inputs!$B$4-Inputs!$B$8,I916&lt;=Inputs!$B$4),1,0)</f>
        <v>1</v>
      </c>
      <c r="AH916" s="7" t="n">
        <f aca="false">I916-H916</f>
        <v>164</v>
      </c>
    </row>
    <row r="917" customFormat="false" ht="15" hidden="false" customHeight="false" outlineLevel="0" collapsed="false">
      <c r="A917" s="16" t="s">
        <v>2525</v>
      </c>
      <c r="B917" s="16" t="s">
        <v>1327</v>
      </c>
      <c r="C917" s="16" t="s">
        <v>2526</v>
      </c>
      <c r="D917" s="16" t="s">
        <v>165</v>
      </c>
      <c r="E917" s="16" t="s">
        <v>528</v>
      </c>
      <c r="F917" s="26" t="n">
        <v>10717000</v>
      </c>
      <c r="G917" s="25" t="n">
        <v>50</v>
      </c>
      <c r="H917" s="22" t="n">
        <v>46236</v>
      </c>
      <c r="I917" s="22" t="n">
        <v>46447</v>
      </c>
      <c r="J917" s="22" t="n">
        <v>46300</v>
      </c>
      <c r="K917" s="16" t="s">
        <v>578</v>
      </c>
      <c r="L917" s="16" t="s">
        <v>500</v>
      </c>
      <c r="M917" s="16" t="s">
        <v>619</v>
      </c>
      <c r="N917" s="16"/>
      <c r="O917" s="7" t="n">
        <f aca="false">IF(OR(E917="Closed Won",E917="Closed Lost"),0,1)</f>
        <v>1</v>
      </c>
      <c r="P917" s="17" t="str">
        <f aca="false">INDEX(Accounts!$K$5:$K$336,MATCH(B917,Accounts!$A$5:$A$336,0))</f>
        <v>Energy &amp; Resources</v>
      </c>
      <c r="Q917" s="17" t="str">
        <f aca="false">INDEX(Accounts!$D$5:$D$336,MATCH(B917,Accounts!$A$5:$A$336,0))</f>
        <v>Key</v>
      </c>
      <c r="R917" s="7" t="n">
        <f aca="false">INDEX(Inputs!$B$11:$B$16,MATCH(E917,Inputs!$A$11:$A$16,0))</f>
        <v>50</v>
      </c>
      <c r="S917" s="27" t="n">
        <f aca="false">IF(F917="",0,F917)*R917/100</f>
        <v>5358500</v>
      </c>
      <c r="T917" s="7" t="n">
        <f aca="false">Inputs!$B$4-J917</f>
        <v>14</v>
      </c>
      <c r="U917" s="7" t="n">
        <f aca="false">IF(OR(F917="",F917=0),1,0)</f>
        <v>0</v>
      </c>
      <c r="V917" s="7" t="n">
        <f aca="false">IF(K917="",1,0)</f>
        <v>0</v>
      </c>
      <c r="W917" s="7" t="n">
        <f aca="false">IF(AND(O917=1,K917&lt;&gt;"",COUNTIFS(Owners!$A$5:$A$32,K917,Owners!$E$5:$E$32,"No")&gt;0),1,0)</f>
        <v>0</v>
      </c>
      <c r="X917" s="7" t="n">
        <f aca="false">IF(AND(O917=1,I917&lt;Inputs!$B$4),1,0)</f>
        <v>0</v>
      </c>
      <c r="Y917" s="7" t="n">
        <f aca="false">IF(AND(O917=1,T917&gt;Inputs!$B$5),1,0)</f>
        <v>0</v>
      </c>
      <c r="Z917" s="7" t="n">
        <f aca="false">IF(AND(O917=1,G917&lt;&gt;R917),1,0)</f>
        <v>0</v>
      </c>
      <c r="AA917" s="7" t="n">
        <f aca="false">IF(AND(O917=1,M917=""),1,0)</f>
        <v>0</v>
      </c>
      <c r="AB917" s="7" t="n">
        <f aca="false">IF(AND(E917="Closed Lost",N917=""),1,0)</f>
        <v>0</v>
      </c>
      <c r="AC917" s="7" t="n">
        <f aca="false">SUM(U917:AB917)</f>
        <v>0</v>
      </c>
      <c r="AD917" s="7" t="n">
        <f aca="false">IF(AC917=0,1,0)</f>
        <v>1</v>
      </c>
      <c r="AE917" s="7" t="n">
        <f aca="false">IF(AND(O917=1,I917&gt;=Inputs!$B$6,I917&lt;=Inputs!$B$7),1,0)</f>
        <v>1</v>
      </c>
      <c r="AF917" s="7" t="n">
        <f aca="false">IF(AND(E917="Closed Won",I917&gt;=Inputs!$B$6,I917&lt;=Inputs!$B$4),1,0)</f>
        <v>0</v>
      </c>
      <c r="AG917" s="7" t="n">
        <f aca="false">IF(AND(O917=0,I917&gt;Inputs!$B$4-Inputs!$B$8,I917&lt;=Inputs!$B$4),1,0)</f>
        <v>0</v>
      </c>
      <c r="AH917" s="7" t="n">
        <f aca="false">I917-H917</f>
        <v>211</v>
      </c>
    </row>
    <row r="918" customFormat="false" ht="15" hidden="false" customHeight="false" outlineLevel="0" collapsed="false">
      <c r="A918" s="16" t="s">
        <v>2527</v>
      </c>
      <c r="B918" s="16" t="s">
        <v>695</v>
      </c>
      <c r="C918" s="16" t="s">
        <v>2528</v>
      </c>
      <c r="D918" s="16" t="s">
        <v>165</v>
      </c>
      <c r="E918" s="16" t="s">
        <v>531</v>
      </c>
      <c r="F918" s="26" t="n">
        <v>17346000</v>
      </c>
      <c r="G918" s="25" t="n">
        <v>0</v>
      </c>
      <c r="H918" s="22" t="n">
        <v>46071</v>
      </c>
      <c r="I918" s="22" t="n">
        <v>46173</v>
      </c>
      <c r="J918" s="22" t="n">
        <v>46173</v>
      </c>
      <c r="K918" s="16" t="s">
        <v>729</v>
      </c>
      <c r="L918" s="16" t="s">
        <v>609</v>
      </c>
      <c r="M918" s="16"/>
      <c r="N918" s="16"/>
      <c r="O918" s="7" t="n">
        <f aca="false">IF(OR(E918="Closed Won",E918="Closed Lost"),0,1)</f>
        <v>0</v>
      </c>
      <c r="P918" s="17" t="str">
        <f aca="false">INDEX(Accounts!$K$5:$K$336,MATCH(B918,Accounts!$A$5:$A$336,0))</f>
        <v>Technology, Media &amp; Telecom</v>
      </c>
      <c r="Q918" s="17" t="str">
        <f aca="false">INDEX(Accounts!$D$5:$D$336,MATCH(B918,Accounts!$A$5:$A$336,0))</f>
        <v>Key</v>
      </c>
      <c r="R918" s="7" t="n">
        <f aca="false">INDEX(Inputs!$B$11:$B$16,MATCH(E918,Inputs!$A$11:$A$16,0))</f>
        <v>0</v>
      </c>
      <c r="S918" s="27" t="n">
        <f aca="false">IF(F918="",0,F918)*R918/100</f>
        <v>0</v>
      </c>
      <c r="T918" s="7" t="n">
        <f aca="false">Inputs!$B$4-J918</f>
        <v>141</v>
      </c>
      <c r="U918" s="7" t="n">
        <f aca="false">IF(OR(F918="",F918=0),1,0)</f>
        <v>0</v>
      </c>
      <c r="V918" s="7" t="n">
        <f aca="false">IF(K918="",1,0)</f>
        <v>0</v>
      </c>
      <c r="W918" s="7" t="n">
        <f aca="false">IF(AND(O918=1,K918&lt;&gt;"",COUNTIFS(Owners!$A$5:$A$32,K918,Owners!$E$5:$E$32,"No")&gt;0),1,0)</f>
        <v>0</v>
      </c>
      <c r="X918" s="7" t="n">
        <f aca="false">IF(AND(O918=1,I918&lt;Inputs!$B$4),1,0)</f>
        <v>0</v>
      </c>
      <c r="Y918" s="7" t="n">
        <f aca="false">IF(AND(O918=1,T918&gt;Inputs!$B$5),1,0)</f>
        <v>0</v>
      </c>
      <c r="Z918" s="7" t="n">
        <f aca="false">IF(AND(O918=1,G918&lt;&gt;R918),1,0)</f>
        <v>0</v>
      </c>
      <c r="AA918" s="7" t="n">
        <f aca="false">IF(AND(O918=1,M918=""),1,0)</f>
        <v>0</v>
      </c>
      <c r="AB918" s="7" t="n">
        <f aca="false">IF(AND(E918="Closed Lost",N918=""),1,0)</f>
        <v>1</v>
      </c>
      <c r="AC918" s="7" t="n">
        <f aca="false">SUM(U918:AB918)</f>
        <v>1</v>
      </c>
      <c r="AD918" s="7" t="n">
        <f aca="false">IF(AC918=0,1,0)</f>
        <v>0</v>
      </c>
      <c r="AE918" s="7" t="n">
        <f aca="false">IF(AND(O918=1,I918&gt;=Inputs!$B$6,I918&lt;=Inputs!$B$7),1,0)</f>
        <v>0</v>
      </c>
      <c r="AF918" s="7" t="n">
        <f aca="false">IF(AND(E918="Closed Won",I918&gt;=Inputs!$B$6,I918&lt;=Inputs!$B$4),1,0)</f>
        <v>0</v>
      </c>
      <c r="AG918" s="7" t="n">
        <f aca="false">IF(AND(O918=0,I918&gt;Inputs!$B$4-Inputs!$B$8,I918&lt;=Inputs!$B$4),1,0)</f>
        <v>1</v>
      </c>
      <c r="AH918" s="7" t="n">
        <f aca="false">I918-H918</f>
        <v>102</v>
      </c>
    </row>
    <row r="919" customFormat="false" ht="15" hidden="false" customHeight="false" outlineLevel="0" collapsed="false">
      <c r="A919" s="16" t="s">
        <v>2529</v>
      </c>
      <c r="B919" s="16" t="s">
        <v>67</v>
      </c>
      <c r="C919" s="16" t="s">
        <v>2530</v>
      </c>
      <c r="D919" s="16" t="s">
        <v>158</v>
      </c>
      <c r="E919" s="16" t="s">
        <v>527</v>
      </c>
      <c r="F919" s="26" t="n">
        <v>12765000</v>
      </c>
      <c r="G919" s="25" t="n">
        <v>25</v>
      </c>
      <c r="H919" s="22" t="n">
        <v>46166</v>
      </c>
      <c r="I919" s="22" t="n">
        <v>46523</v>
      </c>
      <c r="J919" s="22" t="n">
        <v>46290</v>
      </c>
      <c r="K919" s="16" t="s">
        <v>596</v>
      </c>
      <c r="L919" s="16" t="s">
        <v>584</v>
      </c>
      <c r="M919" s="16" t="s">
        <v>593</v>
      </c>
      <c r="N919" s="16"/>
      <c r="O919" s="7" t="n">
        <f aca="false">IF(OR(E919="Closed Won",E919="Closed Lost"),0,1)</f>
        <v>1</v>
      </c>
      <c r="P919" s="17" t="str">
        <f aca="false">INDEX(Accounts!$K$5:$K$336,MATCH(B919,Accounts!$A$5:$A$336,0))</f>
        <v>Financial Services</v>
      </c>
      <c r="Q919" s="17" t="str">
        <f aca="false">INDEX(Accounts!$D$5:$D$336,MATCH(B919,Accounts!$A$5:$A$336,0))</f>
        <v>Priority</v>
      </c>
      <c r="R919" s="7" t="n">
        <f aca="false">INDEX(Inputs!$B$11:$B$16,MATCH(E919,Inputs!$A$11:$A$16,0))</f>
        <v>25</v>
      </c>
      <c r="S919" s="27" t="n">
        <f aca="false">IF(F919="",0,F919)*R919/100</f>
        <v>3191250</v>
      </c>
      <c r="T919" s="7" t="n">
        <f aca="false">Inputs!$B$4-J919</f>
        <v>24</v>
      </c>
      <c r="U919" s="7" t="n">
        <f aca="false">IF(OR(F919="",F919=0),1,0)</f>
        <v>0</v>
      </c>
      <c r="V919" s="7" t="n">
        <f aca="false">IF(K919="",1,0)</f>
        <v>0</v>
      </c>
      <c r="W919" s="7" t="n">
        <f aca="false">IF(AND(O919=1,K919&lt;&gt;"",COUNTIFS(Owners!$A$5:$A$32,K919,Owners!$E$5:$E$32,"No")&gt;0),1,0)</f>
        <v>0</v>
      </c>
      <c r="X919" s="7" t="n">
        <f aca="false">IF(AND(O919=1,I919&lt;Inputs!$B$4),1,0)</f>
        <v>0</v>
      </c>
      <c r="Y919" s="7" t="n">
        <f aca="false">IF(AND(O919=1,T919&gt;Inputs!$B$5),1,0)</f>
        <v>0</v>
      </c>
      <c r="Z919" s="7" t="n">
        <f aca="false">IF(AND(O919=1,G919&lt;&gt;R919),1,0)</f>
        <v>0</v>
      </c>
      <c r="AA919" s="7" t="n">
        <f aca="false">IF(AND(O919=1,M919=""),1,0)</f>
        <v>0</v>
      </c>
      <c r="AB919" s="7" t="n">
        <f aca="false">IF(AND(E919="Closed Lost",N919=""),1,0)</f>
        <v>0</v>
      </c>
      <c r="AC919" s="7" t="n">
        <f aca="false">SUM(U919:AB919)</f>
        <v>0</v>
      </c>
      <c r="AD919" s="7" t="n">
        <f aca="false">IF(AC919=0,1,0)</f>
        <v>1</v>
      </c>
      <c r="AE919" s="7" t="n">
        <f aca="false">IF(AND(O919=1,I919&gt;=Inputs!$B$6,I919&lt;=Inputs!$B$7),1,0)</f>
        <v>1</v>
      </c>
      <c r="AF919" s="7" t="n">
        <f aca="false">IF(AND(E919="Closed Won",I919&gt;=Inputs!$B$6,I919&lt;=Inputs!$B$4),1,0)</f>
        <v>0</v>
      </c>
      <c r="AG919" s="7" t="n">
        <f aca="false">IF(AND(O919=0,I919&gt;Inputs!$B$4-Inputs!$B$8,I919&lt;=Inputs!$B$4),1,0)</f>
        <v>0</v>
      </c>
      <c r="AH919" s="7" t="n">
        <f aca="false">I919-H919</f>
        <v>357</v>
      </c>
    </row>
    <row r="920" customFormat="false" ht="15" hidden="false" customHeight="false" outlineLevel="0" collapsed="false">
      <c r="A920" s="16" t="s">
        <v>2531</v>
      </c>
      <c r="B920" s="16" t="s">
        <v>357</v>
      </c>
      <c r="C920" s="16" t="s">
        <v>2532</v>
      </c>
      <c r="D920" s="16" t="s">
        <v>167</v>
      </c>
      <c r="E920" s="16" t="s">
        <v>530</v>
      </c>
      <c r="F920" s="26" t="n">
        <v>4158000</v>
      </c>
      <c r="G920" s="25" t="n">
        <v>100</v>
      </c>
      <c r="H920" s="22" t="n">
        <v>45973</v>
      </c>
      <c r="I920" s="22" t="n">
        <v>46254</v>
      </c>
      <c r="J920" s="22" t="n">
        <v>46254</v>
      </c>
      <c r="K920" s="16" t="s">
        <v>573</v>
      </c>
      <c r="L920" s="16" t="s">
        <v>584</v>
      </c>
      <c r="M920" s="16"/>
      <c r="N920" s="16"/>
      <c r="O920" s="7" t="n">
        <f aca="false">IF(OR(E920="Closed Won",E920="Closed Lost"),0,1)</f>
        <v>0</v>
      </c>
      <c r="P920" s="17" t="str">
        <f aca="false">INDEX(Accounts!$K$5:$K$336,MATCH(B920,Accounts!$A$5:$A$336,0))</f>
        <v>Technology, Media &amp; Telecom</v>
      </c>
      <c r="Q920" s="17" t="str">
        <f aca="false">INDEX(Accounts!$D$5:$D$336,MATCH(B920,Accounts!$A$5:$A$336,0))</f>
        <v>Standard</v>
      </c>
      <c r="R920" s="7" t="n">
        <f aca="false">INDEX(Inputs!$B$11:$B$16,MATCH(E920,Inputs!$A$11:$A$16,0))</f>
        <v>100</v>
      </c>
      <c r="S920" s="27" t="n">
        <f aca="false">IF(F920="",0,F920)*R920/100</f>
        <v>4158000</v>
      </c>
      <c r="T920" s="7" t="n">
        <f aca="false">Inputs!$B$4-J920</f>
        <v>60</v>
      </c>
      <c r="U920" s="7" t="n">
        <f aca="false">IF(OR(F920="",F920=0),1,0)</f>
        <v>0</v>
      </c>
      <c r="V920" s="7" t="n">
        <f aca="false">IF(K920="",1,0)</f>
        <v>0</v>
      </c>
      <c r="W920" s="7" t="n">
        <f aca="false">IF(AND(O920=1,K920&lt;&gt;"",COUNTIFS(Owners!$A$5:$A$32,K920,Owners!$E$5:$E$32,"No")&gt;0),1,0)</f>
        <v>0</v>
      </c>
      <c r="X920" s="7" t="n">
        <f aca="false">IF(AND(O920=1,I920&lt;Inputs!$B$4),1,0)</f>
        <v>0</v>
      </c>
      <c r="Y920" s="7" t="n">
        <f aca="false">IF(AND(O920=1,T920&gt;Inputs!$B$5),1,0)</f>
        <v>0</v>
      </c>
      <c r="Z920" s="7" t="n">
        <f aca="false">IF(AND(O920=1,G920&lt;&gt;R920),1,0)</f>
        <v>0</v>
      </c>
      <c r="AA920" s="7" t="n">
        <f aca="false">IF(AND(O920=1,M920=""),1,0)</f>
        <v>0</v>
      </c>
      <c r="AB920" s="7" t="n">
        <f aca="false">IF(AND(E920="Closed Lost",N920=""),1,0)</f>
        <v>0</v>
      </c>
      <c r="AC920" s="7" t="n">
        <f aca="false">SUM(U920:AB920)</f>
        <v>0</v>
      </c>
      <c r="AD920" s="7" t="n">
        <f aca="false">IF(AC920=0,1,0)</f>
        <v>1</v>
      </c>
      <c r="AE920" s="7" t="n">
        <f aca="false">IF(AND(O920=1,I920&gt;=Inputs!$B$6,I920&lt;=Inputs!$B$7),1,0)</f>
        <v>0</v>
      </c>
      <c r="AF920" s="7" t="n">
        <f aca="false">IF(AND(E920="Closed Won",I920&gt;=Inputs!$B$6,I920&lt;=Inputs!$B$4),1,0)</f>
        <v>1</v>
      </c>
      <c r="AG920" s="7" t="n">
        <f aca="false">IF(AND(O920=0,I920&gt;Inputs!$B$4-Inputs!$B$8,I920&lt;=Inputs!$B$4),1,0)</f>
        <v>1</v>
      </c>
      <c r="AH920" s="7" t="n">
        <f aca="false">I920-H920</f>
        <v>281</v>
      </c>
    </row>
    <row r="921" customFormat="false" ht="15" hidden="false" customHeight="false" outlineLevel="0" collapsed="false">
      <c r="A921" s="16" t="s">
        <v>2533</v>
      </c>
      <c r="B921" s="16" t="s">
        <v>67</v>
      </c>
      <c r="C921" s="16" t="s">
        <v>1497</v>
      </c>
      <c r="D921" s="16" t="s">
        <v>165</v>
      </c>
      <c r="E921" s="16" t="s">
        <v>527</v>
      </c>
      <c r="F921" s="26" t="n">
        <v>23442000</v>
      </c>
      <c r="G921" s="25" t="n">
        <v>25</v>
      </c>
      <c r="H921" s="22" t="n">
        <v>46300</v>
      </c>
      <c r="I921" s="22" t="n">
        <v>46363</v>
      </c>
      <c r="J921" s="22" t="n">
        <v>46275</v>
      </c>
      <c r="K921" s="16"/>
      <c r="L921" s="16" t="s">
        <v>609</v>
      </c>
      <c r="M921" s="16" t="s">
        <v>569</v>
      </c>
      <c r="N921" s="16"/>
      <c r="O921" s="7" t="n">
        <f aca="false">IF(OR(E921="Closed Won",E921="Closed Lost"),0,1)</f>
        <v>1</v>
      </c>
      <c r="P921" s="17" t="str">
        <f aca="false">INDEX(Accounts!$K$5:$K$336,MATCH(B921,Accounts!$A$5:$A$336,0))</f>
        <v>Financial Services</v>
      </c>
      <c r="Q921" s="17" t="str">
        <f aca="false">INDEX(Accounts!$D$5:$D$336,MATCH(B921,Accounts!$A$5:$A$336,0))</f>
        <v>Priority</v>
      </c>
      <c r="R921" s="7" t="n">
        <f aca="false">INDEX(Inputs!$B$11:$B$16,MATCH(E921,Inputs!$A$11:$A$16,0))</f>
        <v>25</v>
      </c>
      <c r="S921" s="27" t="n">
        <f aca="false">IF(F921="",0,F921)*R921/100</f>
        <v>5860500</v>
      </c>
      <c r="T921" s="7" t="n">
        <f aca="false">Inputs!$B$4-J921</f>
        <v>39</v>
      </c>
      <c r="U921" s="7" t="n">
        <f aca="false">IF(OR(F921="",F921=0),1,0)</f>
        <v>0</v>
      </c>
      <c r="V921" s="7" t="n">
        <f aca="false">IF(K921="",1,0)</f>
        <v>1</v>
      </c>
      <c r="W921" s="7" t="n">
        <f aca="false">IF(AND(O921=1,K921&lt;&gt;"",COUNTIFS(Owners!$A$5:$A$32,K921,Owners!$E$5:$E$32,"No")&gt;0),1,0)</f>
        <v>0</v>
      </c>
      <c r="X921" s="7" t="n">
        <f aca="false">IF(AND(O921=1,I921&lt;Inputs!$B$4),1,0)</f>
        <v>0</v>
      </c>
      <c r="Y921" s="7" t="n">
        <f aca="false">IF(AND(O921=1,T921&gt;Inputs!$B$5),1,0)</f>
        <v>0</v>
      </c>
      <c r="Z921" s="7" t="n">
        <f aca="false">IF(AND(O921=1,G921&lt;&gt;R921),1,0)</f>
        <v>0</v>
      </c>
      <c r="AA921" s="7" t="n">
        <f aca="false">IF(AND(O921=1,M921=""),1,0)</f>
        <v>0</v>
      </c>
      <c r="AB921" s="7" t="n">
        <f aca="false">IF(AND(E921="Closed Lost",N921=""),1,0)</f>
        <v>0</v>
      </c>
      <c r="AC921" s="7" t="n">
        <f aca="false">SUM(U921:AB921)</f>
        <v>1</v>
      </c>
      <c r="AD921" s="7" t="n">
        <f aca="false">IF(AC921=0,1,0)</f>
        <v>0</v>
      </c>
      <c r="AE921" s="7" t="n">
        <f aca="false">IF(AND(O921=1,I921&gt;=Inputs!$B$6,I921&lt;=Inputs!$B$7),1,0)</f>
        <v>1</v>
      </c>
      <c r="AF921" s="7" t="n">
        <f aca="false">IF(AND(E921="Closed Won",I921&gt;=Inputs!$B$6,I921&lt;=Inputs!$B$4),1,0)</f>
        <v>0</v>
      </c>
      <c r="AG921" s="7" t="n">
        <f aca="false">IF(AND(O921=0,I921&gt;Inputs!$B$4-Inputs!$B$8,I921&lt;=Inputs!$B$4),1,0)</f>
        <v>0</v>
      </c>
      <c r="AH921" s="7" t="n">
        <f aca="false">I921-H921</f>
        <v>63</v>
      </c>
    </row>
    <row r="922" customFormat="false" ht="15" hidden="false" customHeight="false" outlineLevel="0" collapsed="false">
      <c r="A922" s="16" t="s">
        <v>2534</v>
      </c>
      <c r="B922" s="16" t="s">
        <v>57</v>
      </c>
      <c r="C922" s="16" t="s">
        <v>1715</v>
      </c>
      <c r="D922" s="16" t="s">
        <v>167</v>
      </c>
      <c r="E922" s="16" t="s">
        <v>530</v>
      </c>
      <c r="F922" s="26" t="n">
        <v>4660000</v>
      </c>
      <c r="G922" s="25" t="n">
        <v>100</v>
      </c>
      <c r="H922" s="22" t="n">
        <v>45925</v>
      </c>
      <c r="I922" s="22" t="n">
        <v>46113</v>
      </c>
      <c r="J922" s="22" t="n">
        <v>46113</v>
      </c>
      <c r="K922" s="16" t="s">
        <v>691</v>
      </c>
      <c r="L922" s="16" t="s">
        <v>609</v>
      </c>
      <c r="M922" s="16"/>
      <c r="N922" s="16"/>
      <c r="O922" s="7" t="n">
        <f aca="false">IF(OR(E922="Closed Won",E922="Closed Lost"),0,1)</f>
        <v>0</v>
      </c>
      <c r="P922" s="17" t="str">
        <f aca="false">INDEX(Accounts!$K$5:$K$336,MATCH(B922,Accounts!$A$5:$A$336,0))</f>
        <v>Financial Services</v>
      </c>
      <c r="Q922" s="17" t="str">
        <f aca="false">INDEX(Accounts!$D$5:$D$336,MATCH(B922,Accounts!$A$5:$A$336,0))</f>
        <v>Priority</v>
      </c>
      <c r="R922" s="7" t="n">
        <f aca="false">INDEX(Inputs!$B$11:$B$16,MATCH(E922,Inputs!$A$11:$A$16,0))</f>
        <v>100</v>
      </c>
      <c r="S922" s="27" t="n">
        <f aca="false">IF(F922="",0,F922)*R922/100</f>
        <v>4660000</v>
      </c>
      <c r="T922" s="7" t="n">
        <f aca="false">Inputs!$B$4-J922</f>
        <v>201</v>
      </c>
      <c r="U922" s="7" t="n">
        <f aca="false">IF(OR(F922="",F922=0),1,0)</f>
        <v>0</v>
      </c>
      <c r="V922" s="7" t="n">
        <f aca="false">IF(K922="",1,0)</f>
        <v>0</v>
      </c>
      <c r="W922" s="7" t="n">
        <f aca="false">IF(AND(O922=1,K922&lt;&gt;"",COUNTIFS(Owners!$A$5:$A$32,K922,Owners!$E$5:$E$32,"No")&gt;0),1,0)</f>
        <v>0</v>
      </c>
      <c r="X922" s="7" t="n">
        <f aca="false">IF(AND(O922=1,I922&lt;Inputs!$B$4),1,0)</f>
        <v>0</v>
      </c>
      <c r="Y922" s="7" t="n">
        <f aca="false">IF(AND(O922=1,T922&gt;Inputs!$B$5),1,0)</f>
        <v>0</v>
      </c>
      <c r="Z922" s="7" t="n">
        <f aca="false">IF(AND(O922=1,G922&lt;&gt;R922),1,0)</f>
        <v>0</v>
      </c>
      <c r="AA922" s="7" t="n">
        <f aca="false">IF(AND(O922=1,M922=""),1,0)</f>
        <v>0</v>
      </c>
      <c r="AB922" s="7" t="n">
        <f aca="false">IF(AND(E922="Closed Lost",N922=""),1,0)</f>
        <v>0</v>
      </c>
      <c r="AC922" s="7" t="n">
        <f aca="false">SUM(U922:AB922)</f>
        <v>0</v>
      </c>
      <c r="AD922" s="7" t="n">
        <f aca="false">IF(AC922=0,1,0)</f>
        <v>1</v>
      </c>
      <c r="AE922" s="7" t="n">
        <f aca="false">IF(AND(O922=1,I922&gt;=Inputs!$B$6,I922&lt;=Inputs!$B$7),1,0)</f>
        <v>0</v>
      </c>
      <c r="AF922" s="7" t="n">
        <f aca="false">IF(AND(E922="Closed Won",I922&gt;=Inputs!$B$6,I922&lt;=Inputs!$B$4),1,0)</f>
        <v>0</v>
      </c>
      <c r="AG922" s="7" t="n">
        <f aca="false">IF(AND(O922=0,I922&gt;Inputs!$B$4-Inputs!$B$8,I922&lt;=Inputs!$B$4),1,0)</f>
        <v>1</v>
      </c>
      <c r="AH922" s="7" t="n">
        <f aca="false">I922-H922</f>
        <v>188</v>
      </c>
    </row>
    <row r="923" customFormat="false" ht="15" hidden="false" customHeight="false" outlineLevel="0" collapsed="false">
      <c r="A923" s="16" t="s">
        <v>2535</v>
      </c>
      <c r="B923" s="16" t="s">
        <v>1184</v>
      </c>
      <c r="C923" s="16" t="s">
        <v>2536</v>
      </c>
      <c r="D923" s="16" t="s">
        <v>177</v>
      </c>
      <c r="E923" s="16" t="s">
        <v>531</v>
      </c>
      <c r="F923" s="26" t="n">
        <v>3190000</v>
      </c>
      <c r="G923" s="25" t="n">
        <v>0</v>
      </c>
      <c r="H923" s="22" t="n">
        <v>46234</v>
      </c>
      <c r="I923" s="22" t="n">
        <v>46295</v>
      </c>
      <c r="J923" s="22" t="n">
        <v>46295</v>
      </c>
      <c r="K923" s="16" t="s">
        <v>646</v>
      </c>
      <c r="L923" s="16" t="s">
        <v>592</v>
      </c>
      <c r="M923" s="16"/>
      <c r="N923" s="16" t="s">
        <v>697</v>
      </c>
      <c r="O923" s="7" t="n">
        <f aca="false">IF(OR(E923="Closed Won",E923="Closed Lost"),0,1)</f>
        <v>0</v>
      </c>
      <c r="P923" s="17" t="str">
        <f aca="false">INDEX(Accounts!$K$5:$K$336,MATCH(B923,Accounts!$A$5:$A$336,0))</f>
        <v>Consumer &amp; Retail</v>
      </c>
      <c r="Q923" s="17" t="str">
        <f aca="false">INDEX(Accounts!$D$5:$D$336,MATCH(B923,Accounts!$A$5:$A$336,0))</f>
        <v>Key</v>
      </c>
      <c r="R923" s="7" t="n">
        <f aca="false">INDEX(Inputs!$B$11:$B$16,MATCH(E923,Inputs!$A$11:$A$16,0))</f>
        <v>0</v>
      </c>
      <c r="S923" s="27" t="n">
        <f aca="false">IF(F923="",0,F923)*R923/100</f>
        <v>0</v>
      </c>
      <c r="T923" s="7" t="n">
        <f aca="false">Inputs!$B$4-J923</f>
        <v>19</v>
      </c>
      <c r="U923" s="7" t="n">
        <f aca="false">IF(OR(F923="",F923=0),1,0)</f>
        <v>0</v>
      </c>
      <c r="V923" s="7" t="n">
        <f aca="false">IF(K923="",1,0)</f>
        <v>0</v>
      </c>
      <c r="W923" s="7" t="n">
        <f aca="false">IF(AND(O923=1,K923&lt;&gt;"",COUNTIFS(Owners!$A$5:$A$32,K923,Owners!$E$5:$E$32,"No")&gt;0),1,0)</f>
        <v>0</v>
      </c>
      <c r="X923" s="7" t="n">
        <f aca="false">IF(AND(O923=1,I923&lt;Inputs!$B$4),1,0)</f>
        <v>0</v>
      </c>
      <c r="Y923" s="7" t="n">
        <f aca="false">IF(AND(O923=1,T923&gt;Inputs!$B$5),1,0)</f>
        <v>0</v>
      </c>
      <c r="Z923" s="7" t="n">
        <f aca="false">IF(AND(O923=1,G923&lt;&gt;R923),1,0)</f>
        <v>0</v>
      </c>
      <c r="AA923" s="7" t="n">
        <f aca="false">IF(AND(O923=1,M923=""),1,0)</f>
        <v>0</v>
      </c>
      <c r="AB923" s="7" t="n">
        <f aca="false">IF(AND(E923="Closed Lost",N923=""),1,0)</f>
        <v>0</v>
      </c>
      <c r="AC923" s="7" t="n">
        <f aca="false">SUM(U923:AB923)</f>
        <v>0</v>
      </c>
      <c r="AD923" s="7" t="n">
        <f aca="false">IF(AC923=0,1,0)</f>
        <v>1</v>
      </c>
      <c r="AE923" s="7" t="n">
        <f aca="false">IF(AND(O923=1,I923&gt;=Inputs!$B$6,I923&lt;=Inputs!$B$7),1,0)</f>
        <v>0</v>
      </c>
      <c r="AF923" s="7" t="n">
        <f aca="false">IF(AND(E923="Closed Won",I923&gt;=Inputs!$B$6,I923&lt;=Inputs!$B$4),1,0)</f>
        <v>0</v>
      </c>
      <c r="AG923" s="7" t="n">
        <f aca="false">IF(AND(O923=0,I923&gt;Inputs!$B$4-Inputs!$B$8,I923&lt;=Inputs!$B$4),1,0)</f>
        <v>1</v>
      </c>
      <c r="AH923" s="7" t="n">
        <f aca="false">I923-H923</f>
        <v>61</v>
      </c>
    </row>
    <row r="924" customFormat="false" ht="15" hidden="false" customHeight="false" outlineLevel="0" collapsed="false">
      <c r="A924" s="16" t="s">
        <v>2537</v>
      </c>
      <c r="B924" s="16" t="s">
        <v>2468</v>
      </c>
      <c r="C924" s="16" t="s">
        <v>2491</v>
      </c>
      <c r="D924" s="16" t="s">
        <v>165</v>
      </c>
      <c r="E924" s="16" t="s">
        <v>531</v>
      </c>
      <c r="F924" s="26" t="n">
        <v>5317000</v>
      </c>
      <c r="G924" s="25" t="n">
        <v>0</v>
      </c>
      <c r="H924" s="22" t="n">
        <v>46030</v>
      </c>
      <c r="I924" s="22" t="n">
        <v>46231</v>
      </c>
      <c r="J924" s="22" t="n">
        <v>46231</v>
      </c>
      <c r="K924" s="16" t="s">
        <v>651</v>
      </c>
      <c r="L924" s="16" t="s">
        <v>568</v>
      </c>
      <c r="M924" s="16"/>
      <c r="N924" s="16"/>
      <c r="O924" s="7" t="n">
        <f aca="false">IF(OR(E924="Closed Won",E924="Closed Lost"),0,1)</f>
        <v>0</v>
      </c>
      <c r="P924" s="17" t="str">
        <f aca="false">INDEX(Accounts!$K$5:$K$336,MATCH(B924,Accounts!$A$5:$A$336,0))</f>
        <v>Health</v>
      </c>
      <c r="Q924" s="17" t="str">
        <f aca="false">INDEX(Accounts!$D$5:$D$336,MATCH(B924,Accounts!$A$5:$A$336,0))</f>
        <v>Standard</v>
      </c>
      <c r="R924" s="7" t="n">
        <f aca="false">INDEX(Inputs!$B$11:$B$16,MATCH(E924,Inputs!$A$11:$A$16,0))</f>
        <v>0</v>
      </c>
      <c r="S924" s="27" t="n">
        <f aca="false">IF(F924="",0,F924)*R924/100</f>
        <v>0</v>
      </c>
      <c r="T924" s="7" t="n">
        <f aca="false">Inputs!$B$4-J924</f>
        <v>83</v>
      </c>
      <c r="U924" s="7" t="n">
        <f aca="false">IF(OR(F924="",F924=0),1,0)</f>
        <v>0</v>
      </c>
      <c r="V924" s="7" t="n">
        <f aca="false">IF(K924="",1,0)</f>
        <v>0</v>
      </c>
      <c r="W924" s="7" t="n">
        <f aca="false">IF(AND(O924=1,K924&lt;&gt;"",COUNTIFS(Owners!$A$5:$A$32,K924,Owners!$E$5:$E$32,"No")&gt;0),1,0)</f>
        <v>0</v>
      </c>
      <c r="X924" s="7" t="n">
        <f aca="false">IF(AND(O924=1,I924&lt;Inputs!$B$4),1,0)</f>
        <v>0</v>
      </c>
      <c r="Y924" s="7" t="n">
        <f aca="false">IF(AND(O924=1,T924&gt;Inputs!$B$5),1,0)</f>
        <v>0</v>
      </c>
      <c r="Z924" s="7" t="n">
        <f aca="false">IF(AND(O924=1,G924&lt;&gt;R924),1,0)</f>
        <v>0</v>
      </c>
      <c r="AA924" s="7" t="n">
        <f aca="false">IF(AND(O924=1,M924=""),1,0)</f>
        <v>0</v>
      </c>
      <c r="AB924" s="7" t="n">
        <f aca="false">IF(AND(E924="Closed Lost",N924=""),1,0)</f>
        <v>1</v>
      </c>
      <c r="AC924" s="7" t="n">
        <f aca="false">SUM(U924:AB924)</f>
        <v>1</v>
      </c>
      <c r="AD924" s="7" t="n">
        <f aca="false">IF(AC924=0,1,0)</f>
        <v>0</v>
      </c>
      <c r="AE924" s="7" t="n">
        <f aca="false">IF(AND(O924=1,I924&gt;=Inputs!$B$6,I924&lt;=Inputs!$B$7),1,0)</f>
        <v>0</v>
      </c>
      <c r="AF924" s="7" t="n">
        <f aca="false">IF(AND(E924="Closed Won",I924&gt;=Inputs!$B$6,I924&lt;=Inputs!$B$4),1,0)</f>
        <v>0</v>
      </c>
      <c r="AG924" s="7" t="n">
        <f aca="false">IF(AND(O924=0,I924&gt;Inputs!$B$4-Inputs!$B$8,I924&lt;=Inputs!$B$4),1,0)</f>
        <v>1</v>
      </c>
      <c r="AH924" s="7" t="n">
        <f aca="false">I924-H924</f>
        <v>201</v>
      </c>
    </row>
    <row r="925" customFormat="false" ht="15" hidden="false" customHeight="false" outlineLevel="0" collapsed="false">
      <c r="A925" s="16" t="s">
        <v>2538</v>
      </c>
      <c r="B925" s="16" t="s">
        <v>2539</v>
      </c>
      <c r="C925" s="16" t="s">
        <v>2540</v>
      </c>
      <c r="D925" s="16" t="s">
        <v>165</v>
      </c>
      <c r="E925" s="16" t="s">
        <v>528</v>
      </c>
      <c r="F925" s="26" t="n">
        <v>12656000</v>
      </c>
      <c r="G925" s="25" t="n">
        <v>50</v>
      </c>
      <c r="H925" s="22" t="n">
        <v>46285</v>
      </c>
      <c r="I925" s="22" t="n">
        <v>46480</v>
      </c>
      <c r="J925" s="22" t="n">
        <v>46296</v>
      </c>
      <c r="K925" s="16" t="s">
        <v>588</v>
      </c>
      <c r="L925" s="16" t="s">
        <v>609</v>
      </c>
      <c r="M925" s="16" t="s">
        <v>613</v>
      </c>
      <c r="N925" s="16"/>
      <c r="O925" s="7" t="n">
        <f aca="false">IF(OR(E925="Closed Won",E925="Closed Lost"),0,1)</f>
        <v>1</v>
      </c>
      <c r="P925" s="17" t="str">
        <f aca="false">INDEX(Accounts!$K$5:$K$336,MATCH(B925,Accounts!$A$5:$A$336,0))</f>
        <v>Financial Services</v>
      </c>
      <c r="Q925" s="17" t="str">
        <f aca="false">INDEX(Accounts!$D$5:$D$336,MATCH(B925,Accounts!$A$5:$A$336,0))</f>
        <v>Standard</v>
      </c>
      <c r="R925" s="7" t="n">
        <f aca="false">INDEX(Inputs!$B$11:$B$16,MATCH(E925,Inputs!$A$11:$A$16,0))</f>
        <v>50</v>
      </c>
      <c r="S925" s="27" t="n">
        <f aca="false">IF(F925="",0,F925)*R925/100</f>
        <v>6328000</v>
      </c>
      <c r="T925" s="7" t="n">
        <f aca="false">Inputs!$B$4-J925</f>
        <v>18</v>
      </c>
      <c r="U925" s="7" t="n">
        <f aca="false">IF(OR(F925="",F925=0),1,0)</f>
        <v>0</v>
      </c>
      <c r="V925" s="7" t="n">
        <f aca="false">IF(K925="",1,0)</f>
        <v>0</v>
      </c>
      <c r="W925" s="7" t="n">
        <f aca="false">IF(AND(O925=1,K925&lt;&gt;"",COUNTIFS(Owners!$A$5:$A$32,K925,Owners!$E$5:$E$32,"No")&gt;0),1,0)</f>
        <v>0</v>
      </c>
      <c r="X925" s="7" t="n">
        <f aca="false">IF(AND(O925=1,I925&lt;Inputs!$B$4),1,0)</f>
        <v>0</v>
      </c>
      <c r="Y925" s="7" t="n">
        <f aca="false">IF(AND(O925=1,T925&gt;Inputs!$B$5),1,0)</f>
        <v>0</v>
      </c>
      <c r="Z925" s="7" t="n">
        <f aca="false">IF(AND(O925=1,G925&lt;&gt;R925),1,0)</f>
        <v>0</v>
      </c>
      <c r="AA925" s="7" t="n">
        <f aca="false">IF(AND(O925=1,M925=""),1,0)</f>
        <v>0</v>
      </c>
      <c r="AB925" s="7" t="n">
        <f aca="false">IF(AND(E925="Closed Lost",N925=""),1,0)</f>
        <v>0</v>
      </c>
      <c r="AC925" s="7" t="n">
        <f aca="false">SUM(U925:AB925)</f>
        <v>0</v>
      </c>
      <c r="AD925" s="7" t="n">
        <f aca="false">IF(AC925=0,1,0)</f>
        <v>1</v>
      </c>
      <c r="AE925" s="7" t="n">
        <f aca="false">IF(AND(O925=1,I925&gt;=Inputs!$B$6,I925&lt;=Inputs!$B$7),1,0)</f>
        <v>1</v>
      </c>
      <c r="AF925" s="7" t="n">
        <f aca="false">IF(AND(E925="Closed Won",I925&gt;=Inputs!$B$6,I925&lt;=Inputs!$B$4),1,0)</f>
        <v>0</v>
      </c>
      <c r="AG925" s="7" t="n">
        <f aca="false">IF(AND(O925=0,I925&gt;Inputs!$B$4-Inputs!$B$8,I925&lt;=Inputs!$B$4),1,0)</f>
        <v>0</v>
      </c>
      <c r="AH925" s="7" t="n">
        <f aca="false">I925-H925</f>
        <v>195</v>
      </c>
    </row>
    <row r="926" customFormat="false" ht="15" hidden="false" customHeight="false" outlineLevel="0" collapsed="false">
      <c r="A926" s="16" t="s">
        <v>2541</v>
      </c>
      <c r="B926" s="16" t="s">
        <v>748</v>
      </c>
      <c r="C926" s="16" t="s">
        <v>2542</v>
      </c>
      <c r="D926" s="16" t="s">
        <v>165</v>
      </c>
      <c r="E926" s="16" t="s">
        <v>530</v>
      </c>
      <c r="F926" s="26" t="n">
        <v>25679000</v>
      </c>
      <c r="G926" s="25" t="n">
        <v>100</v>
      </c>
      <c r="H926" s="22" t="n">
        <v>45933</v>
      </c>
      <c r="I926" s="22" t="n">
        <v>46178</v>
      </c>
      <c r="J926" s="22" t="n">
        <v>46178</v>
      </c>
      <c r="K926" s="16" t="s">
        <v>640</v>
      </c>
      <c r="L926" s="16" t="s">
        <v>500</v>
      </c>
      <c r="M926" s="16"/>
      <c r="N926" s="16"/>
      <c r="O926" s="7" t="n">
        <f aca="false">IF(OR(E926="Closed Won",E926="Closed Lost"),0,1)</f>
        <v>0</v>
      </c>
      <c r="P926" s="17" t="str">
        <f aca="false">INDEX(Accounts!$K$5:$K$336,MATCH(B926,Accounts!$A$5:$A$336,0))</f>
        <v>Technology, Media &amp; Telecom</v>
      </c>
      <c r="Q926" s="17" t="str">
        <f aca="false">INDEX(Accounts!$D$5:$D$336,MATCH(B926,Accounts!$A$5:$A$336,0))</f>
        <v>Key</v>
      </c>
      <c r="R926" s="7" t="n">
        <f aca="false">INDEX(Inputs!$B$11:$B$16,MATCH(E926,Inputs!$A$11:$A$16,0))</f>
        <v>100</v>
      </c>
      <c r="S926" s="27" t="n">
        <f aca="false">IF(F926="",0,F926)*R926/100</f>
        <v>25679000</v>
      </c>
      <c r="T926" s="7" t="n">
        <f aca="false">Inputs!$B$4-J926</f>
        <v>136</v>
      </c>
      <c r="U926" s="7" t="n">
        <f aca="false">IF(OR(F926="",F926=0),1,0)</f>
        <v>0</v>
      </c>
      <c r="V926" s="7" t="n">
        <f aca="false">IF(K926="",1,0)</f>
        <v>0</v>
      </c>
      <c r="W926" s="7" t="n">
        <f aca="false">IF(AND(O926=1,K926&lt;&gt;"",COUNTIFS(Owners!$A$5:$A$32,K926,Owners!$E$5:$E$32,"No")&gt;0),1,0)</f>
        <v>0</v>
      </c>
      <c r="X926" s="7" t="n">
        <f aca="false">IF(AND(O926=1,I926&lt;Inputs!$B$4),1,0)</f>
        <v>0</v>
      </c>
      <c r="Y926" s="7" t="n">
        <f aca="false">IF(AND(O926=1,T926&gt;Inputs!$B$5),1,0)</f>
        <v>0</v>
      </c>
      <c r="Z926" s="7" t="n">
        <f aca="false">IF(AND(O926=1,G926&lt;&gt;R926),1,0)</f>
        <v>0</v>
      </c>
      <c r="AA926" s="7" t="n">
        <f aca="false">IF(AND(O926=1,M926=""),1,0)</f>
        <v>0</v>
      </c>
      <c r="AB926" s="7" t="n">
        <f aca="false">IF(AND(E926="Closed Lost",N926=""),1,0)</f>
        <v>0</v>
      </c>
      <c r="AC926" s="7" t="n">
        <f aca="false">SUM(U926:AB926)</f>
        <v>0</v>
      </c>
      <c r="AD926" s="7" t="n">
        <f aca="false">IF(AC926=0,1,0)</f>
        <v>1</v>
      </c>
      <c r="AE926" s="7" t="n">
        <f aca="false">IF(AND(O926=1,I926&gt;=Inputs!$B$6,I926&lt;=Inputs!$B$7),1,0)</f>
        <v>0</v>
      </c>
      <c r="AF926" s="7" t="n">
        <f aca="false">IF(AND(E926="Closed Won",I926&gt;=Inputs!$B$6,I926&lt;=Inputs!$B$4),1,0)</f>
        <v>0</v>
      </c>
      <c r="AG926" s="7" t="n">
        <f aca="false">IF(AND(O926=0,I926&gt;Inputs!$B$4-Inputs!$B$8,I926&lt;=Inputs!$B$4),1,0)</f>
        <v>1</v>
      </c>
      <c r="AH926" s="7" t="n">
        <f aca="false">I926-H926</f>
        <v>245</v>
      </c>
    </row>
    <row r="927" customFormat="false" ht="15" hidden="false" customHeight="false" outlineLevel="0" collapsed="false">
      <c r="A927" s="16" t="s">
        <v>2543</v>
      </c>
      <c r="B927" s="16" t="s">
        <v>1348</v>
      </c>
      <c r="C927" s="16" t="s">
        <v>2544</v>
      </c>
      <c r="D927" s="16" t="s">
        <v>158</v>
      </c>
      <c r="E927" s="16" t="s">
        <v>530</v>
      </c>
      <c r="F927" s="26" t="n">
        <v>22556000</v>
      </c>
      <c r="G927" s="25" t="n">
        <v>100</v>
      </c>
      <c r="H927" s="22" t="n">
        <v>46057</v>
      </c>
      <c r="I927" s="22" t="n">
        <v>46182</v>
      </c>
      <c r="J927" s="22" t="n">
        <v>46182</v>
      </c>
      <c r="K927" s="16" t="s">
        <v>640</v>
      </c>
      <c r="L927" s="16" t="s">
        <v>574</v>
      </c>
      <c r="M927" s="16"/>
      <c r="N927" s="16"/>
      <c r="O927" s="7" t="n">
        <f aca="false">IF(OR(E927="Closed Won",E927="Closed Lost"),0,1)</f>
        <v>0</v>
      </c>
      <c r="P927" s="17" t="str">
        <f aca="false">INDEX(Accounts!$K$5:$K$336,MATCH(B927,Accounts!$A$5:$A$336,0))</f>
        <v>Public Sector &amp; Development</v>
      </c>
      <c r="Q927" s="17" t="str">
        <f aca="false">INDEX(Accounts!$D$5:$D$336,MATCH(B927,Accounts!$A$5:$A$336,0))</f>
        <v>Standard</v>
      </c>
      <c r="R927" s="7" t="n">
        <f aca="false">INDEX(Inputs!$B$11:$B$16,MATCH(E927,Inputs!$A$11:$A$16,0))</f>
        <v>100</v>
      </c>
      <c r="S927" s="27" t="n">
        <f aca="false">IF(F927="",0,F927)*R927/100</f>
        <v>22556000</v>
      </c>
      <c r="T927" s="7" t="n">
        <f aca="false">Inputs!$B$4-J927</f>
        <v>132</v>
      </c>
      <c r="U927" s="7" t="n">
        <f aca="false">IF(OR(F927="",F927=0),1,0)</f>
        <v>0</v>
      </c>
      <c r="V927" s="7" t="n">
        <f aca="false">IF(K927="",1,0)</f>
        <v>0</v>
      </c>
      <c r="W927" s="7" t="n">
        <f aca="false">IF(AND(O927=1,K927&lt;&gt;"",COUNTIFS(Owners!$A$5:$A$32,K927,Owners!$E$5:$E$32,"No")&gt;0),1,0)</f>
        <v>0</v>
      </c>
      <c r="X927" s="7" t="n">
        <f aca="false">IF(AND(O927=1,I927&lt;Inputs!$B$4),1,0)</f>
        <v>0</v>
      </c>
      <c r="Y927" s="7" t="n">
        <f aca="false">IF(AND(O927=1,T927&gt;Inputs!$B$5),1,0)</f>
        <v>0</v>
      </c>
      <c r="Z927" s="7" t="n">
        <f aca="false">IF(AND(O927=1,G927&lt;&gt;R927),1,0)</f>
        <v>0</v>
      </c>
      <c r="AA927" s="7" t="n">
        <f aca="false">IF(AND(O927=1,M927=""),1,0)</f>
        <v>0</v>
      </c>
      <c r="AB927" s="7" t="n">
        <f aca="false">IF(AND(E927="Closed Lost",N927=""),1,0)</f>
        <v>0</v>
      </c>
      <c r="AC927" s="7" t="n">
        <f aca="false">SUM(U927:AB927)</f>
        <v>0</v>
      </c>
      <c r="AD927" s="7" t="n">
        <f aca="false">IF(AC927=0,1,0)</f>
        <v>1</v>
      </c>
      <c r="AE927" s="7" t="n">
        <f aca="false">IF(AND(O927=1,I927&gt;=Inputs!$B$6,I927&lt;=Inputs!$B$7),1,0)</f>
        <v>0</v>
      </c>
      <c r="AF927" s="7" t="n">
        <f aca="false">IF(AND(E927="Closed Won",I927&gt;=Inputs!$B$6,I927&lt;=Inputs!$B$4),1,0)</f>
        <v>0</v>
      </c>
      <c r="AG927" s="7" t="n">
        <f aca="false">IF(AND(O927=0,I927&gt;Inputs!$B$4-Inputs!$B$8,I927&lt;=Inputs!$B$4),1,0)</f>
        <v>1</v>
      </c>
      <c r="AH927" s="7" t="n">
        <f aca="false">I927-H927</f>
        <v>125</v>
      </c>
    </row>
    <row r="928" customFormat="false" ht="15" hidden="false" customHeight="false" outlineLevel="0" collapsed="false">
      <c r="A928" s="16" t="s">
        <v>2545</v>
      </c>
      <c r="B928" s="16" t="s">
        <v>365</v>
      </c>
      <c r="C928" s="16" t="s">
        <v>2546</v>
      </c>
      <c r="D928" s="16" t="s">
        <v>177</v>
      </c>
      <c r="E928" s="16" t="s">
        <v>530</v>
      </c>
      <c r="F928" s="26"/>
      <c r="G928" s="25" t="n">
        <v>100</v>
      </c>
      <c r="H928" s="22" t="n">
        <v>46174</v>
      </c>
      <c r="I928" s="22" t="n">
        <v>46271</v>
      </c>
      <c r="J928" s="22" t="n">
        <v>46271</v>
      </c>
      <c r="K928" s="16" t="s">
        <v>646</v>
      </c>
      <c r="L928" s="16" t="s">
        <v>568</v>
      </c>
      <c r="M928" s="16"/>
      <c r="N928" s="16"/>
      <c r="O928" s="7" t="n">
        <f aca="false">IF(OR(E928="Closed Won",E928="Closed Lost"),0,1)</f>
        <v>0</v>
      </c>
      <c r="P928" s="17" t="str">
        <f aca="false">INDEX(Accounts!$K$5:$K$336,MATCH(B928,Accounts!$A$5:$A$336,0))</f>
        <v>Energy &amp; Resources</v>
      </c>
      <c r="Q928" s="17" t="str">
        <f aca="false">INDEX(Accounts!$D$5:$D$336,MATCH(B928,Accounts!$A$5:$A$336,0))</f>
        <v>Key</v>
      </c>
      <c r="R928" s="7" t="n">
        <f aca="false">INDEX(Inputs!$B$11:$B$16,MATCH(E928,Inputs!$A$11:$A$16,0))</f>
        <v>100</v>
      </c>
      <c r="S928" s="27" t="n">
        <f aca="false">IF(F928="",0,F928)*R928/100</f>
        <v>0</v>
      </c>
      <c r="T928" s="7" t="n">
        <f aca="false">Inputs!$B$4-J928</f>
        <v>43</v>
      </c>
      <c r="U928" s="7" t="n">
        <f aca="false">IF(OR(F928="",F928=0),1,0)</f>
        <v>1</v>
      </c>
      <c r="V928" s="7" t="n">
        <f aca="false">IF(K928="",1,0)</f>
        <v>0</v>
      </c>
      <c r="W928" s="7" t="n">
        <f aca="false">IF(AND(O928=1,K928&lt;&gt;"",COUNTIFS(Owners!$A$5:$A$32,K928,Owners!$E$5:$E$32,"No")&gt;0),1,0)</f>
        <v>0</v>
      </c>
      <c r="X928" s="7" t="n">
        <f aca="false">IF(AND(O928=1,I928&lt;Inputs!$B$4),1,0)</f>
        <v>0</v>
      </c>
      <c r="Y928" s="7" t="n">
        <f aca="false">IF(AND(O928=1,T928&gt;Inputs!$B$5),1,0)</f>
        <v>0</v>
      </c>
      <c r="Z928" s="7" t="n">
        <f aca="false">IF(AND(O928=1,G928&lt;&gt;R928),1,0)</f>
        <v>0</v>
      </c>
      <c r="AA928" s="7" t="n">
        <f aca="false">IF(AND(O928=1,M928=""),1,0)</f>
        <v>0</v>
      </c>
      <c r="AB928" s="7" t="n">
        <f aca="false">IF(AND(E928="Closed Lost",N928=""),1,0)</f>
        <v>0</v>
      </c>
      <c r="AC928" s="7" t="n">
        <f aca="false">SUM(U928:AB928)</f>
        <v>1</v>
      </c>
      <c r="AD928" s="7" t="n">
        <f aca="false">IF(AC928=0,1,0)</f>
        <v>0</v>
      </c>
      <c r="AE928" s="7" t="n">
        <f aca="false">IF(AND(O928=1,I928&gt;=Inputs!$B$6,I928&lt;=Inputs!$B$7),1,0)</f>
        <v>0</v>
      </c>
      <c r="AF928" s="7" t="n">
        <f aca="false">IF(AND(E928="Closed Won",I928&gt;=Inputs!$B$6,I928&lt;=Inputs!$B$4),1,0)</f>
        <v>1</v>
      </c>
      <c r="AG928" s="7" t="n">
        <f aca="false">IF(AND(O928=0,I928&gt;Inputs!$B$4-Inputs!$B$8,I928&lt;=Inputs!$B$4),1,0)</f>
        <v>1</v>
      </c>
      <c r="AH928" s="7" t="n">
        <f aca="false">I928-H928</f>
        <v>97</v>
      </c>
    </row>
    <row r="929" customFormat="false" ht="15" hidden="false" customHeight="false" outlineLevel="0" collapsed="false">
      <c r="A929" s="16" t="s">
        <v>2547</v>
      </c>
      <c r="B929" s="16" t="s">
        <v>2548</v>
      </c>
      <c r="C929" s="16" t="s">
        <v>2549</v>
      </c>
      <c r="D929" s="16" t="s">
        <v>167</v>
      </c>
      <c r="E929" s="16" t="s">
        <v>530</v>
      </c>
      <c r="F929" s="26" t="n">
        <v>2085000</v>
      </c>
      <c r="G929" s="25" t="n">
        <v>100</v>
      </c>
      <c r="H929" s="22" t="n">
        <v>45912</v>
      </c>
      <c r="I929" s="22" t="n">
        <v>46080</v>
      </c>
      <c r="J929" s="22" t="n">
        <v>46080</v>
      </c>
      <c r="K929" s="16" t="s">
        <v>604</v>
      </c>
      <c r="L929" s="16" t="s">
        <v>574</v>
      </c>
      <c r="M929" s="16"/>
      <c r="N929" s="16"/>
      <c r="O929" s="7" t="n">
        <f aca="false">IF(OR(E929="Closed Won",E929="Closed Lost"),0,1)</f>
        <v>0</v>
      </c>
      <c r="P929" s="17" t="str">
        <f aca="false">INDEX(Accounts!$K$5:$K$336,MATCH(B929,Accounts!$A$5:$A$336,0))</f>
        <v>Health</v>
      </c>
      <c r="Q929" s="17" t="str">
        <f aca="false">INDEX(Accounts!$D$5:$D$336,MATCH(B929,Accounts!$A$5:$A$336,0))</f>
        <v>Standard</v>
      </c>
      <c r="R929" s="7" t="n">
        <f aca="false">INDEX(Inputs!$B$11:$B$16,MATCH(E929,Inputs!$A$11:$A$16,0))</f>
        <v>100</v>
      </c>
      <c r="S929" s="27" t="n">
        <f aca="false">IF(F929="",0,F929)*R929/100</f>
        <v>2085000</v>
      </c>
      <c r="T929" s="7" t="n">
        <f aca="false">Inputs!$B$4-J929</f>
        <v>234</v>
      </c>
      <c r="U929" s="7" t="n">
        <f aca="false">IF(OR(F929="",F929=0),1,0)</f>
        <v>0</v>
      </c>
      <c r="V929" s="7" t="n">
        <f aca="false">IF(K929="",1,0)</f>
        <v>0</v>
      </c>
      <c r="W929" s="7" t="n">
        <f aca="false">IF(AND(O929=1,K929&lt;&gt;"",COUNTIFS(Owners!$A$5:$A$32,K929,Owners!$E$5:$E$32,"No")&gt;0),1,0)</f>
        <v>0</v>
      </c>
      <c r="X929" s="7" t="n">
        <f aca="false">IF(AND(O929=1,I929&lt;Inputs!$B$4),1,0)</f>
        <v>0</v>
      </c>
      <c r="Y929" s="7" t="n">
        <f aca="false">IF(AND(O929=1,T929&gt;Inputs!$B$5),1,0)</f>
        <v>0</v>
      </c>
      <c r="Z929" s="7" t="n">
        <f aca="false">IF(AND(O929=1,G929&lt;&gt;R929),1,0)</f>
        <v>0</v>
      </c>
      <c r="AA929" s="7" t="n">
        <f aca="false">IF(AND(O929=1,M929=""),1,0)</f>
        <v>0</v>
      </c>
      <c r="AB929" s="7" t="n">
        <f aca="false">IF(AND(E929="Closed Lost",N929=""),1,0)</f>
        <v>0</v>
      </c>
      <c r="AC929" s="7" t="n">
        <f aca="false">SUM(U929:AB929)</f>
        <v>0</v>
      </c>
      <c r="AD929" s="7" t="n">
        <f aca="false">IF(AC929=0,1,0)</f>
        <v>1</v>
      </c>
      <c r="AE929" s="7" t="n">
        <f aca="false">IF(AND(O929=1,I929&gt;=Inputs!$B$6,I929&lt;=Inputs!$B$7),1,0)</f>
        <v>0</v>
      </c>
      <c r="AF929" s="7" t="n">
        <f aca="false">IF(AND(E929="Closed Won",I929&gt;=Inputs!$B$6,I929&lt;=Inputs!$B$4),1,0)</f>
        <v>0</v>
      </c>
      <c r="AG929" s="7" t="n">
        <f aca="false">IF(AND(O929=0,I929&gt;Inputs!$B$4-Inputs!$B$8,I929&lt;=Inputs!$B$4),1,0)</f>
        <v>1</v>
      </c>
      <c r="AH929" s="7" t="n">
        <f aca="false">I929-H929</f>
        <v>168</v>
      </c>
    </row>
    <row r="930" customFormat="false" ht="15" hidden="false" customHeight="false" outlineLevel="0" collapsed="false">
      <c r="A930" s="16" t="s">
        <v>2550</v>
      </c>
      <c r="B930" s="16" t="s">
        <v>668</v>
      </c>
      <c r="C930" s="16" t="s">
        <v>2551</v>
      </c>
      <c r="D930" s="16" t="s">
        <v>177</v>
      </c>
      <c r="E930" s="16" t="s">
        <v>530</v>
      </c>
      <c r="F930" s="26" t="n">
        <v>4898000</v>
      </c>
      <c r="G930" s="25" t="n">
        <v>100</v>
      </c>
      <c r="H930" s="22" t="n">
        <v>45895</v>
      </c>
      <c r="I930" s="22" t="n">
        <v>46003</v>
      </c>
      <c r="J930" s="22" t="n">
        <v>46003</v>
      </c>
      <c r="K930" s="16" t="s">
        <v>583</v>
      </c>
      <c r="L930" s="16" t="s">
        <v>568</v>
      </c>
      <c r="M930" s="16"/>
      <c r="N930" s="16"/>
      <c r="O930" s="7" t="n">
        <f aca="false">IF(OR(E930="Closed Won",E930="Closed Lost"),0,1)</f>
        <v>0</v>
      </c>
      <c r="P930" s="17" t="str">
        <f aca="false">INDEX(Accounts!$K$5:$K$336,MATCH(B930,Accounts!$A$5:$A$336,0))</f>
        <v>Public Sector &amp; Development</v>
      </c>
      <c r="Q930" s="17" t="str">
        <f aca="false">INDEX(Accounts!$D$5:$D$336,MATCH(B930,Accounts!$A$5:$A$336,0))</f>
        <v>Key</v>
      </c>
      <c r="R930" s="7" t="n">
        <f aca="false">INDEX(Inputs!$B$11:$B$16,MATCH(E930,Inputs!$A$11:$A$16,0))</f>
        <v>100</v>
      </c>
      <c r="S930" s="27" t="n">
        <f aca="false">IF(F930="",0,F930)*R930/100</f>
        <v>4898000</v>
      </c>
      <c r="T930" s="7" t="n">
        <f aca="false">Inputs!$B$4-J930</f>
        <v>311</v>
      </c>
      <c r="U930" s="7" t="n">
        <f aca="false">IF(OR(F930="",F930=0),1,0)</f>
        <v>0</v>
      </c>
      <c r="V930" s="7" t="n">
        <f aca="false">IF(K930="",1,0)</f>
        <v>0</v>
      </c>
      <c r="W930" s="7" t="n">
        <f aca="false">IF(AND(O930=1,K930&lt;&gt;"",COUNTIFS(Owners!$A$5:$A$32,K930,Owners!$E$5:$E$32,"No")&gt;0),1,0)</f>
        <v>0</v>
      </c>
      <c r="X930" s="7" t="n">
        <f aca="false">IF(AND(O930=1,I930&lt;Inputs!$B$4),1,0)</f>
        <v>0</v>
      </c>
      <c r="Y930" s="7" t="n">
        <f aca="false">IF(AND(O930=1,T930&gt;Inputs!$B$5),1,0)</f>
        <v>0</v>
      </c>
      <c r="Z930" s="7" t="n">
        <f aca="false">IF(AND(O930=1,G930&lt;&gt;R930),1,0)</f>
        <v>0</v>
      </c>
      <c r="AA930" s="7" t="n">
        <f aca="false">IF(AND(O930=1,M930=""),1,0)</f>
        <v>0</v>
      </c>
      <c r="AB930" s="7" t="n">
        <f aca="false">IF(AND(E930="Closed Lost",N930=""),1,0)</f>
        <v>0</v>
      </c>
      <c r="AC930" s="7" t="n">
        <f aca="false">SUM(U930:AB930)</f>
        <v>0</v>
      </c>
      <c r="AD930" s="7" t="n">
        <f aca="false">IF(AC930=0,1,0)</f>
        <v>1</v>
      </c>
      <c r="AE930" s="7" t="n">
        <f aca="false">IF(AND(O930=1,I930&gt;=Inputs!$B$6,I930&lt;=Inputs!$B$7),1,0)</f>
        <v>0</v>
      </c>
      <c r="AF930" s="7" t="n">
        <f aca="false">IF(AND(E930="Closed Won",I930&gt;=Inputs!$B$6,I930&lt;=Inputs!$B$4),1,0)</f>
        <v>0</v>
      </c>
      <c r="AG930" s="7" t="n">
        <f aca="false">IF(AND(O930=0,I930&gt;Inputs!$B$4-Inputs!$B$8,I930&lt;=Inputs!$B$4),1,0)</f>
        <v>1</v>
      </c>
      <c r="AH930" s="7" t="n">
        <f aca="false">I930-H930</f>
        <v>108</v>
      </c>
    </row>
    <row r="931" customFormat="false" ht="15" hidden="false" customHeight="false" outlineLevel="0" collapsed="false">
      <c r="A931" s="16" t="s">
        <v>2552</v>
      </c>
      <c r="B931" s="16" t="s">
        <v>488</v>
      </c>
      <c r="C931" s="16" t="s">
        <v>2553</v>
      </c>
      <c r="D931" s="16" t="s">
        <v>162</v>
      </c>
      <c r="E931" s="16" t="s">
        <v>530</v>
      </c>
      <c r="F931" s="26" t="n">
        <v>13705000</v>
      </c>
      <c r="G931" s="25" t="n">
        <v>100</v>
      </c>
      <c r="H931" s="22" t="n">
        <v>45923</v>
      </c>
      <c r="I931" s="22" t="n">
        <v>46158</v>
      </c>
      <c r="J931" s="22" t="n">
        <v>46158</v>
      </c>
      <c r="K931" s="16" t="s">
        <v>860</v>
      </c>
      <c r="L931" s="16" t="s">
        <v>500</v>
      </c>
      <c r="M931" s="16"/>
      <c r="N931" s="16"/>
      <c r="O931" s="7" t="n">
        <f aca="false">IF(OR(E931="Closed Won",E931="Closed Lost"),0,1)</f>
        <v>0</v>
      </c>
      <c r="P931" s="17" t="str">
        <f aca="false">INDEX(Accounts!$K$5:$K$336,MATCH(B931,Accounts!$A$5:$A$336,0))</f>
        <v>Public Sector &amp; Development</v>
      </c>
      <c r="Q931" s="17" t="str">
        <f aca="false">INDEX(Accounts!$D$5:$D$336,MATCH(B931,Accounts!$A$5:$A$336,0))</f>
        <v>Standard</v>
      </c>
      <c r="R931" s="7" t="n">
        <f aca="false">INDEX(Inputs!$B$11:$B$16,MATCH(E931,Inputs!$A$11:$A$16,0))</f>
        <v>100</v>
      </c>
      <c r="S931" s="27" t="n">
        <f aca="false">IF(F931="",0,F931)*R931/100</f>
        <v>13705000</v>
      </c>
      <c r="T931" s="7" t="n">
        <f aca="false">Inputs!$B$4-J931</f>
        <v>156</v>
      </c>
      <c r="U931" s="7" t="n">
        <f aca="false">IF(OR(F931="",F931=0),1,0)</f>
        <v>0</v>
      </c>
      <c r="V931" s="7" t="n">
        <f aca="false">IF(K931="",1,0)</f>
        <v>0</v>
      </c>
      <c r="W931" s="7" t="n">
        <f aca="false">IF(AND(O931=1,K931&lt;&gt;"",COUNTIFS(Owners!$A$5:$A$32,K931,Owners!$E$5:$E$32,"No")&gt;0),1,0)</f>
        <v>0</v>
      </c>
      <c r="X931" s="7" t="n">
        <f aca="false">IF(AND(O931=1,I931&lt;Inputs!$B$4),1,0)</f>
        <v>0</v>
      </c>
      <c r="Y931" s="7" t="n">
        <f aca="false">IF(AND(O931=1,T931&gt;Inputs!$B$5),1,0)</f>
        <v>0</v>
      </c>
      <c r="Z931" s="7" t="n">
        <f aca="false">IF(AND(O931=1,G931&lt;&gt;R931),1,0)</f>
        <v>0</v>
      </c>
      <c r="AA931" s="7" t="n">
        <f aca="false">IF(AND(O931=1,M931=""),1,0)</f>
        <v>0</v>
      </c>
      <c r="AB931" s="7" t="n">
        <f aca="false">IF(AND(E931="Closed Lost",N931=""),1,0)</f>
        <v>0</v>
      </c>
      <c r="AC931" s="7" t="n">
        <f aca="false">SUM(U931:AB931)</f>
        <v>0</v>
      </c>
      <c r="AD931" s="7" t="n">
        <f aca="false">IF(AC931=0,1,0)</f>
        <v>1</v>
      </c>
      <c r="AE931" s="7" t="n">
        <f aca="false">IF(AND(O931=1,I931&gt;=Inputs!$B$6,I931&lt;=Inputs!$B$7),1,0)</f>
        <v>0</v>
      </c>
      <c r="AF931" s="7" t="n">
        <f aca="false">IF(AND(E931="Closed Won",I931&gt;=Inputs!$B$6,I931&lt;=Inputs!$B$4),1,0)</f>
        <v>0</v>
      </c>
      <c r="AG931" s="7" t="n">
        <f aca="false">IF(AND(O931=0,I931&gt;Inputs!$B$4-Inputs!$B$8,I931&lt;=Inputs!$B$4),1,0)</f>
        <v>1</v>
      </c>
      <c r="AH931" s="7" t="n">
        <f aca="false">I931-H931</f>
        <v>235</v>
      </c>
    </row>
    <row r="932" customFormat="false" ht="15" hidden="false" customHeight="false" outlineLevel="0" collapsed="false">
      <c r="A932" s="16" t="s">
        <v>2554</v>
      </c>
      <c r="B932" s="16" t="s">
        <v>695</v>
      </c>
      <c r="C932" s="16" t="s">
        <v>2555</v>
      </c>
      <c r="D932" s="16" t="s">
        <v>167</v>
      </c>
      <c r="E932" s="16" t="s">
        <v>531</v>
      </c>
      <c r="F932" s="26" t="n">
        <v>3742000</v>
      </c>
      <c r="G932" s="25" t="n">
        <v>0</v>
      </c>
      <c r="H932" s="22" t="n">
        <v>46084</v>
      </c>
      <c r="I932" s="22" t="n">
        <v>46245</v>
      </c>
      <c r="J932" s="22" t="n">
        <v>46245</v>
      </c>
      <c r="K932" s="16" t="s">
        <v>588</v>
      </c>
      <c r="L932" s="16" t="s">
        <v>609</v>
      </c>
      <c r="M932" s="16"/>
      <c r="N932" s="16"/>
      <c r="O932" s="7" t="n">
        <f aca="false">IF(OR(E932="Closed Won",E932="Closed Lost"),0,1)</f>
        <v>0</v>
      </c>
      <c r="P932" s="17" t="str">
        <f aca="false">INDEX(Accounts!$K$5:$K$336,MATCH(B932,Accounts!$A$5:$A$336,0))</f>
        <v>Technology, Media &amp; Telecom</v>
      </c>
      <c r="Q932" s="17" t="str">
        <f aca="false">INDEX(Accounts!$D$5:$D$336,MATCH(B932,Accounts!$A$5:$A$336,0))</f>
        <v>Key</v>
      </c>
      <c r="R932" s="7" t="n">
        <f aca="false">INDEX(Inputs!$B$11:$B$16,MATCH(E932,Inputs!$A$11:$A$16,0))</f>
        <v>0</v>
      </c>
      <c r="S932" s="27" t="n">
        <f aca="false">IF(F932="",0,F932)*R932/100</f>
        <v>0</v>
      </c>
      <c r="T932" s="7" t="n">
        <f aca="false">Inputs!$B$4-J932</f>
        <v>69</v>
      </c>
      <c r="U932" s="7" t="n">
        <f aca="false">IF(OR(F932="",F932=0),1,0)</f>
        <v>0</v>
      </c>
      <c r="V932" s="7" t="n">
        <f aca="false">IF(K932="",1,0)</f>
        <v>0</v>
      </c>
      <c r="W932" s="7" t="n">
        <f aca="false">IF(AND(O932=1,K932&lt;&gt;"",COUNTIFS(Owners!$A$5:$A$32,K932,Owners!$E$5:$E$32,"No")&gt;0),1,0)</f>
        <v>0</v>
      </c>
      <c r="X932" s="7" t="n">
        <f aca="false">IF(AND(O932=1,I932&lt;Inputs!$B$4),1,0)</f>
        <v>0</v>
      </c>
      <c r="Y932" s="7" t="n">
        <f aca="false">IF(AND(O932=1,T932&gt;Inputs!$B$5),1,0)</f>
        <v>0</v>
      </c>
      <c r="Z932" s="7" t="n">
        <f aca="false">IF(AND(O932=1,G932&lt;&gt;R932),1,0)</f>
        <v>0</v>
      </c>
      <c r="AA932" s="7" t="n">
        <f aca="false">IF(AND(O932=1,M932=""),1,0)</f>
        <v>0</v>
      </c>
      <c r="AB932" s="7" t="n">
        <f aca="false">IF(AND(E932="Closed Lost",N932=""),1,0)</f>
        <v>1</v>
      </c>
      <c r="AC932" s="7" t="n">
        <f aca="false">SUM(U932:AB932)</f>
        <v>1</v>
      </c>
      <c r="AD932" s="7" t="n">
        <f aca="false">IF(AC932=0,1,0)</f>
        <v>0</v>
      </c>
      <c r="AE932" s="7" t="n">
        <f aca="false">IF(AND(O932=1,I932&gt;=Inputs!$B$6,I932&lt;=Inputs!$B$7),1,0)</f>
        <v>0</v>
      </c>
      <c r="AF932" s="7" t="n">
        <f aca="false">IF(AND(E932="Closed Won",I932&gt;=Inputs!$B$6,I932&lt;=Inputs!$B$4),1,0)</f>
        <v>0</v>
      </c>
      <c r="AG932" s="7" t="n">
        <f aca="false">IF(AND(O932=0,I932&gt;Inputs!$B$4-Inputs!$B$8,I932&lt;=Inputs!$B$4),1,0)</f>
        <v>1</v>
      </c>
      <c r="AH932" s="7" t="n">
        <f aca="false">I932-H932</f>
        <v>161</v>
      </c>
    </row>
    <row r="933" customFormat="false" ht="15" hidden="false" customHeight="false" outlineLevel="0" collapsed="false">
      <c r="A933" s="16" t="s">
        <v>2556</v>
      </c>
      <c r="B933" s="16" t="s">
        <v>81</v>
      </c>
      <c r="C933" s="16" t="s">
        <v>2557</v>
      </c>
      <c r="D933" s="16" t="s">
        <v>177</v>
      </c>
      <c r="E933" s="16" t="s">
        <v>528</v>
      </c>
      <c r="F933" s="26"/>
      <c r="G933" s="25" t="n">
        <v>50</v>
      </c>
      <c r="H933" s="22" t="n">
        <v>46118</v>
      </c>
      <c r="I933" s="22" t="n">
        <v>46456</v>
      </c>
      <c r="J933" s="22" t="n">
        <v>46270</v>
      </c>
      <c r="K933" s="16" t="s">
        <v>704</v>
      </c>
      <c r="L933" s="16" t="s">
        <v>584</v>
      </c>
      <c r="M933" s="16" t="s">
        <v>575</v>
      </c>
      <c r="N933" s="16"/>
      <c r="O933" s="7" t="n">
        <f aca="false">IF(OR(E933="Closed Won",E933="Closed Lost"),0,1)</f>
        <v>1</v>
      </c>
      <c r="P933" s="17" t="str">
        <f aca="false">INDEX(Accounts!$K$5:$K$336,MATCH(B933,Accounts!$A$5:$A$336,0))</f>
        <v>Financial Services</v>
      </c>
      <c r="Q933" s="17" t="str">
        <f aca="false">INDEX(Accounts!$D$5:$D$336,MATCH(B933,Accounts!$A$5:$A$336,0))</f>
        <v>Priority</v>
      </c>
      <c r="R933" s="7" t="n">
        <f aca="false">INDEX(Inputs!$B$11:$B$16,MATCH(E933,Inputs!$A$11:$A$16,0))</f>
        <v>50</v>
      </c>
      <c r="S933" s="27" t="n">
        <f aca="false">IF(F933="",0,F933)*R933/100</f>
        <v>0</v>
      </c>
      <c r="T933" s="7" t="n">
        <f aca="false">Inputs!$B$4-J933</f>
        <v>44</v>
      </c>
      <c r="U933" s="7" t="n">
        <f aca="false">IF(OR(F933="",F933=0),1,0)</f>
        <v>1</v>
      </c>
      <c r="V933" s="7" t="n">
        <f aca="false">IF(K933="",1,0)</f>
        <v>0</v>
      </c>
      <c r="W933" s="7" t="n">
        <f aca="false">IF(AND(O933=1,K933&lt;&gt;"",COUNTIFS(Owners!$A$5:$A$32,K933,Owners!$E$5:$E$32,"No")&gt;0),1,0)</f>
        <v>0</v>
      </c>
      <c r="X933" s="7" t="n">
        <f aca="false">IF(AND(O933=1,I933&lt;Inputs!$B$4),1,0)</f>
        <v>0</v>
      </c>
      <c r="Y933" s="7" t="n">
        <f aca="false">IF(AND(O933=1,T933&gt;Inputs!$B$5),1,0)</f>
        <v>0</v>
      </c>
      <c r="Z933" s="7" t="n">
        <f aca="false">IF(AND(O933=1,G933&lt;&gt;R933),1,0)</f>
        <v>0</v>
      </c>
      <c r="AA933" s="7" t="n">
        <f aca="false">IF(AND(O933=1,M933=""),1,0)</f>
        <v>0</v>
      </c>
      <c r="AB933" s="7" t="n">
        <f aca="false">IF(AND(E933="Closed Lost",N933=""),1,0)</f>
        <v>0</v>
      </c>
      <c r="AC933" s="7" t="n">
        <f aca="false">SUM(U933:AB933)</f>
        <v>1</v>
      </c>
      <c r="AD933" s="7" t="n">
        <f aca="false">IF(AC933=0,1,0)</f>
        <v>0</v>
      </c>
      <c r="AE933" s="7" t="n">
        <f aca="false">IF(AND(O933=1,I933&gt;=Inputs!$B$6,I933&lt;=Inputs!$B$7),1,0)</f>
        <v>1</v>
      </c>
      <c r="AF933" s="7" t="n">
        <f aca="false">IF(AND(E933="Closed Won",I933&gt;=Inputs!$B$6,I933&lt;=Inputs!$B$4),1,0)</f>
        <v>0</v>
      </c>
      <c r="AG933" s="7" t="n">
        <f aca="false">IF(AND(O933=0,I933&gt;Inputs!$B$4-Inputs!$B$8,I933&lt;=Inputs!$B$4),1,0)</f>
        <v>0</v>
      </c>
      <c r="AH933" s="7" t="n">
        <f aca="false">I933-H933</f>
        <v>338</v>
      </c>
    </row>
    <row r="934" customFormat="false" ht="15" hidden="false" customHeight="false" outlineLevel="0" collapsed="false">
      <c r="A934" s="16" t="s">
        <v>2558</v>
      </c>
      <c r="B934" s="16" t="s">
        <v>269</v>
      </c>
      <c r="C934" s="16" t="s">
        <v>2559</v>
      </c>
      <c r="D934" s="16" t="s">
        <v>165</v>
      </c>
      <c r="E934" s="16" t="s">
        <v>531</v>
      </c>
      <c r="F934" s="26" t="n">
        <v>15978000</v>
      </c>
      <c r="G934" s="25" t="n">
        <v>0</v>
      </c>
      <c r="H934" s="22" t="n">
        <v>46120</v>
      </c>
      <c r="I934" s="22" t="n">
        <v>46271</v>
      </c>
      <c r="J934" s="22" t="n">
        <v>46271</v>
      </c>
      <c r="K934" s="16" t="s">
        <v>578</v>
      </c>
      <c r="L934" s="16" t="s">
        <v>592</v>
      </c>
      <c r="M934" s="16"/>
      <c r="N934" s="16" t="s">
        <v>597</v>
      </c>
      <c r="O934" s="7" t="n">
        <f aca="false">IF(OR(E934="Closed Won",E934="Closed Lost"),0,1)</f>
        <v>0</v>
      </c>
      <c r="P934" s="17" t="str">
        <f aca="false">INDEX(Accounts!$K$5:$K$336,MATCH(B934,Accounts!$A$5:$A$336,0))</f>
        <v>Technology, Media &amp; Telecom</v>
      </c>
      <c r="Q934" s="17" t="str">
        <f aca="false">INDEX(Accounts!$D$5:$D$336,MATCH(B934,Accounts!$A$5:$A$336,0))</f>
        <v>Key</v>
      </c>
      <c r="R934" s="7" t="n">
        <f aca="false">INDEX(Inputs!$B$11:$B$16,MATCH(E934,Inputs!$A$11:$A$16,0))</f>
        <v>0</v>
      </c>
      <c r="S934" s="27" t="n">
        <f aca="false">IF(F934="",0,F934)*R934/100</f>
        <v>0</v>
      </c>
      <c r="T934" s="7" t="n">
        <f aca="false">Inputs!$B$4-J934</f>
        <v>43</v>
      </c>
      <c r="U934" s="7" t="n">
        <f aca="false">IF(OR(F934="",F934=0),1,0)</f>
        <v>0</v>
      </c>
      <c r="V934" s="7" t="n">
        <f aca="false">IF(K934="",1,0)</f>
        <v>0</v>
      </c>
      <c r="W934" s="7" t="n">
        <f aca="false">IF(AND(O934=1,K934&lt;&gt;"",COUNTIFS(Owners!$A$5:$A$32,K934,Owners!$E$5:$E$32,"No")&gt;0),1,0)</f>
        <v>0</v>
      </c>
      <c r="X934" s="7" t="n">
        <f aca="false">IF(AND(O934=1,I934&lt;Inputs!$B$4),1,0)</f>
        <v>0</v>
      </c>
      <c r="Y934" s="7" t="n">
        <f aca="false">IF(AND(O934=1,T934&gt;Inputs!$B$5),1,0)</f>
        <v>0</v>
      </c>
      <c r="Z934" s="7" t="n">
        <f aca="false">IF(AND(O934=1,G934&lt;&gt;R934),1,0)</f>
        <v>0</v>
      </c>
      <c r="AA934" s="7" t="n">
        <f aca="false">IF(AND(O934=1,M934=""),1,0)</f>
        <v>0</v>
      </c>
      <c r="AB934" s="7" t="n">
        <f aca="false">IF(AND(E934="Closed Lost",N934=""),1,0)</f>
        <v>0</v>
      </c>
      <c r="AC934" s="7" t="n">
        <f aca="false">SUM(U934:AB934)</f>
        <v>0</v>
      </c>
      <c r="AD934" s="7" t="n">
        <f aca="false">IF(AC934=0,1,0)</f>
        <v>1</v>
      </c>
      <c r="AE934" s="7" t="n">
        <f aca="false">IF(AND(O934=1,I934&gt;=Inputs!$B$6,I934&lt;=Inputs!$B$7),1,0)</f>
        <v>0</v>
      </c>
      <c r="AF934" s="7" t="n">
        <f aca="false">IF(AND(E934="Closed Won",I934&gt;=Inputs!$B$6,I934&lt;=Inputs!$B$4),1,0)</f>
        <v>0</v>
      </c>
      <c r="AG934" s="7" t="n">
        <f aca="false">IF(AND(O934=0,I934&gt;Inputs!$B$4-Inputs!$B$8,I934&lt;=Inputs!$B$4),1,0)</f>
        <v>1</v>
      </c>
      <c r="AH934" s="7" t="n">
        <f aca="false">I934-H934</f>
        <v>151</v>
      </c>
    </row>
    <row r="935" customFormat="false" ht="15" hidden="false" customHeight="false" outlineLevel="0" collapsed="false">
      <c r="A935" s="16" t="s">
        <v>2560</v>
      </c>
      <c r="B935" s="16" t="s">
        <v>71</v>
      </c>
      <c r="C935" s="16" t="s">
        <v>2561</v>
      </c>
      <c r="D935" s="16" t="s">
        <v>177</v>
      </c>
      <c r="E935" s="16" t="s">
        <v>530</v>
      </c>
      <c r="F935" s="26" t="n">
        <v>5769000</v>
      </c>
      <c r="G935" s="25" t="n">
        <v>100</v>
      </c>
      <c r="H935" s="22" t="n">
        <v>46030</v>
      </c>
      <c r="I935" s="22" t="n">
        <v>46123</v>
      </c>
      <c r="J935" s="22" t="n">
        <v>46123</v>
      </c>
      <c r="K935" s="16" t="s">
        <v>591</v>
      </c>
      <c r="L935" s="16" t="s">
        <v>584</v>
      </c>
      <c r="M935" s="16"/>
      <c r="N935" s="16"/>
      <c r="O935" s="7" t="n">
        <f aca="false">IF(OR(E935="Closed Won",E935="Closed Lost"),0,1)</f>
        <v>0</v>
      </c>
      <c r="P935" s="17" t="str">
        <f aca="false">INDEX(Accounts!$K$5:$K$336,MATCH(B935,Accounts!$A$5:$A$336,0))</f>
        <v>Energy &amp; Resources</v>
      </c>
      <c r="Q935" s="17" t="str">
        <f aca="false">INDEX(Accounts!$D$5:$D$336,MATCH(B935,Accounts!$A$5:$A$336,0))</f>
        <v>Priority</v>
      </c>
      <c r="R935" s="7" t="n">
        <f aca="false">INDEX(Inputs!$B$11:$B$16,MATCH(E935,Inputs!$A$11:$A$16,0))</f>
        <v>100</v>
      </c>
      <c r="S935" s="27" t="n">
        <f aca="false">IF(F935="",0,F935)*R935/100</f>
        <v>5769000</v>
      </c>
      <c r="T935" s="7" t="n">
        <f aca="false">Inputs!$B$4-J935</f>
        <v>191</v>
      </c>
      <c r="U935" s="7" t="n">
        <f aca="false">IF(OR(F935="",F935=0),1,0)</f>
        <v>0</v>
      </c>
      <c r="V935" s="7" t="n">
        <f aca="false">IF(K935="",1,0)</f>
        <v>0</v>
      </c>
      <c r="W935" s="7" t="n">
        <f aca="false">IF(AND(O935=1,K935&lt;&gt;"",COUNTIFS(Owners!$A$5:$A$32,K935,Owners!$E$5:$E$32,"No")&gt;0),1,0)</f>
        <v>0</v>
      </c>
      <c r="X935" s="7" t="n">
        <f aca="false">IF(AND(O935=1,I935&lt;Inputs!$B$4),1,0)</f>
        <v>0</v>
      </c>
      <c r="Y935" s="7" t="n">
        <f aca="false">IF(AND(O935=1,T935&gt;Inputs!$B$5),1,0)</f>
        <v>0</v>
      </c>
      <c r="Z935" s="7" t="n">
        <f aca="false">IF(AND(O935=1,G935&lt;&gt;R935),1,0)</f>
        <v>0</v>
      </c>
      <c r="AA935" s="7" t="n">
        <f aca="false">IF(AND(O935=1,M935=""),1,0)</f>
        <v>0</v>
      </c>
      <c r="AB935" s="7" t="n">
        <f aca="false">IF(AND(E935="Closed Lost",N935=""),1,0)</f>
        <v>0</v>
      </c>
      <c r="AC935" s="7" t="n">
        <f aca="false">SUM(U935:AB935)</f>
        <v>0</v>
      </c>
      <c r="AD935" s="7" t="n">
        <f aca="false">IF(AC935=0,1,0)</f>
        <v>1</v>
      </c>
      <c r="AE935" s="7" t="n">
        <f aca="false">IF(AND(O935=1,I935&gt;=Inputs!$B$6,I935&lt;=Inputs!$B$7),1,0)</f>
        <v>0</v>
      </c>
      <c r="AF935" s="7" t="n">
        <f aca="false">IF(AND(E935="Closed Won",I935&gt;=Inputs!$B$6,I935&lt;=Inputs!$B$4),1,0)</f>
        <v>0</v>
      </c>
      <c r="AG935" s="7" t="n">
        <f aca="false">IF(AND(O935=0,I935&gt;Inputs!$B$4-Inputs!$B$8,I935&lt;=Inputs!$B$4),1,0)</f>
        <v>1</v>
      </c>
      <c r="AH935" s="7" t="n">
        <f aca="false">I935-H935</f>
        <v>93</v>
      </c>
    </row>
    <row r="936" customFormat="false" ht="15" hidden="false" customHeight="false" outlineLevel="0" collapsed="false">
      <c r="A936" s="16" t="s">
        <v>2562</v>
      </c>
      <c r="B936" s="16" t="s">
        <v>75</v>
      </c>
      <c r="C936" s="16" t="s">
        <v>2563</v>
      </c>
      <c r="D936" s="16" t="s">
        <v>165</v>
      </c>
      <c r="E936" s="16" t="s">
        <v>526</v>
      </c>
      <c r="F936" s="26" t="n">
        <v>19452000</v>
      </c>
      <c r="G936" s="25" t="n">
        <v>90</v>
      </c>
      <c r="H936" s="22" t="n">
        <v>46226</v>
      </c>
      <c r="I936" s="22" t="n">
        <v>46426</v>
      </c>
      <c r="J936" s="22" t="n">
        <v>46311</v>
      </c>
      <c r="K936" s="16" t="s">
        <v>704</v>
      </c>
      <c r="L936" s="16" t="s">
        <v>500</v>
      </c>
      <c r="M936" s="16" t="s">
        <v>569</v>
      </c>
      <c r="N936" s="16"/>
      <c r="O936" s="7" t="n">
        <f aca="false">IF(OR(E936="Closed Won",E936="Closed Lost"),0,1)</f>
        <v>1</v>
      </c>
      <c r="P936" s="17" t="str">
        <f aca="false">INDEX(Accounts!$K$5:$K$336,MATCH(B936,Accounts!$A$5:$A$336,0))</f>
        <v>Technology, Media &amp; Telecom</v>
      </c>
      <c r="Q936" s="17" t="str">
        <f aca="false">INDEX(Accounts!$D$5:$D$336,MATCH(B936,Accounts!$A$5:$A$336,0))</f>
        <v>Priority</v>
      </c>
      <c r="R936" s="7" t="n">
        <f aca="false">INDEX(Inputs!$B$11:$B$16,MATCH(E936,Inputs!$A$11:$A$16,0))</f>
        <v>10</v>
      </c>
      <c r="S936" s="27" t="n">
        <f aca="false">IF(F936="",0,F936)*R936/100</f>
        <v>1945200</v>
      </c>
      <c r="T936" s="7" t="n">
        <f aca="false">Inputs!$B$4-J936</f>
        <v>3</v>
      </c>
      <c r="U936" s="7" t="n">
        <f aca="false">IF(OR(F936="",F936=0),1,0)</f>
        <v>0</v>
      </c>
      <c r="V936" s="7" t="n">
        <f aca="false">IF(K936="",1,0)</f>
        <v>0</v>
      </c>
      <c r="W936" s="7" t="n">
        <f aca="false">IF(AND(O936=1,K936&lt;&gt;"",COUNTIFS(Owners!$A$5:$A$32,K936,Owners!$E$5:$E$32,"No")&gt;0),1,0)</f>
        <v>0</v>
      </c>
      <c r="X936" s="7" t="n">
        <f aca="false">IF(AND(O936=1,I936&lt;Inputs!$B$4),1,0)</f>
        <v>0</v>
      </c>
      <c r="Y936" s="7" t="n">
        <f aca="false">IF(AND(O936=1,T936&gt;Inputs!$B$5),1,0)</f>
        <v>0</v>
      </c>
      <c r="Z936" s="7" t="n">
        <f aca="false">IF(AND(O936=1,G936&lt;&gt;R936),1,0)</f>
        <v>1</v>
      </c>
      <c r="AA936" s="7" t="n">
        <f aca="false">IF(AND(O936=1,M936=""),1,0)</f>
        <v>0</v>
      </c>
      <c r="AB936" s="7" t="n">
        <f aca="false">IF(AND(E936="Closed Lost",N936=""),1,0)</f>
        <v>0</v>
      </c>
      <c r="AC936" s="7" t="n">
        <f aca="false">SUM(U936:AB936)</f>
        <v>1</v>
      </c>
      <c r="AD936" s="7" t="n">
        <f aca="false">IF(AC936=0,1,0)</f>
        <v>0</v>
      </c>
      <c r="AE936" s="7" t="n">
        <f aca="false">IF(AND(O936=1,I936&gt;=Inputs!$B$6,I936&lt;=Inputs!$B$7),1,0)</f>
        <v>1</v>
      </c>
      <c r="AF936" s="7" t="n">
        <f aca="false">IF(AND(E936="Closed Won",I936&gt;=Inputs!$B$6,I936&lt;=Inputs!$B$4),1,0)</f>
        <v>0</v>
      </c>
      <c r="AG936" s="7" t="n">
        <f aca="false">IF(AND(O936=0,I936&gt;Inputs!$B$4-Inputs!$B$8,I936&lt;=Inputs!$B$4),1,0)</f>
        <v>0</v>
      </c>
      <c r="AH936" s="7" t="n">
        <f aca="false">I936-H936</f>
        <v>200</v>
      </c>
    </row>
    <row r="937" customFormat="false" ht="15" hidden="false" customHeight="false" outlineLevel="0" collapsed="false">
      <c r="A937" s="16" t="s">
        <v>2564</v>
      </c>
      <c r="B937" s="16" t="s">
        <v>58</v>
      </c>
      <c r="C937" s="16" t="s">
        <v>902</v>
      </c>
      <c r="D937" s="16" t="s">
        <v>167</v>
      </c>
      <c r="E937" s="16" t="s">
        <v>531</v>
      </c>
      <c r="F937" s="26" t="n">
        <v>6544000</v>
      </c>
      <c r="G937" s="25" t="n">
        <v>0</v>
      </c>
      <c r="H937" s="22" t="n">
        <v>46103</v>
      </c>
      <c r="I937" s="22" t="n">
        <v>46262</v>
      </c>
      <c r="J937" s="22" t="n">
        <v>46262</v>
      </c>
      <c r="K937" s="16" t="s">
        <v>654</v>
      </c>
      <c r="L937" s="16" t="s">
        <v>500</v>
      </c>
      <c r="M937" s="16"/>
      <c r="N937" s="16"/>
      <c r="O937" s="7" t="n">
        <f aca="false">IF(OR(E937="Closed Won",E937="Closed Lost"),0,1)</f>
        <v>0</v>
      </c>
      <c r="P937" s="17" t="str">
        <f aca="false">INDEX(Accounts!$K$5:$K$336,MATCH(B937,Accounts!$A$5:$A$336,0))</f>
        <v>Financial Services</v>
      </c>
      <c r="Q937" s="17" t="str">
        <f aca="false">INDEX(Accounts!$D$5:$D$336,MATCH(B937,Accounts!$A$5:$A$336,0))</f>
        <v>Priority</v>
      </c>
      <c r="R937" s="7" t="n">
        <f aca="false">INDEX(Inputs!$B$11:$B$16,MATCH(E937,Inputs!$A$11:$A$16,0))</f>
        <v>0</v>
      </c>
      <c r="S937" s="27" t="n">
        <f aca="false">IF(F937="",0,F937)*R937/100</f>
        <v>0</v>
      </c>
      <c r="T937" s="7" t="n">
        <f aca="false">Inputs!$B$4-J937</f>
        <v>52</v>
      </c>
      <c r="U937" s="7" t="n">
        <f aca="false">IF(OR(F937="",F937=0),1,0)</f>
        <v>0</v>
      </c>
      <c r="V937" s="7" t="n">
        <f aca="false">IF(K937="",1,0)</f>
        <v>0</v>
      </c>
      <c r="W937" s="7" t="n">
        <f aca="false">IF(AND(O937=1,K937&lt;&gt;"",COUNTIFS(Owners!$A$5:$A$32,K937,Owners!$E$5:$E$32,"No")&gt;0),1,0)</f>
        <v>0</v>
      </c>
      <c r="X937" s="7" t="n">
        <f aca="false">IF(AND(O937=1,I937&lt;Inputs!$B$4),1,0)</f>
        <v>0</v>
      </c>
      <c r="Y937" s="7" t="n">
        <f aca="false">IF(AND(O937=1,T937&gt;Inputs!$B$5),1,0)</f>
        <v>0</v>
      </c>
      <c r="Z937" s="7" t="n">
        <f aca="false">IF(AND(O937=1,G937&lt;&gt;R937),1,0)</f>
        <v>0</v>
      </c>
      <c r="AA937" s="7" t="n">
        <f aca="false">IF(AND(O937=1,M937=""),1,0)</f>
        <v>0</v>
      </c>
      <c r="AB937" s="7" t="n">
        <f aca="false">IF(AND(E937="Closed Lost",N937=""),1,0)</f>
        <v>1</v>
      </c>
      <c r="AC937" s="7" t="n">
        <f aca="false">SUM(U937:AB937)</f>
        <v>1</v>
      </c>
      <c r="AD937" s="7" t="n">
        <f aca="false">IF(AC937=0,1,0)</f>
        <v>0</v>
      </c>
      <c r="AE937" s="7" t="n">
        <f aca="false">IF(AND(O937=1,I937&gt;=Inputs!$B$6,I937&lt;=Inputs!$B$7),1,0)</f>
        <v>0</v>
      </c>
      <c r="AF937" s="7" t="n">
        <f aca="false">IF(AND(E937="Closed Won",I937&gt;=Inputs!$B$6,I937&lt;=Inputs!$B$4),1,0)</f>
        <v>0</v>
      </c>
      <c r="AG937" s="7" t="n">
        <f aca="false">IF(AND(O937=0,I937&gt;Inputs!$B$4-Inputs!$B$8,I937&lt;=Inputs!$B$4),1,0)</f>
        <v>1</v>
      </c>
      <c r="AH937" s="7" t="n">
        <f aca="false">I937-H937</f>
        <v>159</v>
      </c>
    </row>
    <row r="938" customFormat="false" ht="15" hidden="false" customHeight="false" outlineLevel="0" collapsed="false">
      <c r="A938" s="16" t="s">
        <v>2565</v>
      </c>
      <c r="B938" s="16" t="s">
        <v>2442</v>
      </c>
      <c r="C938" s="16" t="s">
        <v>2566</v>
      </c>
      <c r="D938" s="16" t="s">
        <v>165</v>
      </c>
      <c r="E938" s="16" t="s">
        <v>528</v>
      </c>
      <c r="F938" s="26" t="n">
        <v>20802000</v>
      </c>
      <c r="G938" s="25" t="n">
        <v>50</v>
      </c>
      <c r="H938" s="22" t="n">
        <v>46182</v>
      </c>
      <c r="I938" s="22" t="n">
        <v>46305</v>
      </c>
      <c r="J938" s="22" t="n">
        <v>46312</v>
      </c>
      <c r="K938" s="16" t="s">
        <v>588</v>
      </c>
      <c r="L938" s="16" t="s">
        <v>568</v>
      </c>
      <c r="M938" s="16" t="s">
        <v>601</v>
      </c>
      <c r="N938" s="16"/>
      <c r="O938" s="7" t="n">
        <f aca="false">IF(OR(E938="Closed Won",E938="Closed Lost"),0,1)</f>
        <v>1</v>
      </c>
      <c r="P938" s="17" t="str">
        <f aca="false">INDEX(Accounts!$K$5:$K$336,MATCH(B938,Accounts!$A$5:$A$336,0))</f>
        <v>Financial Services</v>
      </c>
      <c r="Q938" s="17" t="str">
        <f aca="false">INDEX(Accounts!$D$5:$D$336,MATCH(B938,Accounts!$A$5:$A$336,0))</f>
        <v>Key</v>
      </c>
      <c r="R938" s="7" t="n">
        <f aca="false">INDEX(Inputs!$B$11:$B$16,MATCH(E938,Inputs!$A$11:$A$16,0))</f>
        <v>50</v>
      </c>
      <c r="S938" s="27" t="n">
        <f aca="false">IF(F938="",0,F938)*R938/100</f>
        <v>10401000</v>
      </c>
      <c r="T938" s="7" t="n">
        <f aca="false">Inputs!$B$4-J938</f>
        <v>2</v>
      </c>
      <c r="U938" s="7" t="n">
        <f aca="false">IF(OR(F938="",F938=0),1,0)</f>
        <v>0</v>
      </c>
      <c r="V938" s="7" t="n">
        <f aca="false">IF(K938="",1,0)</f>
        <v>0</v>
      </c>
      <c r="W938" s="7" t="n">
        <f aca="false">IF(AND(O938=1,K938&lt;&gt;"",COUNTIFS(Owners!$A$5:$A$32,K938,Owners!$E$5:$E$32,"No")&gt;0),1,0)</f>
        <v>0</v>
      </c>
      <c r="X938" s="7" t="n">
        <f aca="false">IF(AND(O938=1,I938&lt;Inputs!$B$4),1,0)</f>
        <v>1</v>
      </c>
      <c r="Y938" s="7" t="n">
        <f aca="false">IF(AND(O938=1,T938&gt;Inputs!$B$5),1,0)</f>
        <v>0</v>
      </c>
      <c r="Z938" s="7" t="n">
        <f aca="false">IF(AND(O938=1,G938&lt;&gt;R938),1,0)</f>
        <v>0</v>
      </c>
      <c r="AA938" s="7" t="n">
        <f aca="false">IF(AND(O938=1,M938=""),1,0)</f>
        <v>0</v>
      </c>
      <c r="AB938" s="7" t="n">
        <f aca="false">IF(AND(E938="Closed Lost",N938=""),1,0)</f>
        <v>0</v>
      </c>
      <c r="AC938" s="7" t="n">
        <f aca="false">SUM(U938:AB938)</f>
        <v>1</v>
      </c>
      <c r="AD938" s="7" t="n">
        <f aca="false">IF(AC938=0,1,0)</f>
        <v>0</v>
      </c>
      <c r="AE938" s="7" t="n">
        <f aca="false">IF(AND(O938=1,I938&gt;=Inputs!$B$6,I938&lt;=Inputs!$B$7),1,0)</f>
        <v>1</v>
      </c>
      <c r="AF938" s="7" t="n">
        <f aca="false">IF(AND(E938="Closed Won",I938&gt;=Inputs!$B$6,I938&lt;=Inputs!$B$4),1,0)</f>
        <v>0</v>
      </c>
      <c r="AG938" s="7" t="n">
        <f aca="false">IF(AND(O938=0,I938&gt;Inputs!$B$4-Inputs!$B$8,I938&lt;=Inputs!$B$4),1,0)</f>
        <v>0</v>
      </c>
      <c r="AH938" s="7" t="n">
        <f aca="false">I938-H938</f>
        <v>123</v>
      </c>
    </row>
    <row r="939" customFormat="false" ht="15" hidden="false" customHeight="false" outlineLevel="0" collapsed="false">
      <c r="A939" s="16" t="s">
        <v>2567</v>
      </c>
      <c r="B939" s="16" t="s">
        <v>287</v>
      </c>
      <c r="C939" s="16" t="s">
        <v>2568</v>
      </c>
      <c r="D939" s="16" t="s">
        <v>158</v>
      </c>
      <c r="E939" s="16" t="s">
        <v>530</v>
      </c>
      <c r="F939" s="26" t="n">
        <v>6082000</v>
      </c>
      <c r="G939" s="25" t="n">
        <v>100</v>
      </c>
      <c r="H939" s="22" t="n">
        <v>46188</v>
      </c>
      <c r="I939" s="22" t="n">
        <v>46291</v>
      </c>
      <c r="J939" s="22" t="n">
        <v>46291</v>
      </c>
      <c r="K939" s="16" t="s">
        <v>567</v>
      </c>
      <c r="L939" s="16" t="s">
        <v>584</v>
      </c>
      <c r="M939" s="16"/>
      <c r="N939" s="16"/>
      <c r="O939" s="7" t="n">
        <f aca="false">IF(OR(E939="Closed Won",E939="Closed Lost"),0,1)</f>
        <v>0</v>
      </c>
      <c r="P939" s="17" t="str">
        <f aca="false">INDEX(Accounts!$K$5:$K$336,MATCH(B939,Accounts!$A$5:$A$336,0))</f>
        <v>Energy &amp; Resources</v>
      </c>
      <c r="Q939" s="17" t="str">
        <f aca="false">INDEX(Accounts!$D$5:$D$336,MATCH(B939,Accounts!$A$5:$A$336,0))</f>
        <v>Standard</v>
      </c>
      <c r="R939" s="7" t="n">
        <f aca="false">INDEX(Inputs!$B$11:$B$16,MATCH(E939,Inputs!$A$11:$A$16,0))</f>
        <v>100</v>
      </c>
      <c r="S939" s="27" t="n">
        <f aca="false">IF(F939="",0,F939)*R939/100</f>
        <v>6082000</v>
      </c>
      <c r="T939" s="7" t="n">
        <f aca="false">Inputs!$B$4-J939</f>
        <v>23</v>
      </c>
      <c r="U939" s="7" t="n">
        <f aca="false">IF(OR(F939="",F939=0),1,0)</f>
        <v>0</v>
      </c>
      <c r="V939" s="7" t="n">
        <f aca="false">IF(K939="",1,0)</f>
        <v>0</v>
      </c>
      <c r="W939" s="7" t="n">
        <f aca="false">IF(AND(O939=1,K939&lt;&gt;"",COUNTIFS(Owners!$A$5:$A$32,K939,Owners!$E$5:$E$32,"No")&gt;0),1,0)</f>
        <v>0</v>
      </c>
      <c r="X939" s="7" t="n">
        <f aca="false">IF(AND(O939=1,I939&lt;Inputs!$B$4),1,0)</f>
        <v>0</v>
      </c>
      <c r="Y939" s="7" t="n">
        <f aca="false">IF(AND(O939=1,T939&gt;Inputs!$B$5),1,0)</f>
        <v>0</v>
      </c>
      <c r="Z939" s="7" t="n">
        <f aca="false">IF(AND(O939=1,G939&lt;&gt;R939),1,0)</f>
        <v>0</v>
      </c>
      <c r="AA939" s="7" t="n">
        <f aca="false">IF(AND(O939=1,M939=""),1,0)</f>
        <v>0</v>
      </c>
      <c r="AB939" s="7" t="n">
        <f aca="false">IF(AND(E939="Closed Lost",N939=""),1,0)</f>
        <v>0</v>
      </c>
      <c r="AC939" s="7" t="n">
        <f aca="false">SUM(U939:AB939)</f>
        <v>0</v>
      </c>
      <c r="AD939" s="7" t="n">
        <f aca="false">IF(AC939=0,1,0)</f>
        <v>1</v>
      </c>
      <c r="AE939" s="7" t="n">
        <f aca="false">IF(AND(O939=1,I939&gt;=Inputs!$B$6,I939&lt;=Inputs!$B$7),1,0)</f>
        <v>0</v>
      </c>
      <c r="AF939" s="7" t="n">
        <f aca="false">IF(AND(E939="Closed Won",I939&gt;=Inputs!$B$6,I939&lt;=Inputs!$B$4),1,0)</f>
        <v>1</v>
      </c>
      <c r="AG939" s="7" t="n">
        <f aca="false">IF(AND(O939=0,I939&gt;Inputs!$B$4-Inputs!$B$8,I939&lt;=Inputs!$B$4),1,0)</f>
        <v>1</v>
      </c>
      <c r="AH939" s="7" t="n">
        <f aca="false">I939-H939</f>
        <v>103</v>
      </c>
    </row>
    <row r="940" customFormat="false" ht="15" hidden="false" customHeight="false" outlineLevel="0" collapsed="false">
      <c r="A940" s="16" t="s">
        <v>2569</v>
      </c>
      <c r="B940" s="16" t="s">
        <v>199</v>
      </c>
      <c r="C940" s="16" t="s">
        <v>2570</v>
      </c>
      <c r="D940" s="16" t="s">
        <v>165</v>
      </c>
      <c r="E940" s="16" t="s">
        <v>528</v>
      </c>
      <c r="F940" s="26" t="n">
        <v>31176000</v>
      </c>
      <c r="G940" s="25" t="n">
        <v>50</v>
      </c>
      <c r="H940" s="22" t="n">
        <v>46050</v>
      </c>
      <c r="I940" s="22" t="n">
        <v>46474</v>
      </c>
      <c r="J940" s="22" t="n">
        <v>46186</v>
      </c>
      <c r="K940" s="16" t="s">
        <v>600</v>
      </c>
      <c r="L940" s="16" t="s">
        <v>592</v>
      </c>
      <c r="M940" s="16" t="s">
        <v>575</v>
      </c>
      <c r="N940" s="16"/>
      <c r="O940" s="7" t="n">
        <f aca="false">IF(OR(E940="Closed Won",E940="Closed Lost"),0,1)</f>
        <v>1</v>
      </c>
      <c r="P940" s="17" t="str">
        <f aca="false">INDEX(Accounts!$K$5:$K$336,MATCH(B940,Accounts!$A$5:$A$336,0))</f>
        <v>Public Sector &amp; Development</v>
      </c>
      <c r="Q940" s="17" t="str">
        <f aca="false">INDEX(Accounts!$D$5:$D$336,MATCH(B940,Accounts!$A$5:$A$336,0))</f>
        <v>Standard</v>
      </c>
      <c r="R940" s="7" t="n">
        <f aca="false">INDEX(Inputs!$B$11:$B$16,MATCH(E940,Inputs!$A$11:$A$16,0))</f>
        <v>50</v>
      </c>
      <c r="S940" s="27" t="n">
        <f aca="false">IF(F940="",0,F940)*R940/100</f>
        <v>15588000</v>
      </c>
      <c r="T940" s="7" t="n">
        <f aca="false">Inputs!$B$4-J940</f>
        <v>128</v>
      </c>
      <c r="U940" s="7" t="n">
        <f aca="false">IF(OR(F940="",F940=0),1,0)</f>
        <v>0</v>
      </c>
      <c r="V940" s="7" t="n">
        <f aca="false">IF(K940="",1,0)</f>
        <v>0</v>
      </c>
      <c r="W940" s="7" t="n">
        <f aca="false">IF(AND(O940=1,K940&lt;&gt;"",COUNTIFS(Owners!$A$5:$A$32,K940,Owners!$E$5:$E$32,"No")&gt;0),1,0)</f>
        <v>0</v>
      </c>
      <c r="X940" s="7" t="n">
        <f aca="false">IF(AND(O940=1,I940&lt;Inputs!$B$4),1,0)</f>
        <v>0</v>
      </c>
      <c r="Y940" s="7" t="n">
        <f aca="false">IF(AND(O940=1,T940&gt;Inputs!$B$5),1,0)</f>
        <v>1</v>
      </c>
      <c r="Z940" s="7" t="n">
        <f aca="false">IF(AND(O940=1,G940&lt;&gt;R940),1,0)</f>
        <v>0</v>
      </c>
      <c r="AA940" s="7" t="n">
        <f aca="false">IF(AND(O940=1,M940=""),1,0)</f>
        <v>0</v>
      </c>
      <c r="AB940" s="7" t="n">
        <f aca="false">IF(AND(E940="Closed Lost",N940=""),1,0)</f>
        <v>0</v>
      </c>
      <c r="AC940" s="7" t="n">
        <f aca="false">SUM(U940:AB940)</f>
        <v>1</v>
      </c>
      <c r="AD940" s="7" t="n">
        <f aca="false">IF(AC940=0,1,0)</f>
        <v>0</v>
      </c>
      <c r="AE940" s="7" t="n">
        <f aca="false">IF(AND(O940=1,I940&gt;=Inputs!$B$6,I940&lt;=Inputs!$B$7),1,0)</f>
        <v>1</v>
      </c>
      <c r="AF940" s="7" t="n">
        <f aca="false">IF(AND(E940="Closed Won",I940&gt;=Inputs!$B$6,I940&lt;=Inputs!$B$4),1,0)</f>
        <v>0</v>
      </c>
      <c r="AG940" s="7" t="n">
        <f aca="false">IF(AND(O940=0,I940&gt;Inputs!$B$4-Inputs!$B$8,I940&lt;=Inputs!$B$4),1,0)</f>
        <v>0</v>
      </c>
      <c r="AH940" s="7" t="n">
        <f aca="false">I940-H940</f>
        <v>424</v>
      </c>
    </row>
    <row r="941" customFormat="false" ht="15" hidden="false" customHeight="false" outlineLevel="0" collapsed="false">
      <c r="A941" s="16" t="s">
        <v>2571</v>
      </c>
      <c r="B941" s="16" t="s">
        <v>780</v>
      </c>
      <c r="C941" s="16" t="s">
        <v>2572</v>
      </c>
      <c r="D941" s="16" t="s">
        <v>162</v>
      </c>
      <c r="E941" s="16" t="s">
        <v>531</v>
      </c>
      <c r="F941" s="26" t="n">
        <v>13962000</v>
      </c>
      <c r="G941" s="25" t="n">
        <v>0</v>
      </c>
      <c r="H941" s="22" t="n">
        <v>45938</v>
      </c>
      <c r="I941" s="22" t="n">
        <v>46197</v>
      </c>
      <c r="J941" s="22" t="n">
        <v>46197</v>
      </c>
      <c r="K941" s="16"/>
      <c r="L941" s="16" t="s">
        <v>584</v>
      </c>
      <c r="M941" s="16"/>
      <c r="N941" s="16"/>
      <c r="O941" s="7" t="n">
        <f aca="false">IF(OR(E941="Closed Won",E941="Closed Lost"),0,1)</f>
        <v>0</v>
      </c>
      <c r="P941" s="17" t="str">
        <f aca="false">INDEX(Accounts!$K$5:$K$336,MATCH(B941,Accounts!$A$5:$A$336,0))</f>
        <v>Technology, Media &amp; Telecom</v>
      </c>
      <c r="Q941" s="17" t="str">
        <f aca="false">INDEX(Accounts!$D$5:$D$336,MATCH(B941,Accounts!$A$5:$A$336,0))</f>
        <v>Key</v>
      </c>
      <c r="R941" s="7" t="n">
        <f aca="false">INDEX(Inputs!$B$11:$B$16,MATCH(E941,Inputs!$A$11:$A$16,0))</f>
        <v>0</v>
      </c>
      <c r="S941" s="27" t="n">
        <f aca="false">IF(F941="",0,F941)*R941/100</f>
        <v>0</v>
      </c>
      <c r="T941" s="7" t="n">
        <f aca="false">Inputs!$B$4-J941</f>
        <v>117</v>
      </c>
      <c r="U941" s="7" t="n">
        <f aca="false">IF(OR(F941="",F941=0),1,0)</f>
        <v>0</v>
      </c>
      <c r="V941" s="7" t="n">
        <f aca="false">IF(K941="",1,0)</f>
        <v>1</v>
      </c>
      <c r="W941" s="7" t="n">
        <f aca="false">IF(AND(O941=1,K941&lt;&gt;"",COUNTIFS(Owners!$A$5:$A$32,K941,Owners!$E$5:$E$32,"No")&gt;0),1,0)</f>
        <v>0</v>
      </c>
      <c r="X941" s="7" t="n">
        <f aca="false">IF(AND(O941=1,I941&lt;Inputs!$B$4),1,0)</f>
        <v>0</v>
      </c>
      <c r="Y941" s="7" t="n">
        <f aca="false">IF(AND(O941=1,T941&gt;Inputs!$B$5),1,0)</f>
        <v>0</v>
      </c>
      <c r="Z941" s="7" t="n">
        <f aca="false">IF(AND(O941=1,G941&lt;&gt;R941),1,0)</f>
        <v>0</v>
      </c>
      <c r="AA941" s="7" t="n">
        <f aca="false">IF(AND(O941=1,M941=""),1,0)</f>
        <v>0</v>
      </c>
      <c r="AB941" s="7" t="n">
        <f aca="false">IF(AND(E941="Closed Lost",N941=""),1,0)</f>
        <v>1</v>
      </c>
      <c r="AC941" s="7" t="n">
        <f aca="false">SUM(U941:AB941)</f>
        <v>2</v>
      </c>
      <c r="AD941" s="7" t="n">
        <f aca="false">IF(AC941=0,1,0)</f>
        <v>0</v>
      </c>
      <c r="AE941" s="7" t="n">
        <f aca="false">IF(AND(O941=1,I941&gt;=Inputs!$B$6,I941&lt;=Inputs!$B$7),1,0)</f>
        <v>0</v>
      </c>
      <c r="AF941" s="7" t="n">
        <f aca="false">IF(AND(E941="Closed Won",I941&gt;=Inputs!$B$6,I941&lt;=Inputs!$B$4),1,0)</f>
        <v>0</v>
      </c>
      <c r="AG941" s="7" t="n">
        <f aca="false">IF(AND(O941=0,I941&gt;Inputs!$B$4-Inputs!$B$8,I941&lt;=Inputs!$B$4),1,0)</f>
        <v>1</v>
      </c>
      <c r="AH941" s="7" t="n">
        <f aca="false">I941-H941</f>
        <v>259</v>
      </c>
    </row>
    <row r="942" customFormat="false" ht="15" hidden="false" customHeight="false" outlineLevel="0" collapsed="false">
      <c r="A942" s="16" t="s">
        <v>2573</v>
      </c>
      <c r="B942" s="16" t="s">
        <v>644</v>
      </c>
      <c r="C942" s="16" t="s">
        <v>2574</v>
      </c>
      <c r="D942" s="16" t="s">
        <v>158</v>
      </c>
      <c r="E942" s="16" t="s">
        <v>526</v>
      </c>
      <c r="F942" s="26" t="n">
        <v>13740000</v>
      </c>
      <c r="G942" s="25" t="n">
        <v>10</v>
      </c>
      <c r="H942" s="22" t="n">
        <v>46274</v>
      </c>
      <c r="I942" s="22" t="n">
        <v>46471</v>
      </c>
      <c r="J942" s="22" t="n">
        <v>46298</v>
      </c>
      <c r="K942" s="16" t="s">
        <v>646</v>
      </c>
      <c r="L942" s="16" t="s">
        <v>500</v>
      </c>
      <c r="M942" s="16" t="s">
        <v>613</v>
      </c>
      <c r="N942" s="16"/>
      <c r="O942" s="7" t="n">
        <f aca="false">IF(OR(E942="Closed Won",E942="Closed Lost"),0,1)</f>
        <v>1</v>
      </c>
      <c r="P942" s="17" t="str">
        <f aca="false">INDEX(Accounts!$K$5:$K$336,MATCH(B942,Accounts!$A$5:$A$336,0))</f>
        <v>Consumer &amp; Retail</v>
      </c>
      <c r="Q942" s="17" t="str">
        <f aca="false">INDEX(Accounts!$D$5:$D$336,MATCH(B942,Accounts!$A$5:$A$336,0))</f>
        <v>Key</v>
      </c>
      <c r="R942" s="7" t="n">
        <f aca="false">INDEX(Inputs!$B$11:$B$16,MATCH(E942,Inputs!$A$11:$A$16,0))</f>
        <v>10</v>
      </c>
      <c r="S942" s="27" t="n">
        <f aca="false">IF(F942="",0,F942)*R942/100</f>
        <v>1374000</v>
      </c>
      <c r="T942" s="7" t="n">
        <f aca="false">Inputs!$B$4-J942</f>
        <v>16</v>
      </c>
      <c r="U942" s="7" t="n">
        <f aca="false">IF(OR(F942="",F942=0),1,0)</f>
        <v>0</v>
      </c>
      <c r="V942" s="7" t="n">
        <f aca="false">IF(K942="",1,0)</f>
        <v>0</v>
      </c>
      <c r="W942" s="7" t="n">
        <f aca="false">IF(AND(O942=1,K942&lt;&gt;"",COUNTIFS(Owners!$A$5:$A$32,K942,Owners!$E$5:$E$32,"No")&gt;0),1,0)</f>
        <v>0</v>
      </c>
      <c r="X942" s="7" t="n">
        <f aca="false">IF(AND(O942=1,I942&lt;Inputs!$B$4),1,0)</f>
        <v>0</v>
      </c>
      <c r="Y942" s="7" t="n">
        <f aca="false">IF(AND(O942=1,T942&gt;Inputs!$B$5),1,0)</f>
        <v>0</v>
      </c>
      <c r="Z942" s="7" t="n">
        <f aca="false">IF(AND(O942=1,G942&lt;&gt;R942),1,0)</f>
        <v>0</v>
      </c>
      <c r="AA942" s="7" t="n">
        <f aca="false">IF(AND(O942=1,M942=""),1,0)</f>
        <v>0</v>
      </c>
      <c r="AB942" s="7" t="n">
        <f aca="false">IF(AND(E942="Closed Lost",N942=""),1,0)</f>
        <v>0</v>
      </c>
      <c r="AC942" s="7" t="n">
        <f aca="false">SUM(U942:AB942)</f>
        <v>0</v>
      </c>
      <c r="AD942" s="7" t="n">
        <f aca="false">IF(AC942=0,1,0)</f>
        <v>1</v>
      </c>
      <c r="AE942" s="7" t="n">
        <f aca="false">IF(AND(O942=1,I942&gt;=Inputs!$B$6,I942&lt;=Inputs!$B$7),1,0)</f>
        <v>1</v>
      </c>
      <c r="AF942" s="7" t="n">
        <f aca="false">IF(AND(E942="Closed Won",I942&gt;=Inputs!$B$6,I942&lt;=Inputs!$B$4),1,0)</f>
        <v>0</v>
      </c>
      <c r="AG942" s="7" t="n">
        <f aca="false">IF(AND(O942=0,I942&gt;Inputs!$B$4-Inputs!$B$8,I942&lt;=Inputs!$B$4),1,0)</f>
        <v>0</v>
      </c>
      <c r="AH942" s="7" t="n">
        <f aca="false">I942-H942</f>
        <v>197</v>
      </c>
    </row>
    <row r="943" customFormat="false" ht="15" hidden="false" customHeight="false" outlineLevel="0" collapsed="false">
      <c r="A943" s="16" t="s">
        <v>2575</v>
      </c>
      <c r="B943" s="16" t="s">
        <v>1060</v>
      </c>
      <c r="C943" s="16" t="s">
        <v>2576</v>
      </c>
      <c r="D943" s="16" t="s">
        <v>162</v>
      </c>
      <c r="E943" s="16" t="s">
        <v>530</v>
      </c>
      <c r="F943" s="26" t="n">
        <v>33032000</v>
      </c>
      <c r="G943" s="25" t="n">
        <v>100</v>
      </c>
      <c r="H943" s="22" t="n">
        <v>46070</v>
      </c>
      <c r="I943" s="22" t="n">
        <v>46276</v>
      </c>
      <c r="J943" s="22" t="n">
        <v>46276</v>
      </c>
      <c r="K943" s="16" t="s">
        <v>880</v>
      </c>
      <c r="L943" s="16" t="s">
        <v>574</v>
      </c>
      <c r="M943" s="16"/>
      <c r="N943" s="16"/>
      <c r="O943" s="7" t="n">
        <f aca="false">IF(OR(E943="Closed Won",E943="Closed Lost"),0,1)</f>
        <v>0</v>
      </c>
      <c r="P943" s="17" t="str">
        <f aca="false">INDEX(Accounts!$K$5:$K$336,MATCH(B943,Accounts!$A$5:$A$336,0))</f>
        <v>Consumer &amp; Retail</v>
      </c>
      <c r="Q943" s="17" t="str">
        <f aca="false">INDEX(Accounts!$D$5:$D$336,MATCH(B943,Accounts!$A$5:$A$336,0))</f>
        <v>Standard</v>
      </c>
      <c r="R943" s="7" t="n">
        <f aca="false">INDEX(Inputs!$B$11:$B$16,MATCH(E943,Inputs!$A$11:$A$16,0))</f>
        <v>100</v>
      </c>
      <c r="S943" s="27" t="n">
        <f aca="false">IF(F943="",0,F943)*R943/100</f>
        <v>33032000</v>
      </c>
      <c r="T943" s="7" t="n">
        <f aca="false">Inputs!$B$4-J943</f>
        <v>38</v>
      </c>
      <c r="U943" s="7" t="n">
        <f aca="false">IF(OR(F943="",F943=0),1,0)</f>
        <v>0</v>
      </c>
      <c r="V943" s="7" t="n">
        <f aca="false">IF(K943="",1,0)</f>
        <v>0</v>
      </c>
      <c r="W943" s="7" t="n">
        <f aca="false">IF(AND(O943=1,K943&lt;&gt;"",COUNTIFS(Owners!$A$5:$A$32,K943,Owners!$E$5:$E$32,"No")&gt;0),1,0)</f>
        <v>0</v>
      </c>
      <c r="X943" s="7" t="n">
        <f aca="false">IF(AND(O943=1,I943&lt;Inputs!$B$4),1,0)</f>
        <v>0</v>
      </c>
      <c r="Y943" s="7" t="n">
        <f aca="false">IF(AND(O943=1,T943&gt;Inputs!$B$5),1,0)</f>
        <v>0</v>
      </c>
      <c r="Z943" s="7" t="n">
        <f aca="false">IF(AND(O943=1,G943&lt;&gt;R943),1,0)</f>
        <v>0</v>
      </c>
      <c r="AA943" s="7" t="n">
        <f aca="false">IF(AND(O943=1,M943=""),1,0)</f>
        <v>0</v>
      </c>
      <c r="AB943" s="7" t="n">
        <f aca="false">IF(AND(E943="Closed Lost",N943=""),1,0)</f>
        <v>0</v>
      </c>
      <c r="AC943" s="7" t="n">
        <f aca="false">SUM(U943:AB943)</f>
        <v>0</v>
      </c>
      <c r="AD943" s="7" t="n">
        <f aca="false">IF(AC943=0,1,0)</f>
        <v>1</v>
      </c>
      <c r="AE943" s="7" t="n">
        <f aca="false">IF(AND(O943=1,I943&gt;=Inputs!$B$6,I943&lt;=Inputs!$B$7),1,0)</f>
        <v>0</v>
      </c>
      <c r="AF943" s="7" t="n">
        <f aca="false">IF(AND(E943="Closed Won",I943&gt;=Inputs!$B$6,I943&lt;=Inputs!$B$4),1,0)</f>
        <v>1</v>
      </c>
      <c r="AG943" s="7" t="n">
        <f aca="false">IF(AND(O943=0,I943&gt;Inputs!$B$4-Inputs!$B$8,I943&lt;=Inputs!$B$4),1,0)</f>
        <v>1</v>
      </c>
      <c r="AH943" s="7" t="n">
        <f aca="false">I943-H943</f>
        <v>206</v>
      </c>
    </row>
    <row r="944" customFormat="false" ht="15" hidden="false" customHeight="false" outlineLevel="0" collapsed="false">
      <c r="A944" s="16" t="s">
        <v>2577</v>
      </c>
      <c r="B944" s="16" t="s">
        <v>92</v>
      </c>
      <c r="C944" s="16" t="s">
        <v>1008</v>
      </c>
      <c r="D944" s="16" t="s">
        <v>165</v>
      </c>
      <c r="E944" s="16" t="s">
        <v>530</v>
      </c>
      <c r="F944" s="26" t="n">
        <v>17259000</v>
      </c>
      <c r="G944" s="25" t="n">
        <v>100</v>
      </c>
      <c r="H944" s="22" t="n">
        <v>46144</v>
      </c>
      <c r="I944" s="22" t="n">
        <v>46228</v>
      </c>
      <c r="J944" s="22" t="n">
        <v>46228</v>
      </c>
      <c r="K944" s="16" t="s">
        <v>691</v>
      </c>
      <c r="L944" s="16" t="s">
        <v>500</v>
      </c>
      <c r="M944" s="16"/>
      <c r="N944" s="16"/>
      <c r="O944" s="7" t="n">
        <f aca="false">IF(OR(E944="Closed Won",E944="Closed Lost"),0,1)</f>
        <v>0</v>
      </c>
      <c r="P944" s="17" t="str">
        <f aca="false">INDEX(Accounts!$K$5:$K$336,MATCH(B944,Accounts!$A$5:$A$336,0))</f>
        <v>Public Sector &amp; Development</v>
      </c>
      <c r="Q944" s="17" t="str">
        <f aca="false">INDEX(Accounts!$D$5:$D$336,MATCH(B944,Accounts!$A$5:$A$336,0))</f>
        <v>Priority</v>
      </c>
      <c r="R944" s="7" t="n">
        <f aca="false">INDEX(Inputs!$B$11:$B$16,MATCH(E944,Inputs!$A$11:$A$16,0))</f>
        <v>100</v>
      </c>
      <c r="S944" s="27" t="n">
        <f aca="false">IF(F944="",0,F944)*R944/100</f>
        <v>17259000</v>
      </c>
      <c r="T944" s="7" t="n">
        <f aca="false">Inputs!$B$4-J944</f>
        <v>86</v>
      </c>
      <c r="U944" s="7" t="n">
        <f aca="false">IF(OR(F944="",F944=0),1,0)</f>
        <v>0</v>
      </c>
      <c r="V944" s="7" t="n">
        <f aca="false">IF(K944="",1,0)</f>
        <v>0</v>
      </c>
      <c r="W944" s="7" t="n">
        <f aca="false">IF(AND(O944=1,K944&lt;&gt;"",COUNTIFS(Owners!$A$5:$A$32,K944,Owners!$E$5:$E$32,"No")&gt;0),1,0)</f>
        <v>0</v>
      </c>
      <c r="X944" s="7" t="n">
        <f aca="false">IF(AND(O944=1,I944&lt;Inputs!$B$4),1,0)</f>
        <v>0</v>
      </c>
      <c r="Y944" s="7" t="n">
        <f aca="false">IF(AND(O944=1,T944&gt;Inputs!$B$5),1,0)</f>
        <v>0</v>
      </c>
      <c r="Z944" s="7" t="n">
        <f aca="false">IF(AND(O944=1,G944&lt;&gt;R944),1,0)</f>
        <v>0</v>
      </c>
      <c r="AA944" s="7" t="n">
        <f aca="false">IF(AND(O944=1,M944=""),1,0)</f>
        <v>0</v>
      </c>
      <c r="AB944" s="7" t="n">
        <f aca="false">IF(AND(E944="Closed Lost",N944=""),1,0)</f>
        <v>0</v>
      </c>
      <c r="AC944" s="7" t="n">
        <f aca="false">SUM(U944:AB944)</f>
        <v>0</v>
      </c>
      <c r="AD944" s="7" t="n">
        <f aca="false">IF(AC944=0,1,0)</f>
        <v>1</v>
      </c>
      <c r="AE944" s="7" t="n">
        <f aca="false">IF(AND(O944=1,I944&gt;=Inputs!$B$6,I944&lt;=Inputs!$B$7),1,0)</f>
        <v>0</v>
      </c>
      <c r="AF944" s="7" t="n">
        <f aca="false">IF(AND(E944="Closed Won",I944&gt;=Inputs!$B$6,I944&lt;=Inputs!$B$4),1,0)</f>
        <v>1</v>
      </c>
      <c r="AG944" s="7" t="n">
        <f aca="false">IF(AND(O944=0,I944&gt;Inputs!$B$4-Inputs!$B$8,I944&lt;=Inputs!$B$4),1,0)</f>
        <v>1</v>
      </c>
      <c r="AH944" s="7" t="n">
        <f aca="false">I944-H944</f>
        <v>84</v>
      </c>
    </row>
    <row r="945" customFormat="false" ht="15" hidden="false" customHeight="false" outlineLevel="0" collapsed="false">
      <c r="A945" s="16" t="s">
        <v>2578</v>
      </c>
      <c r="B945" s="16" t="s">
        <v>285</v>
      </c>
      <c r="C945" s="16" t="s">
        <v>2579</v>
      </c>
      <c r="D945" s="16" t="s">
        <v>158</v>
      </c>
      <c r="E945" s="16" t="s">
        <v>529</v>
      </c>
      <c r="F945" s="26" t="n">
        <v>14325000</v>
      </c>
      <c r="G945" s="25" t="n">
        <v>75</v>
      </c>
      <c r="H945" s="22" t="n">
        <v>46081</v>
      </c>
      <c r="I945" s="22" t="n">
        <v>46493</v>
      </c>
      <c r="J945" s="22" t="n">
        <v>46296</v>
      </c>
      <c r="K945" s="16" t="s">
        <v>591</v>
      </c>
      <c r="L945" s="16" t="s">
        <v>568</v>
      </c>
      <c r="M945" s="16" t="s">
        <v>593</v>
      </c>
      <c r="N945" s="16"/>
      <c r="O945" s="7" t="n">
        <f aca="false">IF(OR(E945="Closed Won",E945="Closed Lost"),0,1)</f>
        <v>1</v>
      </c>
      <c r="P945" s="17" t="str">
        <f aca="false">INDEX(Accounts!$K$5:$K$336,MATCH(B945,Accounts!$A$5:$A$336,0))</f>
        <v>Technology, Media &amp; Telecom</v>
      </c>
      <c r="Q945" s="17" t="str">
        <f aca="false">INDEX(Accounts!$D$5:$D$336,MATCH(B945,Accounts!$A$5:$A$336,0))</f>
        <v>Standard</v>
      </c>
      <c r="R945" s="7" t="n">
        <f aca="false">INDEX(Inputs!$B$11:$B$16,MATCH(E945,Inputs!$A$11:$A$16,0))</f>
        <v>75</v>
      </c>
      <c r="S945" s="27" t="n">
        <f aca="false">IF(F945="",0,F945)*R945/100</f>
        <v>10743750</v>
      </c>
      <c r="T945" s="7" t="n">
        <f aca="false">Inputs!$B$4-J945</f>
        <v>18</v>
      </c>
      <c r="U945" s="7" t="n">
        <f aca="false">IF(OR(F945="",F945=0),1,0)</f>
        <v>0</v>
      </c>
      <c r="V945" s="7" t="n">
        <f aca="false">IF(K945="",1,0)</f>
        <v>0</v>
      </c>
      <c r="W945" s="7" t="n">
        <f aca="false">IF(AND(O945=1,K945&lt;&gt;"",COUNTIFS(Owners!$A$5:$A$32,K945,Owners!$E$5:$E$32,"No")&gt;0),1,0)</f>
        <v>0</v>
      </c>
      <c r="X945" s="7" t="n">
        <f aca="false">IF(AND(O945=1,I945&lt;Inputs!$B$4),1,0)</f>
        <v>0</v>
      </c>
      <c r="Y945" s="7" t="n">
        <f aca="false">IF(AND(O945=1,T945&gt;Inputs!$B$5),1,0)</f>
        <v>0</v>
      </c>
      <c r="Z945" s="7" t="n">
        <f aca="false">IF(AND(O945=1,G945&lt;&gt;R945),1,0)</f>
        <v>0</v>
      </c>
      <c r="AA945" s="7" t="n">
        <f aca="false">IF(AND(O945=1,M945=""),1,0)</f>
        <v>0</v>
      </c>
      <c r="AB945" s="7" t="n">
        <f aca="false">IF(AND(E945="Closed Lost",N945=""),1,0)</f>
        <v>0</v>
      </c>
      <c r="AC945" s="7" t="n">
        <f aca="false">SUM(U945:AB945)</f>
        <v>0</v>
      </c>
      <c r="AD945" s="7" t="n">
        <f aca="false">IF(AC945=0,1,0)</f>
        <v>1</v>
      </c>
      <c r="AE945" s="7" t="n">
        <f aca="false">IF(AND(O945=1,I945&gt;=Inputs!$B$6,I945&lt;=Inputs!$B$7),1,0)</f>
        <v>1</v>
      </c>
      <c r="AF945" s="7" t="n">
        <f aca="false">IF(AND(E945="Closed Won",I945&gt;=Inputs!$B$6,I945&lt;=Inputs!$B$4),1,0)</f>
        <v>0</v>
      </c>
      <c r="AG945" s="7" t="n">
        <f aca="false">IF(AND(O945=0,I945&gt;Inputs!$B$4-Inputs!$B$8,I945&lt;=Inputs!$B$4),1,0)</f>
        <v>0</v>
      </c>
      <c r="AH945" s="7" t="n">
        <f aca="false">I945-H945</f>
        <v>412</v>
      </c>
    </row>
    <row r="946" customFormat="false" ht="15" hidden="false" customHeight="false" outlineLevel="0" collapsed="false">
      <c r="A946" s="16" t="s">
        <v>2580</v>
      </c>
      <c r="B946" s="16" t="s">
        <v>59</v>
      </c>
      <c r="C946" s="16" t="s">
        <v>2581</v>
      </c>
      <c r="D946" s="16" t="s">
        <v>167</v>
      </c>
      <c r="E946" s="16" t="s">
        <v>531</v>
      </c>
      <c r="F946" s="26" t="n">
        <v>7253000</v>
      </c>
      <c r="G946" s="25" t="n">
        <v>0</v>
      </c>
      <c r="H946" s="22" t="n">
        <v>46039</v>
      </c>
      <c r="I946" s="22" t="n">
        <v>46161</v>
      </c>
      <c r="J946" s="22" t="n">
        <v>46161</v>
      </c>
      <c r="K946" s="16" t="s">
        <v>640</v>
      </c>
      <c r="L946" s="16" t="s">
        <v>609</v>
      </c>
      <c r="M946" s="16"/>
      <c r="N946" s="16" t="s">
        <v>697</v>
      </c>
      <c r="O946" s="7" t="n">
        <f aca="false">IF(OR(E946="Closed Won",E946="Closed Lost"),0,1)</f>
        <v>0</v>
      </c>
      <c r="P946" s="17" t="str">
        <f aca="false">INDEX(Accounts!$K$5:$K$336,MATCH(B946,Accounts!$A$5:$A$336,0))</f>
        <v>Financial Services</v>
      </c>
      <c r="Q946" s="17" t="str">
        <f aca="false">INDEX(Accounts!$D$5:$D$336,MATCH(B946,Accounts!$A$5:$A$336,0))</f>
        <v>Priority</v>
      </c>
      <c r="R946" s="7" t="n">
        <f aca="false">INDEX(Inputs!$B$11:$B$16,MATCH(E946,Inputs!$A$11:$A$16,0))</f>
        <v>0</v>
      </c>
      <c r="S946" s="27" t="n">
        <f aca="false">IF(F946="",0,F946)*R946/100</f>
        <v>0</v>
      </c>
      <c r="T946" s="7" t="n">
        <f aca="false">Inputs!$B$4-J946</f>
        <v>153</v>
      </c>
      <c r="U946" s="7" t="n">
        <f aca="false">IF(OR(F946="",F946=0),1,0)</f>
        <v>0</v>
      </c>
      <c r="V946" s="7" t="n">
        <f aca="false">IF(K946="",1,0)</f>
        <v>0</v>
      </c>
      <c r="W946" s="7" t="n">
        <f aca="false">IF(AND(O946=1,K946&lt;&gt;"",COUNTIFS(Owners!$A$5:$A$32,K946,Owners!$E$5:$E$32,"No")&gt;0),1,0)</f>
        <v>0</v>
      </c>
      <c r="X946" s="7" t="n">
        <f aca="false">IF(AND(O946=1,I946&lt;Inputs!$B$4),1,0)</f>
        <v>0</v>
      </c>
      <c r="Y946" s="7" t="n">
        <f aca="false">IF(AND(O946=1,T946&gt;Inputs!$B$5),1,0)</f>
        <v>0</v>
      </c>
      <c r="Z946" s="7" t="n">
        <f aca="false">IF(AND(O946=1,G946&lt;&gt;R946),1,0)</f>
        <v>0</v>
      </c>
      <c r="AA946" s="7" t="n">
        <f aca="false">IF(AND(O946=1,M946=""),1,0)</f>
        <v>0</v>
      </c>
      <c r="AB946" s="7" t="n">
        <f aca="false">IF(AND(E946="Closed Lost",N946=""),1,0)</f>
        <v>0</v>
      </c>
      <c r="AC946" s="7" t="n">
        <f aca="false">SUM(U946:AB946)</f>
        <v>0</v>
      </c>
      <c r="AD946" s="7" t="n">
        <f aca="false">IF(AC946=0,1,0)</f>
        <v>1</v>
      </c>
      <c r="AE946" s="7" t="n">
        <f aca="false">IF(AND(O946=1,I946&gt;=Inputs!$B$6,I946&lt;=Inputs!$B$7),1,0)</f>
        <v>0</v>
      </c>
      <c r="AF946" s="7" t="n">
        <f aca="false">IF(AND(E946="Closed Won",I946&gt;=Inputs!$B$6,I946&lt;=Inputs!$B$4),1,0)</f>
        <v>0</v>
      </c>
      <c r="AG946" s="7" t="n">
        <f aca="false">IF(AND(O946=0,I946&gt;Inputs!$B$4-Inputs!$B$8,I946&lt;=Inputs!$B$4),1,0)</f>
        <v>1</v>
      </c>
      <c r="AH946" s="7" t="n">
        <f aca="false">I946-H946</f>
        <v>122</v>
      </c>
    </row>
    <row r="947" customFormat="false" ht="15" hidden="false" customHeight="false" outlineLevel="0" collapsed="false">
      <c r="A947" s="16" t="s">
        <v>2582</v>
      </c>
      <c r="B947" s="16" t="s">
        <v>81</v>
      </c>
      <c r="C947" s="16" t="s">
        <v>1394</v>
      </c>
      <c r="D947" s="16" t="s">
        <v>158</v>
      </c>
      <c r="E947" s="16" t="s">
        <v>526</v>
      </c>
      <c r="F947" s="26" t="n">
        <v>26759000</v>
      </c>
      <c r="G947" s="25" t="n">
        <v>10</v>
      </c>
      <c r="H947" s="22" t="n">
        <v>46233</v>
      </c>
      <c r="I947" s="22" t="n">
        <v>46289</v>
      </c>
      <c r="J947" s="22" t="n">
        <v>46240</v>
      </c>
      <c r="K947" s="16" t="s">
        <v>573</v>
      </c>
      <c r="L947" s="16" t="s">
        <v>500</v>
      </c>
      <c r="M947" s="16" t="s">
        <v>613</v>
      </c>
      <c r="N947" s="16"/>
      <c r="O947" s="7" t="n">
        <f aca="false">IF(OR(E947="Closed Won",E947="Closed Lost"),0,1)</f>
        <v>1</v>
      </c>
      <c r="P947" s="17" t="str">
        <f aca="false">INDEX(Accounts!$K$5:$K$336,MATCH(B947,Accounts!$A$5:$A$336,0))</f>
        <v>Financial Services</v>
      </c>
      <c r="Q947" s="17" t="str">
        <f aca="false">INDEX(Accounts!$D$5:$D$336,MATCH(B947,Accounts!$A$5:$A$336,0))</f>
        <v>Priority</v>
      </c>
      <c r="R947" s="7" t="n">
        <f aca="false">INDEX(Inputs!$B$11:$B$16,MATCH(E947,Inputs!$A$11:$A$16,0))</f>
        <v>10</v>
      </c>
      <c r="S947" s="27" t="n">
        <f aca="false">IF(F947="",0,F947)*R947/100</f>
        <v>2675900</v>
      </c>
      <c r="T947" s="7" t="n">
        <f aca="false">Inputs!$B$4-J947</f>
        <v>74</v>
      </c>
      <c r="U947" s="7" t="n">
        <f aca="false">IF(OR(F947="",F947=0),1,0)</f>
        <v>0</v>
      </c>
      <c r="V947" s="7" t="n">
        <f aca="false">IF(K947="",1,0)</f>
        <v>0</v>
      </c>
      <c r="W947" s="7" t="n">
        <f aca="false">IF(AND(O947=1,K947&lt;&gt;"",COUNTIFS(Owners!$A$5:$A$32,K947,Owners!$E$5:$E$32,"No")&gt;0),1,0)</f>
        <v>0</v>
      </c>
      <c r="X947" s="7" t="n">
        <f aca="false">IF(AND(O947=1,I947&lt;Inputs!$B$4),1,0)</f>
        <v>1</v>
      </c>
      <c r="Y947" s="7" t="n">
        <f aca="false">IF(AND(O947=1,T947&gt;Inputs!$B$5),1,0)</f>
        <v>1</v>
      </c>
      <c r="Z947" s="7" t="n">
        <f aca="false">IF(AND(O947=1,G947&lt;&gt;R947),1,0)</f>
        <v>0</v>
      </c>
      <c r="AA947" s="7" t="n">
        <f aca="false">IF(AND(O947=1,M947=""),1,0)</f>
        <v>0</v>
      </c>
      <c r="AB947" s="7" t="n">
        <f aca="false">IF(AND(E947="Closed Lost",N947=""),1,0)</f>
        <v>0</v>
      </c>
      <c r="AC947" s="7" t="n">
        <f aca="false">SUM(U947:AB947)</f>
        <v>2</v>
      </c>
      <c r="AD947" s="7" t="n">
        <f aca="false">IF(AC947=0,1,0)</f>
        <v>0</v>
      </c>
      <c r="AE947" s="7" t="n">
        <f aca="false">IF(AND(O947=1,I947&gt;=Inputs!$B$6,I947&lt;=Inputs!$B$7),1,0)</f>
        <v>1</v>
      </c>
      <c r="AF947" s="7" t="n">
        <f aca="false">IF(AND(E947="Closed Won",I947&gt;=Inputs!$B$6,I947&lt;=Inputs!$B$4),1,0)</f>
        <v>0</v>
      </c>
      <c r="AG947" s="7" t="n">
        <f aca="false">IF(AND(O947=0,I947&gt;Inputs!$B$4-Inputs!$B$8,I947&lt;=Inputs!$B$4),1,0)</f>
        <v>0</v>
      </c>
      <c r="AH947" s="7" t="n">
        <f aca="false">I947-H947</f>
        <v>56</v>
      </c>
    </row>
    <row r="948" customFormat="false" ht="15" hidden="false" customHeight="false" outlineLevel="0" collapsed="false">
      <c r="A948" s="16" t="s">
        <v>2583</v>
      </c>
      <c r="B948" s="16" t="s">
        <v>77</v>
      </c>
      <c r="C948" s="16" t="s">
        <v>1804</v>
      </c>
      <c r="D948" s="16" t="s">
        <v>167</v>
      </c>
      <c r="E948" s="16" t="s">
        <v>531</v>
      </c>
      <c r="F948" s="26" t="n">
        <v>0</v>
      </c>
      <c r="G948" s="25" t="n">
        <v>0</v>
      </c>
      <c r="H948" s="22" t="n">
        <v>46169</v>
      </c>
      <c r="I948" s="22" t="n">
        <v>46280</v>
      </c>
      <c r="J948" s="22" t="n">
        <v>46280</v>
      </c>
      <c r="K948" s="16" t="s">
        <v>633</v>
      </c>
      <c r="L948" s="16" t="s">
        <v>609</v>
      </c>
      <c r="M948" s="16"/>
      <c r="N948" s="16" t="s">
        <v>597</v>
      </c>
      <c r="O948" s="7" t="n">
        <f aca="false">IF(OR(E948="Closed Won",E948="Closed Lost"),0,1)</f>
        <v>0</v>
      </c>
      <c r="P948" s="17" t="str">
        <f aca="false">INDEX(Accounts!$K$5:$K$336,MATCH(B948,Accounts!$A$5:$A$336,0))</f>
        <v>Financial Services</v>
      </c>
      <c r="Q948" s="17" t="str">
        <f aca="false">INDEX(Accounts!$D$5:$D$336,MATCH(B948,Accounts!$A$5:$A$336,0))</f>
        <v>Priority</v>
      </c>
      <c r="R948" s="7" t="n">
        <f aca="false">INDEX(Inputs!$B$11:$B$16,MATCH(E948,Inputs!$A$11:$A$16,0))</f>
        <v>0</v>
      </c>
      <c r="S948" s="27" t="n">
        <f aca="false">IF(F948="",0,F948)*R948/100</f>
        <v>0</v>
      </c>
      <c r="T948" s="7" t="n">
        <f aca="false">Inputs!$B$4-J948</f>
        <v>34</v>
      </c>
      <c r="U948" s="7" t="n">
        <f aca="false">IF(OR(F948="",F948=0),1,0)</f>
        <v>1</v>
      </c>
      <c r="V948" s="7" t="n">
        <f aca="false">IF(K948="",1,0)</f>
        <v>0</v>
      </c>
      <c r="W948" s="7" t="n">
        <f aca="false">IF(AND(O948=1,K948&lt;&gt;"",COUNTIFS(Owners!$A$5:$A$32,K948,Owners!$E$5:$E$32,"No")&gt;0),1,0)</f>
        <v>0</v>
      </c>
      <c r="X948" s="7" t="n">
        <f aca="false">IF(AND(O948=1,I948&lt;Inputs!$B$4),1,0)</f>
        <v>0</v>
      </c>
      <c r="Y948" s="7" t="n">
        <f aca="false">IF(AND(O948=1,T948&gt;Inputs!$B$5),1,0)</f>
        <v>0</v>
      </c>
      <c r="Z948" s="7" t="n">
        <f aca="false">IF(AND(O948=1,G948&lt;&gt;R948),1,0)</f>
        <v>0</v>
      </c>
      <c r="AA948" s="7" t="n">
        <f aca="false">IF(AND(O948=1,M948=""),1,0)</f>
        <v>0</v>
      </c>
      <c r="AB948" s="7" t="n">
        <f aca="false">IF(AND(E948="Closed Lost",N948=""),1,0)</f>
        <v>0</v>
      </c>
      <c r="AC948" s="7" t="n">
        <f aca="false">SUM(U948:AB948)</f>
        <v>1</v>
      </c>
      <c r="AD948" s="7" t="n">
        <f aca="false">IF(AC948=0,1,0)</f>
        <v>0</v>
      </c>
      <c r="AE948" s="7" t="n">
        <f aca="false">IF(AND(O948=1,I948&gt;=Inputs!$B$6,I948&lt;=Inputs!$B$7),1,0)</f>
        <v>0</v>
      </c>
      <c r="AF948" s="7" t="n">
        <f aca="false">IF(AND(E948="Closed Won",I948&gt;=Inputs!$B$6,I948&lt;=Inputs!$B$4),1,0)</f>
        <v>0</v>
      </c>
      <c r="AG948" s="7" t="n">
        <f aca="false">IF(AND(O948=0,I948&gt;Inputs!$B$4-Inputs!$B$8,I948&lt;=Inputs!$B$4),1,0)</f>
        <v>1</v>
      </c>
      <c r="AH948" s="7" t="n">
        <f aca="false">I948-H948</f>
        <v>111</v>
      </c>
    </row>
    <row r="949" customFormat="false" ht="15" hidden="false" customHeight="false" outlineLevel="0" collapsed="false">
      <c r="A949" s="16" t="s">
        <v>2584</v>
      </c>
      <c r="B949" s="16" t="s">
        <v>681</v>
      </c>
      <c r="C949" s="16" t="s">
        <v>1707</v>
      </c>
      <c r="D949" s="16" t="s">
        <v>167</v>
      </c>
      <c r="E949" s="16" t="s">
        <v>528</v>
      </c>
      <c r="F949" s="26"/>
      <c r="G949" s="25" t="n">
        <v>50</v>
      </c>
      <c r="H949" s="22" t="n">
        <v>46225</v>
      </c>
      <c r="I949" s="22" t="n">
        <v>46536</v>
      </c>
      <c r="J949" s="22" t="n">
        <v>46303</v>
      </c>
      <c r="K949" s="16" t="s">
        <v>573</v>
      </c>
      <c r="L949" s="16" t="s">
        <v>568</v>
      </c>
      <c r="M949" s="16" t="s">
        <v>601</v>
      </c>
      <c r="N949" s="16"/>
      <c r="O949" s="7" t="n">
        <f aca="false">IF(OR(E949="Closed Won",E949="Closed Lost"),0,1)</f>
        <v>1</v>
      </c>
      <c r="P949" s="17" t="str">
        <f aca="false">INDEX(Accounts!$K$5:$K$336,MATCH(B949,Accounts!$A$5:$A$336,0))</f>
        <v>Real Estate &amp; Infrastructure</v>
      </c>
      <c r="Q949" s="17" t="str">
        <f aca="false">INDEX(Accounts!$D$5:$D$336,MATCH(B949,Accounts!$A$5:$A$336,0))</f>
        <v>Key</v>
      </c>
      <c r="R949" s="7" t="n">
        <f aca="false">INDEX(Inputs!$B$11:$B$16,MATCH(E949,Inputs!$A$11:$A$16,0))</f>
        <v>50</v>
      </c>
      <c r="S949" s="27" t="n">
        <f aca="false">IF(F949="",0,F949)*R949/100</f>
        <v>0</v>
      </c>
      <c r="T949" s="7" t="n">
        <f aca="false">Inputs!$B$4-J949</f>
        <v>11</v>
      </c>
      <c r="U949" s="7" t="n">
        <f aca="false">IF(OR(F949="",F949=0),1,0)</f>
        <v>1</v>
      </c>
      <c r="V949" s="7" t="n">
        <f aca="false">IF(K949="",1,0)</f>
        <v>0</v>
      </c>
      <c r="W949" s="7" t="n">
        <f aca="false">IF(AND(O949=1,K949&lt;&gt;"",COUNTIFS(Owners!$A$5:$A$32,K949,Owners!$E$5:$E$32,"No")&gt;0),1,0)</f>
        <v>0</v>
      </c>
      <c r="X949" s="7" t="n">
        <f aca="false">IF(AND(O949=1,I949&lt;Inputs!$B$4),1,0)</f>
        <v>0</v>
      </c>
      <c r="Y949" s="7" t="n">
        <f aca="false">IF(AND(O949=1,T949&gt;Inputs!$B$5),1,0)</f>
        <v>0</v>
      </c>
      <c r="Z949" s="7" t="n">
        <f aca="false">IF(AND(O949=1,G949&lt;&gt;R949),1,0)</f>
        <v>0</v>
      </c>
      <c r="AA949" s="7" t="n">
        <f aca="false">IF(AND(O949=1,M949=""),1,0)</f>
        <v>0</v>
      </c>
      <c r="AB949" s="7" t="n">
        <f aca="false">IF(AND(E949="Closed Lost",N949=""),1,0)</f>
        <v>0</v>
      </c>
      <c r="AC949" s="7" t="n">
        <f aca="false">SUM(U949:AB949)</f>
        <v>1</v>
      </c>
      <c r="AD949" s="7" t="n">
        <f aca="false">IF(AC949=0,1,0)</f>
        <v>0</v>
      </c>
      <c r="AE949" s="7" t="n">
        <f aca="false">IF(AND(O949=1,I949&gt;=Inputs!$B$6,I949&lt;=Inputs!$B$7),1,0)</f>
        <v>1</v>
      </c>
      <c r="AF949" s="7" t="n">
        <f aca="false">IF(AND(E949="Closed Won",I949&gt;=Inputs!$B$6,I949&lt;=Inputs!$B$4),1,0)</f>
        <v>0</v>
      </c>
      <c r="AG949" s="7" t="n">
        <f aca="false">IF(AND(O949=0,I949&gt;Inputs!$B$4-Inputs!$B$8,I949&lt;=Inputs!$B$4),1,0)</f>
        <v>0</v>
      </c>
      <c r="AH949" s="7" t="n">
        <f aca="false">I949-H949</f>
        <v>311</v>
      </c>
    </row>
    <row r="950" customFormat="false" ht="15" hidden="false" customHeight="false" outlineLevel="0" collapsed="false">
      <c r="A950" s="16" t="s">
        <v>2585</v>
      </c>
      <c r="B950" s="16" t="s">
        <v>681</v>
      </c>
      <c r="C950" s="16" t="s">
        <v>2586</v>
      </c>
      <c r="D950" s="16" t="s">
        <v>162</v>
      </c>
      <c r="E950" s="16" t="s">
        <v>530</v>
      </c>
      <c r="F950" s="26" t="n">
        <v>800000</v>
      </c>
      <c r="G950" s="25" t="n">
        <v>100</v>
      </c>
      <c r="H950" s="22" t="n">
        <v>46122</v>
      </c>
      <c r="I950" s="22" t="n">
        <v>46235</v>
      </c>
      <c r="J950" s="22" t="n">
        <v>46235</v>
      </c>
      <c r="K950" s="16" t="s">
        <v>717</v>
      </c>
      <c r="L950" s="16" t="s">
        <v>500</v>
      </c>
      <c r="M950" s="16"/>
      <c r="N950" s="16"/>
      <c r="O950" s="7" t="n">
        <f aca="false">IF(OR(E950="Closed Won",E950="Closed Lost"),0,1)</f>
        <v>0</v>
      </c>
      <c r="P950" s="17" t="str">
        <f aca="false">INDEX(Accounts!$K$5:$K$336,MATCH(B950,Accounts!$A$5:$A$336,0))</f>
        <v>Real Estate &amp; Infrastructure</v>
      </c>
      <c r="Q950" s="17" t="str">
        <f aca="false">INDEX(Accounts!$D$5:$D$336,MATCH(B950,Accounts!$A$5:$A$336,0))</f>
        <v>Key</v>
      </c>
      <c r="R950" s="7" t="n">
        <f aca="false">INDEX(Inputs!$B$11:$B$16,MATCH(E950,Inputs!$A$11:$A$16,0))</f>
        <v>100</v>
      </c>
      <c r="S950" s="27" t="n">
        <f aca="false">IF(F950="",0,F950)*R950/100</f>
        <v>800000</v>
      </c>
      <c r="T950" s="7" t="n">
        <f aca="false">Inputs!$B$4-J950</f>
        <v>79</v>
      </c>
      <c r="U950" s="7" t="n">
        <f aca="false">IF(OR(F950="",F950=0),1,0)</f>
        <v>0</v>
      </c>
      <c r="V950" s="7" t="n">
        <f aca="false">IF(K950="",1,0)</f>
        <v>0</v>
      </c>
      <c r="W950" s="7" t="n">
        <f aca="false">IF(AND(O950=1,K950&lt;&gt;"",COUNTIFS(Owners!$A$5:$A$32,K950,Owners!$E$5:$E$32,"No")&gt;0),1,0)</f>
        <v>0</v>
      </c>
      <c r="X950" s="7" t="n">
        <f aca="false">IF(AND(O950=1,I950&lt;Inputs!$B$4),1,0)</f>
        <v>0</v>
      </c>
      <c r="Y950" s="7" t="n">
        <f aca="false">IF(AND(O950=1,T950&gt;Inputs!$B$5),1,0)</f>
        <v>0</v>
      </c>
      <c r="Z950" s="7" t="n">
        <f aca="false">IF(AND(O950=1,G950&lt;&gt;R950),1,0)</f>
        <v>0</v>
      </c>
      <c r="AA950" s="7" t="n">
        <f aca="false">IF(AND(O950=1,M950=""),1,0)</f>
        <v>0</v>
      </c>
      <c r="AB950" s="7" t="n">
        <f aca="false">IF(AND(E950="Closed Lost",N950=""),1,0)</f>
        <v>0</v>
      </c>
      <c r="AC950" s="7" t="n">
        <f aca="false">SUM(U950:AB950)</f>
        <v>0</v>
      </c>
      <c r="AD950" s="7" t="n">
        <f aca="false">IF(AC950=0,1,0)</f>
        <v>1</v>
      </c>
      <c r="AE950" s="7" t="n">
        <f aca="false">IF(AND(O950=1,I950&gt;=Inputs!$B$6,I950&lt;=Inputs!$B$7),1,0)</f>
        <v>0</v>
      </c>
      <c r="AF950" s="7" t="n">
        <f aca="false">IF(AND(E950="Closed Won",I950&gt;=Inputs!$B$6,I950&lt;=Inputs!$B$4),1,0)</f>
        <v>1</v>
      </c>
      <c r="AG950" s="7" t="n">
        <f aca="false">IF(AND(O950=0,I950&gt;Inputs!$B$4-Inputs!$B$8,I950&lt;=Inputs!$B$4),1,0)</f>
        <v>1</v>
      </c>
      <c r="AH950" s="7" t="n">
        <f aca="false">I950-H950</f>
        <v>113</v>
      </c>
    </row>
    <row r="951" customFormat="false" ht="15" hidden="false" customHeight="false" outlineLevel="0" collapsed="false">
      <c r="A951" s="16" t="s">
        <v>2587</v>
      </c>
      <c r="B951" s="16" t="s">
        <v>2588</v>
      </c>
      <c r="C951" s="16" t="s">
        <v>2589</v>
      </c>
      <c r="D951" s="16" t="s">
        <v>167</v>
      </c>
      <c r="E951" s="16" t="s">
        <v>530</v>
      </c>
      <c r="F951" s="26" t="n">
        <v>11828000</v>
      </c>
      <c r="G951" s="25" t="n">
        <v>100</v>
      </c>
      <c r="H951" s="22" t="n">
        <v>46068</v>
      </c>
      <c r="I951" s="22" t="n">
        <v>46174</v>
      </c>
      <c r="J951" s="22" t="n">
        <v>46174</v>
      </c>
      <c r="K951" s="16" t="s">
        <v>677</v>
      </c>
      <c r="L951" s="16" t="s">
        <v>584</v>
      </c>
      <c r="M951" s="16"/>
      <c r="N951" s="16"/>
      <c r="O951" s="7" t="n">
        <f aca="false">IF(OR(E951="Closed Won",E951="Closed Lost"),0,1)</f>
        <v>0</v>
      </c>
      <c r="P951" s="17" t="str">
        <f aca="false">INDEX(Accounts!$K$5:$K$336,MATCH(B951,Accounts!$A$5:$A$336,0))</f>
        <v>Consumer &amp; Retail</v>
      </c>
      <c r="Q951" s="17" t="str">
        <f aca="false">INDEX(Accounts!$D$5:$D$336,MATCH(B951,Accounts!$A$5:$A$336,0))</f>
        <v>Standard</v>
      </c>
      <c r="R951" s="7" t="n">
        <f aca="false">INDEX(Inputs!$B$11:$B$16,MATCH(E951,Inputs!$A$11:$A$16,0))</f>
        <v>100</v>
      </c>
      <c r="S951" s="27" t="n">
        <f aca="false">IF(F951="",0,F951)*R951/100</f>
        <v>11828000</v>
      </c>
      <c r="T951" s="7" t="n">
        <f aca="false">Inputs!$B$4-J951</f>
        <v>140</v>
      </c>
      <c r="U951" s="7" t="n">
        <f aca="false">IF(OR(F951="",F951=0),1,0)</f>
        <v>0</v>
      </c>
      <c r="V951" s="7" t="n">
        <f aca="false">IF(K951="",1,0)</f>
        <v>0</v>
      </c>
      <c r="W951" s="7" t="n">
        <f aca="false">IF(AND(O951=1,K951&lt;&gt;"",COUNTIFS(Owners!$A$5:$A$32,K951,Owners!$E$5:$E$32,"No")&gt;0),1,0)</f>
        <v>0</v>
      </c>
      <c r="X951" s="7" t="n">
        <f aca="false">IF(AND(O951=1,I951&lt;Inputs!$B$4),1,0)</f>
        <v>0</v>
      </c>
      <c r="Y951" s="7" t="n">
        <f aca="false">IF(AND(O951=1,T951&gt;Inputs!$B$5),1,0)</f>
        <v>0</v>
      </c>
      <c r="Z951" s="7" t="n">
        <f aca="false">IF(AND(O951=1,G951&lt;&gt;R951),1,0)</f>
        <v>0</v>
      </c>
      <c r="AA951" s="7" t="n">
        <f aca="false">IF(AND(O951=1,M951=""),1,0)</f>
        <v>0</v>
      </c>
      <c r="AB951" s="7" t="n">
        <f aca="false">IF(AND(E951="Closed Lost",N951=""),1,0)</f>
        <v>0</v>
      </c>
      <c r="AC951" s="7" t="n">
        <f aca="false">SUM(U951:AB951)</f>
        <v>0</v>
      </c>
      <c r="AD951" s="7" t="n">
        <f aca="false">IF(AC951=0,1,0)</f>
        <v>1</v>
      </c>
      <c r="AE951" s="7" t="n">
        <f aca="false">IF(AND(O951=1,I951&gt;=Inputs!$B$6,I951&lt;=Inputs!$B$7),1,0)</f>
        <v>0</v>
      </c>
      <c r="AF951" s="7" t="n">
        <f aca="false">IF(AND(E951="Closed Won",I951&gt;=Inputs!$B$6,I951&lt;=Inputs!$B$4),1,0)</f>
        <v>0</v>
      </c>
      <c r="AG951" s="7" t="n">
        <f aca="false">IF(AND(O951=0,I951&gt;Inputs!$B$4-Inputs!$B$8,I951&lt;=Inputs!$B$4),1,0)</f>
        <v>1</v>
      </c>
      <c r="AH951" s="7" t="n">
        <f aca="false">I951-H951</f>
        <v>106</v>
      </c>
    </row>
    <row r="952" customFormat="false" ht="15" hidden="false" customHeight="false" outlineLevel="0" collapsed="false">
      <c r="A952" s="16" t="s">
        <v>2590</v>
      </c>
      <c r="B952" s="16" t="s">
        <v>952</v>
      </c>
      <c r="C952" s="16" t="s">
        <v>2591</v>
      </c>
      <c r="D952" s="16" t="s">
        <v>167</v>
      </c>
      <c r="E952" s="16" t="s">
        <v>530</v>
      </c>
      <c r="F952" s="26" t="n">
        <v>9900000</v>
      </c>
      <c r="G952" s="25" t="n">
        <v>100</v>
      </c>
      <c r="H952" s="22" t="n">
        <v>45913</v>
      </c>
      <c r="I952" s="22" t="n">
        <v>46079</v>
      </c>
      <c r="J952" s="22" t="n">
        <v>46079</v>
      </c>
      <c r="K952" s="16" t="s">
        <v>765</v>
      </c>
      <c r="L952" s="16" t="s">
        <v>592</v>
      </c>
      <c r="M952" s="16"/>
      <c r="N952" s="16"/>
      <c r="O952" s="7" t="n">
        <f aca="false">IF(OR(E952="Closed Won",E952="Closed Lost"),0,1)</f>
        <v>0</v>
      </c>
      <c r="P952" s="17" t="str">
        <f aca="false">INDEX(Accounts!$K$5:$K$336,MATCH(B952,Accounts!$A$5:$A$336,0))</f>
        <v>Public Sector &amp; Development</v>
      </c>
      <c r="Q952" s="17" t="str">
        <f aca="false">INDEX(Accounts!$D$5:$D$336,MATCH(B952,Accounts!$A$5:$A$336,0))</f>
        <v>Key</v>
      </c>
      <c r="R952" s="7" t="n">
        <f aca="false">INDEX(Inputs!$B$11:$B$16,MATCH(E952,Inputs!$A$11:$A$16,0))</f>
        <v>100</v>
      </c>
      <c r="S952" s="27" t="n">
        <f aca="false">IF(F952="",0,F952)*R952/100</f>
        <v>9900000</v>
      </c>
      <c r="T952" s="7" t="n">
        <f aca="false">Inputs!$B$4-J952</f>
        <v>235</v>
      </c>
      <c r="U952" s="7" t="n">
        <f aca="false">IF(OR(F952="",F952=0),1,0)</f>
        <v>0</v>
      </c>
      <c r="V952" s="7" t="n">
        <f aca="false">IF(K952="",1,0)</f>
        <v>0</v>
      </c>
      <c r="W952" s="7" t="n">
        <f aca="false">IF(AND(O952=1,K952&lt;&gt;"",COUNTIFS(Owners!$A$5:$A$32,K952,Owners!$E$5:$E$32,"No")&gt;0),1,0)</f>
        <v>0</v>
      </c>
      <c r="X952" s="7" t="n">
        <f aca="false">IF(AND(O952=1,I952&lt;Inputs!$B$4),1,0)</f>
        <v>0</v>
      </c>
      <c r="Y952" s="7" t="n">
        <f aca="false">IF(AND(O952=1,T952&gt;Inputs!$B$5),1,0)</f>
        <v>0</v>
      </c>
      <c r="Z952" s="7" t="n">
        <f aca="false">IF(AND(O952=1,G952&lt;&gt;R952),1,0)</f>
        <v>0</v>
      </c>
      <c r="AA952" s="7" t="n">
        <f aca="false">IF(AND(O952=1,M952=""),1,0)</f>
        <v>0</v>
      </c>
      <c r="AB952" s="7" t="n">
        <f aca="false">IF(AND(E952="Closed Lost",N952=""),1,0)</f>
        <v>0</v>
      </c>
      <c r="AC952" s="7" t="n">
        <f aca="false">SUM(U952:AB952)</f>
        <v>0</v>
      </c>
      <c r="AD952" s="7" t="n">
        <f aca="false">IF(AC952=0,1,0)</f>
        <v>1</v>
      </c>
      <c r="AE952" s="7" t="n">
        <f aca="false">IF(AND(O952=1,I952&gt;=Inputs!$B$6,I952&lt;=Inputs!$B$7),1,0)</f>
        <v>0</v>
      </c>
      <c r="AF952" s="7" t="n">
        <f aca="false">IF(AND(E952="Closed Won",I952&gt;=Inputs!$B$6,I952&lt;=Inputs!$B$4),1,0)</f>
        <v>0</v>
      </c>
      <c r="AG952" s="7" t="n">
        <f aca="false">IF(AND(O952=0,I952&gt;Inputs!$B$4-Inputs!$B$8,I952&lt;=Inputs!$B$4),1,0)</f>
        <v>1</v>
      </c>
      <c r="AH952" s="7" t="n">
        <f aca="false">I952-H952</f>
        <v>166</v>
      </c>
    </row>
    <row r="953" customFormat="false" ht="15" hidden="false" customHeight="false" outlineLevel="0" collapsed="false">
      <c r="A953" s="16" t="s">
        <v>2592</v>
      </c>
      <c r="B953" s="16" t="s">
        <v>2593</v>
      </c>
      <c r="C953" s="16" t="s">
        <v>2594</v>
      </c>
      <c r="D953" s="16" t="s">
        <v>162</v>
      </c>
      <c r="E953" s="16" t="s">
        <v>527</v>
      </c>
      <c r="F953" s="26" t="n">
        <v>16750000</v>
      </c>
      <c r="G953" s="25" t="n">
        <v>25</v>
      </c>
      <c r="H953" s="22" t="n">
        <v>46248</v>
      </c>
      <c r="I953" s="22" t="n">
        <v>46494</v>
      </c>
      <c r="J953" s="22" t="n">
        <v>46287</v>
      </c>
      <c r="K953" s="16" t="s">
        <v>573</v>
      </c>
      <c r="L953" s="16" t="s">
        <v>584</v>
      </c>
      <c r="M953" s="16" t="s">
        <v>569</v>
      </c>
      <c r="N953" s="16"/>
      <c r="O953" s="7" t="n">
        <f aca="false">IF(OR(E953="Closed Won",E953="Closed Lost"),0,1)</f>
        <v>1</v>
      </c>
      <c r="P953" s="17" t="str">
        <f aca="false">INDEX(Accounts!$K$5:$K$336,MATCH(B953,Accounts!$A$5:$A$336,0))</f>
        <v>Energy &amp; Resources</v>
      </c>
      <c r="Q953" s="17" t="str">
        <f aca="false">INDEX(Accounts!$D$5:$D$336,MATCH(B953,Accounts!$A$5:$A$336,0))</f>
        <v>Standard</v>
      </c>
      <c r="R953" s="7" t="n">
        <f aca="false">INDEX(Inputs!$B$11:$B$16,MATCH(E953,Inputs!$A$11:$A$16,0))</f>
        <v>25</v>
      </c>
      <c r="S953" s="27" t="n">
        <f aca="false">IF(F953="",0,F953)*R953/100</f>
        <v>4187500</v>
      </c>
      <c r="T953" s="7" t="n">
        <f aca="false">Inputs!$B$4-J953</f>
        <v>27</v>
      </c>
      <c r="U953" s="7" t="n">
        <f aca="false">IF(OR(F953="",F953=0),1,0)</f>
        <v>0</v>
      </c>
      <c r="V953" s="7" t="n">
        <f aca="false">IF(K953="",1,0)</f>
        <v>0</v>
      </c>
      <c r="W953" s="7" t="n">
        <f aca="false">IF(AND(O953=1,K953&lt;&gt;"",COUNTIFS(Owners!$A$5:$A$32,K953,Owners!$E$5:$E$32,"No")&gt;0),1,0)</f>
        <v>0</v>
      </c>
      <c r="X953" s="7" t="n">
        <f aca="false">IF(AND(O953=1,I953&lt;Inputs!$B$4),1,0)</f>
        <v>0</v>
      </c>
      <c r="Y953" s="7" t="n">
        <f aca="false">IF(AND(O953=1,T953&gt;Inputs!$B$5),1,0)</f>
        <v>0</v>
      </c>
      <c r="Z953" s="7" t="n">
        <f aca="false">IF(AND(O953=1,G953&lt;&gt;R953),1,0)</f>
        <v>0</v>
      </c>
      <c r="AA953" s="7" t="n">
        <f aca="false">IF(AND(O953=1,M953=""),1,0)</f>
        <v>0</v>
      </c>
      <c r="AB953" s="7" t="n">
        <f aca="false">IF(AND(E953="Closed Lost",N953=""),1,0)</f>
        <v>0</v>
      </c>
      <c r="AC953" s="7" t="n">
        <f aca="false">SUM(U953:AB953)</f>
        <v>0</v>
      </c>
      <c r="AD953" s="7" t="n">
        <f aca="false">IF(AC953=0,1,0)</f>
        <v>1</v>
      </c>
      <c r="AE953" s="7" t="n">
        <f aca="false">IF(AND(O953=1,I953&gt;=Inputs!$B$6,I953&lt;=Inputs!$B$7),1,0)</f>
        <v>1</v>
      </c>
      <c r="AF953" s="7" t="n">
        <f aca="false">IF(AND(E953="Closed Won",I953&gt;=Inputs!$B$6,I953&lt;=Inputs!$B$4),1,0)</f>
        <v>0</v>
      </c>
      <c r="AG953" s="7" t="n">
        <f aca="false">IF(AND(O953=0,I953&gt;Inputs!$B$4-Inputs!$B$8,I953&lt;=Inputs!$B$4),1,0)</f>
        <v>0</v>
      </c>
      <c r="AH953" s="7" t="n">
        <f aca="false">I953-H953</f>
        <v>246</v>
      </c>
    </row>
    <row r="954" customFormat="false" ht="15" hidden="false" customHeight="false" outlineLevel="0" collapsed="false">
      <c r="A954" s="16" t="s">
        <v>2595</v>
      </c>
      <c r="B954" s="16" t="s">
        <v>91</v>
      </c>
      <c r="C954" s="16" t="s">
        <v>2596</v>
      </c>
      <c r="D954" s="16" t="s">
        <v>165</v>
      </c>
      <c r="E954" s="16" t="s">
        <v>528</v>
      </c>
      <c r="F954" s="26" t="n">
        <v>74394000</v>
      </c>
      <c r="G954" s="25" t="n">
        <v>50</v>
      </c>
      <c r="H954" s="22" t="n">
        <v>46081</v>
      </c>
      <c r="I954" s="22" t="n">
        <v>46300</v>
      </c>
      <c r="J954" s="22" t="n">
        <v>46280</v>
      </c>
      <c r="K954" s="16" t="s">
        <v>633</v>
      </c>
      <c r="L954" s="16" t="s">
        <v>584</v>
      </c>
      <c r="M954" s="16" t="s">
        <v>569</v>
      </c>
      <c r="N954" s="16"/>
      <c r="O954" s="7" t="n">
        <f aca="false">IF(OR(E954="Closed Won",E954="Closed Lost"),0,1)</f>
        <v>1</v>
      </c>
      <c r="P954" s="17" t="str">
        <f aca="false">INDEX(Accounts!$K$5:$K$336,MATCH(B954,Accounts!$A$5:$A$336,0))</f>
        <v>Technology, Media &amp; Telecom</v>
      </c>
      <c r="Q954" s="17" t="str">
        <f aca="false">INDEX(Accounts!$D$5:$D$336,MATCH(B954,Accounts!$A$5:$A$336,0))</f>
        <v>Priority</v>
      </c>
      <c r="R954" s="7" t="n">
        <f aca="false">INDEX(Inputs!$B$11:$B$16,MATCH(E954,Inputs!$A$11:$A$16,0))</f>
        <v>50</v>
      </c>
      <c r="S954" s="27" t="n">
        <f aca="false">IF(F954="",0,F954)*R954/100</f>
        <v>37197000</v>
      </c>
      <c r="T954" s="7" t="n">
        <f aca="false">Inputs!$B$4-J954</f>
        <v>34</v>
      </c>
      <c r="U954" s="7" t="n">
        <f aca="false">IF(OR(F954="",F954=0),1,0)</f>
        <v>0</v>
      </c>
      <c r="V954" s="7" t="n">
        <f aca="false">IF(K954="",1,0)</f>
        <v>0</v>
      </c>
      <c r="W954" s="7" t="n">
        <f aca="false">IF(AND(O954=1,K954&lt;&gt;"",COUNTIFS(Owners!$A$5:$A$32,K954,Owners!$E$5:$E$32,"No")&gt;0),1,0)</f>
        <v>0</v>
      </c>
      <c r="X954" s="7" t="n">
        <f aca="false">IF(AND(O954=1,I954&lt;Inputs!$B$4),1,0)</f>
        <v>1</v>
      </c>
      <c r="Y954" s="7" t="n">
        <f aca="false">IF(AND(O954=1,T954&gt;Inputs!$B$5),1,0)</f>
        <v>0</v>
      </c>
      <c r="Z954" s="7" t="n">
        <f aca="false">IF(AND(O954=1,G954&lt;&gt;R954),1,0)</f>
        <v>0</v>
      </c>
      <c r="AA954" s="7" t="n">
        <f aca="false">IF(AND(O954=1,M954=""),1,0)</f>
        <v>0</v>
      </c>
      <c r="AB954" s="7" t="n">
        <f aca="false">IF(AND(E954="Closed Lost",N954=""),1,0)</f>
        <v>0</v>
      </c>
      <c r="AC954" s="7" t="n">
        <f aca="false">SUM(U954:AB954)</f>
        <v>1</v>
      </c>
      <c r="AD954" s="7" t="n">
        <f aca="false">IF(AC954=0,1,0)</f>
        <v>0</v>
      </c>
      <c r="AE954" s="7" t="n">
        <f aca="false">IF(AND(O954=1,I954&gt;=Inputs!$B$6,I954&lt;=Inputs!$B$7),1,0)</f>
        <v>1</v>
      </c>
      <c r="AF954" s="7" t="n">
        <f aca="false">IF(AND(E954="Closed Won",I954&gt;=Inputs!$B$6,I954&lt;=Inputs!$B$4),1,0)</f>
        <v>0</v>
      </c>
      <c r="AG954" s="7" t="n">
        <f aca="false">IF(AND(O954=0,I954&gt;Inputs!$B$4-Inputs!$B$8,I954&lt;=Inputs!$B$4),1,0)</f>
        <v>0</v>
      </c>
      <c r="AH954" s="7" t="n">
        <f aca="false">I954-H954</f>
        <v>219</v>
      </c>
    </row>
  </sheetData>
  <autoFilter ref="A4:AH9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D4"/>
    <pageSetUpPr fitToPage="false"/>
  </sheetPr>
  <dimension ref="A1:L3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30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28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1" t="s">
        <v>2597</v>
      </c>
    </row>
    <row r="2" customFormat="false" ht="15" hidden="false" customHeight="false" outlineLevel="0" collapsed="false">
      <c r="A2" s="2" t="s">
        <v>2598</v>
      </c>
    </row>
    <row r="4" customFormat="false" ht="39.75" hidden="false" customHeight="true" outlineLevel="0" collapsed="false">
      <c r="A4" s="5" t="s">
        <v>51</v>
      </c>
      <c r="B4" s="5" t="s">
        <v>2599</v>
      </c>
      <c r="C4" s="5" t="s">
        <v>2600</v>
      </c>
      <c r="D4" s="5" t="s">
        <v>547</v>
      </c>
      <c r="E4" s="5" t="s">
        <v>2601</v>
      </c>
      <c r="F4" s="5" t="s">
        <v>2602</v>
      </c>
      <c r="G4" s="5" t="s">
        <v>2603</v>
      </c>
      <c r="H4" s="5" t="s">
        <v>2604</v>
      </c>
      <c r="I4" s="5" t="s">
        <v>2605</v>
      </c>
      <c r="J4" s="5" t="s">
        <v>2606</v>
      </c>
      <c r="K4" s="5" t="s">
        <v>2607</v>
      </c>
      <c r="L4" s="5" t="s">
        <v>2608</v>
      </c>
    </row>
    <row r="5" customFormat="false" ht="15" hidden="false" customHeight="false" outlineLevel="0" collapsed="false">
      <c r="A5" s="16" t="s">
        <v>57</v>
      </c>
      <c r="B5" s="16" t="s">
        <v>2609</v>
      </c>
      <c r="C5" s="16" t="s">
        <v>43</v>
      </c>
      <c r="D5" s="16" t="s">
        <v>2610</v>
      </c>
      <c r="E5" s="16" t="s">
        <v>2611</v>
      </c>
      <c r="F5" s="16" t="s">
        <v>2612</v>
      </c>
      <c r="G5" s="16" t="s">
        <v>691</v>
      </c>
      <c r="H5" s="16" t="s">
        <v>2613</v>
      </c>
      <c r="I5" s="7" t="n">
        <f aca="false">IF(COUNTIF($H$5:$H$336,H5)&gt;1,1,0)</f>
        <v>0</v>
      </c>
      <c r="J5" s="17" t="str">
        <f aca="false">INDEX($A$5:$A$336,MATCH(H5,$H$5:$H$336,0))</f>
        <v>A0001</v>
      </c>
      <c r="K5" s="17" t="str">
        <f aca="false">IF(C5&lt;&gt;"",C5,IF(INDEX($C$5:$C$336,MATCH(J5,$A$5:$A$336,0))&lt;&gt;"",INDEX($C$5:$C$336,MATCH(J5,$A$5:$A$336,0)),"Unassigned"))</f>
        <v>Financial Services</v>
      </c>
      <c r="L5" s="7" t="n">
        <f aca="false">IF(C5="",1,0)</f>
        <v>0</v>
      </c>
    </row>
    <row r="6" customFormat="false" ht="15" hidden="false" customHeight="false" outlineLevel="0" collapsed="false">
      <c r="A6" s="16" t="s">
        <v>58</v>
      </c>
      <c r="B6" s="16" t="s">
        <v>2614</v>
      </c>
      <c r="C6" s="16" t="s">
        <v>43</v>
      </c>
      <c r="D6" s="16" t="s">
        <v>2610</v>
      </c>
      <c r="E6" s="16" t="s">
        <v>2615</v>
      </c>
      <c r="F6" s="16" t="s">
        <v>2616</v>
      </c>
      <c r="G6" s="16" t="s">
        <v>654</v>
      </c>
      <c r="H6" s="16" t="s">
        <v>2617</v>
      </c>
      <c r="I6" s="7" t="n">
        <f aca="false">IF(COUNTIF($H$5:$H$336,H6)&gt;1,1,0)</f>
        <v>0</v>
      </c>
      <c r="J6" s="17" t="str">
        <f aca="false">INDEX($A$5:$A$336,MATCH(H6,$H$5:$H$336,0))</f>
        <v>A0002</v>
      </c>
      <c r="K6" s="17" t="str">
        <f aca="false">IF(C6&lt;&gt;"",C6,IF(INDEX($C$5:$C$336,MATCH(J6,$A$5:$A$336,0))&lt;&gt;"",INDEX($C$5:$C$336,MATCH(J6,$A$5:$A$336,0)),"Unassigned"))</f>
        <v>Financial Services</v>
      </c>
      <c r="L6" s="7" t="n">
        <f aca="false">IF(C6="",1,0)</f>
        <v>0</v>
      </c>
    </row>
    <row r="7" customFormat="false" ht="15" hidden="false" customHeight="false" outlineLevel="0" collapsed="false">
      <c r="A7" s="16" t="s">
        <v>59</v>
      </c>
      <c r="B7" s="16" t="s">
        <v>2618</v>
      </c>
      <c r="C7" s="16" t="s">
        <v>43</v>
      </c>
      <c r="D7" s="16" t="s">
        <v>2610</v>
      </c>
      <c r="E7" s="16" t="s">
        <v>2619</v>
      </c>
      <c r="F7" s="16" t="s">
        <v>2612</v>
      </c>
      <c r="G7" s="16" t="s">
        <v>640</v>
      </c>
      <c r="H7" s="16" t="s">
        <v>2620</v>
      </c>
      <c r="I7" s="7" t="n">
        <f aca="false">IF(COUNTIF($H$5:$H$336,H7)&gt;1,1,0)</f>
        <v>0</v>
      </c>
      <c r="J7" s="17" t="str">
        <f aca="false">INDEX($A$5:$A$336,MATCH(H7,$H$5:$H$336,0))</f>
        <v>A0003</v>
      </c>
      <c r="K7" s="17" t="str">
        <f aca="false">IF(C7&lt;&gt;"",C7,IF(INDEX($C$5:$C$336,MATCH(J7,$A$5:$A$336,0))&lt;&gt;"",INDEX($C$5:$C$336,MATCH(J7,$A$5:$A$336,0)),"Unassigned"))</f>
        <v>Financial Services</v>
      </c>
      <c r="L7" s="7" t="n">
        <f aca="false">IF(C7="",1,0)</f>
        <v>0</v>
      </c>
    </row>
    <row r="8" customFormat="false" ht="15" hidden="false" customHeight="false" outlineLevel="0" collapsed="false">
      <c r="A8" s="16" t="s">
        <v>60</v>
      </c>
      <c r="B8" s="16" t="s">
        <v>2621</v>
      </c>
      <c r="C8" s="16" t="s">
        <v>43</v>
      </c>
      <c r="D8" s="16" t="s">
        <v>2610</v>
      </c>
      <c r="E8" s="16" t="s">
        <v>2622</v>
      </c>
      <c r="F8" s="16" t="s">
        <v>2612</v>
      </c>
      <c r="G8" s="16" t="s">
        <v>596</v>
      </c>
      <c r="H8" s="16" t="s">
        <v>2623</v>
      </c>
      <c r="I8" s="7" t="n">
        <f aca="false">IF(COUNTIF($H$5:$H$336,H8)&gt;1,1,0)</f>
        <v>0</v>
      </c>
      <c r="J8" s="17" t="str">
        <f aca="false">INDEX($A$5:$A$336,MATCH(H8,$H$5:$H$336,0))</f>
        <v>A0004</v>
      </c>
      <c r="K8" s="17" t="str">
        <f aca="false">IF(C8&lt;&gt;"",C8,IF(INDEX($C$5:$C$336,MATCH(J8,$A$5:$A$336,0))&lt;&gt;"",INDEX($C$5:$C$336,MATCH(J8,$A$5:$A$336,0)),"Unassigned"))</f>
        <v>Financial Services</v>
      </c>
      <c r="L8" s="7" t="n">
        <f aca="false">IF(C8="",1,0)</f>
        <v>0</v>
      </c>
    </row>
    <row r="9" customFormat="false" ht="15" hidden="false" customHeight="false" outlineLevel="0" collapsed="false">
      <c r="A9" s="16" t="s">
        <v>61</v>
      </c>
      <c r="B9" s="16" t="s">
        <v>2624</v>
      </c>
      <c r="C9" s="16" t="s">
        <v>40</v>
      </c>
      <c r="D9" s="16" t="s">
        <v>2610</v>
      </c>
      <c r="E9" s="16" t="s">
        <v>2615</v>
      </c>
      <c r="F9" s="16" t="s">
        <v>2612</v>
      </c>
      <c r="G9" s="16" t="s">
        <v>704</v>
      </c>
      <c r="H9" s="16" t="s">
        <v>2625</v>
      </c>
      <c r="I9" s="7" t="n">
        <f aca="false">IF(COUNTIF($H$5:$H$336,H9)&gt;1,1,0)</f>
        <v>0</v>
      </c>
      <c r="J9" s="17" t="str">
        <f aca="false">INDEX($A$5:$A$336,MATCH(H9,$H$5:$H$336,0))</f>
        <v>A0005</v>
      </c>
      <c r="K9" s="17" t="str">
        <f aca="false">IF(C9&lt;&gt;"",C9,IF(INDEX($C$5:$C$336,MATCH(J9,$A$5:$A$336,0))&lt;&gt;"",INDEX($C$5:$C$336,MATCH(J9,$A$5:$A$336,0)),"Unassigned"))</f>
        <v>Agribusiness</v>
      </c>
      <c r="L9" s="7" t="n">
        <f aca="false">IF(C9="",1,0)</f>
        <v>0</v>
      </c>
    </row>
    <row r="10" customFormat="false" ht="15" hidden="false" customHeight="false" outlineLevel="0" collapsed="false">
      <c r="A10" s="16" t="s">
        <v>62</v>
      </c>
      <c r="B10" s="16" t="s">
        <v>2626</v>
      </c>
      <c r="C10" s="16" t="s">
        <v>43</v>
      </c>
      <c r="D10" s="16" t="s">
        <v>2610</v>
      </c>
      <c r="E10" s="16" t="s">
        <v>2615</v>
      </c>
      <c r="F10" s="16" t="s">
        <v>2612</v>
      </c>
      <c r="G10" s="16" t="s">
        <v>604</v>
      </c>
      <c r="H10" s="16" t="s">
        <v>2627</v>
      </c>
      <c r="I10" s="7" t="n">
        <f aca="false">IF(COUNTIF($H$5:$H$336,H10)&gt;1,1,0)</f>
        <v>0</v>
      </c>
      <c r="J10" s="17" t="str">
        <f aca="false">INDEX($A$5:$A$336,MATCH(H10,$H$5:$H$336,0))</f>
        <v>A0006</v>
      </c>
      <c r="K10" s="17" t="str">
        <f aca="false">IF(C10&lt;&gt;"",C10,IF(INDEX($C$5:$C$336,MATCH(J10,$A$5:$A$336,0))&lt;&gt;"",INDEX($C$5:$C$336,MATCH(J10,$A$5:$A$336,0)),"Unassigned"))</f>
        <v>Financial Services</v>
      </c>
      <c r="L10" s="7" t="n">
        <f aca="false">IF(C10="",1,0)</f>
        <v>0</v>
      </c>
    </row>
    <row r="11" customFormat="false" ht="15" hidden="false" customHeight="false" outlineLevel="0" collapsed="false">
      <c r="A11" s="16" t="s">
        <v>63</v>
      </c>
      <c r="B11" s="16" t="s">
        <v>2628</v>
      </c>
      <c r="C11" s="16" t="s">
        <v>45</v>
      </c>
      <c r="D11" s="16" t="s">
        <v>2610</v>
      </c>
      <c r="E11" s="16" t="s">
        <v>2615</v>
      </c>
      <c r="F11" s="16" t="s">
        <v>2612</v>
      </c>
      <c r="G11" s="16" t="s">
        <v>633</v>
      </c>
      <c r="H11" s="16" t="s">
        <v>2629</v>
      </c>
      <c r="I11" s="7" t="n">
        <f aca="false">IF(COUNTIF($H$5:$H$336,H11)&gt;1,1,0)</f>
        <v>0</v>
      </c>
      <c r="J11" s="17" t="str">
        <f aca="false">INDEX($A$5:$A$336,MATCH(H11,$H$5:$H$336,0))</f>
        <v>A0007</v>
      </c>
      <c r="K11" s="17" t="str">
        <f aca="false">IF(C11&lt;&gt;"",C11,IF(INDEX($C$5:$C$336,MATCH(J11,$A$5:$A$336,0))&lt;&gt;"",INDEX($C$5:$C$336,MATCH(J11,$A$5:$A$336,0)),"Unassigned"))</f>
        <v>Public Sector &amp; Development</v>
      </c>
      <c r="L11" s="7" t="n">
        <f aca="false">IF(C11="",1,0)</f>
        <v>0</v>
      </c>
    </row>
    <row r="12" customFormat="false" ht="15" hidden="false" customHeight="false" outlineLevel="0" collapsed="false">
      <c r="A12" s="16" t="s">
        <v>64</v>
      </c>
      <c r="B12" s="16" t="s">
        <v>2630</v>
      </c>
      <c r="C12" s="16" t="s">
        <v>43</v>
      </c>
      <c r="D12" s="16" t="s">
        <v>2610</v>
      </c>
      <c r="E12" s="16" t="s">
        <v>2619</v>
      </c>
      <c r="F12" s="16" t="s">
        <v>2612</v>
      </c>
      <c r="G12" s="16" t="s">
        <v>691</v>
      </c>
      <c r="H12" s="16" t="s">
        <v>2631</v>
      </c>
      <c r="I12" s="7" t="n">
        <f aca="false">IF(COUNTIF($H$5:$H$336,H12)&gt;1,1,0)</f>
        <v>0</v>
      </c>
      <c r="J12" s="17" t="str">
        <f aca="false">INDEX($A$5:$A$336,MATCH(H12,$H$5:$H$336,0))</f>
        <v>A0008</v>
      </c>
      <c r="K12" s="17" t="str">
        <f aca="false">IF(C12&lt;&gt;"",C12,IF(INDEX($C$5:$C$336,MATCH(J12,$A$5:$A$336,0))&lt;&gt;"",INDEX($C$5:$C$336,MATCH(J12,$A$5:$A$336,0)),"Unassigned"))</f>
        <v>Financial Services</v>
      </c>
      <c r="L12" s="7" t="n">
        <f aca="false">IF(C12="",1,0)</f>
        <v>0</v>
      </c>
    </row>
    <row r="13" customFormat="false" ht="15" hidden="false" customHeight="false" outlineLevel="0" collapsed="false">
      <c r="A13" s="16" t="s">
        <v>65</v>
      </c>
      <c r="B13" s="16" t="s">
        <v>2632</v>
      </c>
      <c r="C13" s="16" t="s">
        <v>47</v>
      </c>
      <c r="D13" s="16" t="s">
        <v>2610</v>
      </c>
      <c r="E13" s="16" t="s">
        <v>2615</v>
      </c>
      <c r="F13" s="16" t="s">
        <v>2612</v>
      </c>
      <c r="G13" s="16" t="s">
        <v>654</v>
      </c>
      <c r="H13" s="16" t="s">
        <v>2633</v>
      </c>
      <c r="I13" s="7" t="n">
        <f aca="false">IF(COUNTIF($H$5:$H$336,H13)&gt;1,1,0)</f>
        <v>0</v>
      </c>
      <c r="J13" s="17" t="str">
        <f aca="false">INDEX($A$5:$A$336,MATCH(H13,$H$5:$H$336,0))</f>
        <v>A0009</v>
      </c>
      <c r="K13" s="17" t="str">
        <f aca="false">IF(C13&lt;&gt;"",C13,IF(INDEX($C$5:$C$336,MATCH(J13,$A$5:$A$336,0))&lt;&gt;"",INDEX($C$5:$C$336,MATCH(J13,$A$5:$A$336,0)),"Unassigned"))</f>
        <v>Technology, Media &amp; Telecom</v>
      </c>
      <c r="L13" s="7" t="n">
        <f aca="false">IF(C13="",1,0)</f>
        <v>0</v>
      </c>
    </row>
    <row r="14" customFormat="false" ht="15" hidden="false" customHeight="false" outlineLevel="0" collapsed="false">
      <c r="A14" s="16" t="s">
        <v>66</v>
      </c>
      <c r="B14" s="16" t="s">
        <v>2634</v>
      </c>
      <c r="C14" s="16" t="s">
        <v>43</v>
      </c>
      <c r="D14" s="16" t="s">
        <v>2610</v>
      </c>
      <c r="E14" s="16" t="s">
        <v>2615</v>
      </c>
      <c r="F14" s="16" t="s">
        <v>2635</v>
      </c>
      <c r="G14" s="16" t="s">
        <v>640</v>
      </c>
      <c r="H14" s="16" t="s">
        <v>2636</v>
      </c>
      <c r="I14" s="7" t="n">
        <f aca="false">IF(COUNTIF($H$5:$H$336,H14)&gt;1,1,0)</f>
        <v>0</v>
      </c>
      <c r="J14" s="17" t="str">
        <f aca="false">INDEX($A$5:$A$336,MATCH(H14,$H$5:$H$336,0))</f>
        <v>A0010</v>
      </c>
      <c r="K14" s="17" t="str">
        <f aca="false">IF(C14&lt;&gt;"",C14,IF(INDEX($C$5:$C$336,MATCH(J14,$A$5:$A$336,0))&lt;&gt;"",INDEX($C$5:$C$336,MATCH(J14,$A$5:$A$336,0)),"Unassigned"))</f>
        <v>Financial Services</v>
      </c>
      <c r="L14" s="7" t="n">
        <f aca="false">IF(C14="",1,0)</f>
        <v>0</v>
      </c>
    </row>
    <row r="15" customFormat="false" ht="15" hidden="false" customHeight="false" outlineLevel="0" collapsed="false">
      <c r="A15" s="16" t="s">
        <v>67</v>
      </c>
      <c r="B15" s="16" t="s">
        <v>2637</v>
      </c>
      <c r="C15" s="16" t="s">
        <v>43</v>
      </c>
      <c r="D15" s="16" t="s">
        <v>2610</v>
      </c>
      <c r="E15" s="16" t="s">
        <v>2615</v>
      </c>
      <c r="F15" s="16" t="s">
        <v>2612</v>
      </c>
      <c r="G15" s="16" t="s">
        <v>596</v>
      </c>
      <c r="H15" s="16" t="s">
        <v>2638</v>
      </c>
      <c r="I15" s="7" t="n">
        <f aca="false">IF(COUNTIF($H$5:$H$336,H15)&gt;1,1,0)</f>
        <v>0</v>
      </c>
      <c r="J15" s="17" t="str">
        <f aca="false">INDEX($A$5:$A$336,MATCH(H15,$H$5:$H$336,0))</f>
        <v>A0011</v>
      </c>
      <c r="K15" s="17" t="str">
        <f aca="false">IF(C15&lt;&gt;"",C15,IF(INDEX($C$5:$C$336,MATCH(J15,$A$5:$A$336,0))&lt;&gt;"",INDEX($C$5:$C$336,MATCH(J15,$A$5:$A$336,0)),"Unassigned"))</f>
        <v>Financial Services</v>
      </c>
      <c r="L15" s="7" t="n">
        <f aca="false">IF(C15="",1,0)</f>
        <v>0</v>
      </c>
    </row>
    <row r="16" customFormat="false" ht="15" hidden="false" customHeight="false" outlineLevel="0" collapsed="false">
      <c r="A16" s="16" t="s">
        <v>68</v>
      </c>
      <c r="B16" s="16" t="s">
        <v>2639</v>
      </c>
      <c r="C16" s="16" t="s">
        <v>43</v>
      </c>
      <c r="D16" s="16" t="s">
        <v>2610</v>
      </c>
      <c r="E16" s="16" t="s">
        <v>2622</v>
      </c>
      <c r="F16" s="16" t="s">
        <v>2612</v>
      </c>
      <c r="G16" s="16" t="s">
        <v>704</v>
      </c>
      <c r="H16" s="16" t="s">
        <v>2640</v>
      </c>
      <c r="I16" s="7" t="n">
        <f aca="false">IF(COUNTIF($H$5:$H$336,H16)&gt;1,1,0)</f>
        <v>0</v>
      </c>
      <c r="J16" s="17" t="str">
        <f aca="false">INDEX($A$5:$A$336,MATCH(H16,$H$5:$H$336,0))</f>
        <v>A0012</v>
      </c>
      <c r="K16" s="17" t="str">
        <f aca="false">IF(C16&lt;&gt;"",C16,IF(INDEX($C$5:$C$336,MATCH(J16,$A$5:$A$336,0))&lt;&gt;"",INDEX($C$5:$C$336,MATCH(J16,$A$5:$A$336,0)),"Unassigned"))</f>
        <v>Financial Services</v>
      </c>
      <c r="L16" s="7" t="n">
        <f aca="false">IF(C16="",1,0)</f>
        <v>0</v>
      </c>
    </row>
    <row r="17" customFormat="false" ht="15" hidden="false" customHeight="false" outlineLevel="0" collapsed="false">
      <c r="A17" s="16" t="s">
        <v>69</v>
      </c>
      <c r="B17" s="16" t="s">
        <v>2641</v>
      </c>
      <c r="C17" s="16" t="s">
        <v>43</v>
      </c>
      <c r="D17" s="16" t="s">
        <v>2610</v>
      </c>
      <c r="E17" s="16" t="s">
        <v>2611</v>
      </c>
      <c r="F17" s="16" t="s">
        <v>2616</v>
      </c>
      <c r="G17" s="16" t="s">
        <v>604</v>
      </c>
      <c r="H17" s="16" t="s">
        <v>2642</v>
      </c>
      <c r="I17" s="7" t="n">
        <f aca="false">IF(COUNTIF($H$5:$H$336,H17)&gt;1,1,0)</f>
        <v>0</v>
      </c>
      <c r="J17" s="17" t="str">
        <f aca="false">INDEX($A$5:$A$336,MATCH(H17,$H$5:$H$336,0))</f>
        <v>A0013</v>
      </c>
      <c r="K17" s="17" t="str">
        <f aca="false">IF(C17&lt;&gt;"",C17,IF(INDEX($C$5:$C$336,MATCH(J17,$A$5:$A$336,0))&lt;&gt;"",INDEX($C$5:$C$336,MATCH(J17,$A$5:$A$336,0)),"Unassigned"))</f>
        <v>Financial Services</v>
      </c>
      <c r="L17" s="7" t="n">
        <f aca="false">IF(C17="",1,0)</f>
        <v>0</v>
      </c>
    </row>
    <row r="18" customFormat="false" ht="15" hidden="false" customHeight="false" outlineLevel="0" collapsed="false">
      <c r="A18" s="16" t="s">
        <v>70</v>
      </c>
      <c r="B18" s="16" t="s">
        <v>2643</v>
      </c>
      <c r="C18" s="16" t="s">
        <v>41</v>
      </c>
      <c r="D18" s="16" t="s">
        <v>2610</v>
      </c>
      <c r="E18" s="16" t="s">
        <v>2615</v>
      </c>
      <c r="F18" s="16" t="s">
        <v>2612</v>
      </c>
      <c r="G18" s="16" t="s">
        <v>633</v>
      </c>
      <c r="H18" s="16" t="s">
        <v>2644</v>
      </c>
      <c r="I18" s="7" t="n">
        <f aca="false">IF(COUNTIF($H$5:$H$336,H18)&gt;1,1,0)</f>
        <v>0</v>
      </c>
      <c r="J18" s="17" t="str">
        <f aca="false">INDEX($A$5:$A$336,MATCH(H18,$H$5:$H$336,0))</f>
        <v>A0014</v>
      </c>
      <c r="K18" s="17" t="str">
        <f aca="false">IF(C18&lt;&gt;"",C18,IF(INDEX($C$5:$C$336,MATCH(J18,$A$5:$A$336,0))&lt;&gt;"",INDEX($C$5:$C$336,MATCH(J18,$A$5:$A$336,0)),"Unassigned"))</f>
        <v>Consumer &amp; Retail</v>
      </c>
      <c r="L18" s="7" t="n">
        <f aca="false">IF(C18="",1,0)</f>
        <v>0</v>
      </c>
    </row>
    <row r="19" customFormat="false" ht="15" hidden="false" customHeight="false" outlineLevel="0" collapsed="false">
      <c r="A19" s="16" t="s">
        <v>71</v>
      </c>
      <c r="B19" s="16" t="s">
        <v>2645</v>
      </c>
      <c r="C19" s="16" t="s">
        <v>42</v>
      </c>
      <c r="D19" s="16" t="s">
        <v>2610</v>
      </c>
      <c r="E19" s="16" t="s">
        <v>2615</v>
      </c>
      <c r="F19" s="16" t="s">
        <v>2612</v>
      </c>
      <c r="G19" s="16" t="s">
        <v>691</v>
      </c>
      <c r="H19" s="16" t="s">
        <v>2646</v>
      </c>
      <c r="I19" s="7" t="n">
        <f aca="false">IF(COUNTIF($H$5:$H$336,H19)&gt;1,1,0)</f>
        <v>0</v>
      </c>
      <c r="J19" s="17" t="str">
        <f aca="false">INDEX($A$5:$A$336,MATCH(H19,$H$5:$H$336,0))</f>
        <v>A0015</v>
      </c>
      <c r="K19" s="17" t="str">
        <f aca="false">IF(C19&lt;&gt;"",C19,IF(INDEX($C$5:$C$336,MATCH(J19,$A$5:$A$336,0))&lt;&gt;"",INDEX($C$5:$C$336,MATCH(J19,$A$5:$A$336,0)),"Unassigned"))</f>
        <v>Energy &amp; Resources</v>
      </c>
      <c r="L19" s="7" t="n">
        <f aca="false">IF(C19="",1,0)</f>
        <v>0</v>
      </c>
    </row>
    <row r="20" customFormat="false" ht="15" hidden="false" customHeight="false" outlineLevel="0" collapsed="false">
      <c r="A20" s="16" t="s">
        <v>72</v>
      </c>
      <c r="B20" s="16" t="s">
        <v>2647</v>
      </c>
      <c r="C20" s="16" t="s">
        <v>41</v>
      </c>
      <c r="D20" s="16" t="s">
        <v>2610</v>
      </c>
      <c r="E20" s="16" t="s">
        <v>2619</v>
      </c>
      <c r="F20" s="16" t="s">
        <v>2616</v>
      </c>
      <c r="G20" s="16" t="s">
        <v>654</v>
      </c>
      <c r="H20" s="16" t="s">
        <v>2648</v>
      </c>
      <c r="I20" s="7" t="n">
        <f aca="false">IF(COUNTIF($H$5:$H$336,H20)&gt;1,1,0)</f>
        <v>0</v>
      </c>
      <c r="J20" s="17" t="str">
        <f aca="false">INDEX($A$5:$A$336,MATCH(H20,$H$5:$H$336,0))</f>
        <v>A0016</v>
      </c>
      <c r="K20" s="17" t="str">
        <f aca="false">IF(C20&lt;&gt;"",C20,IF(INDEX($C$5:$C$336,MATCH(J20,$A$5:$A$336,0))&lt;&gt;"",INDEX($C$5:$C$336,MATCH(J20,$A$5:$A$336,0)),"Unassigned"))</f>
        <v>Consumer &amp; Retail</v>
      </c>
      <c r="L20" s="7" t="n">
        <f aca="false">IF(C20="",1,0)</f>
        <v>0</v>
      </c>
    </row>
    <row r="21" customFormat="false" ht="15" hidden="false" customHeight="false" outlineLevel="0" collapsed="false">
      <c r="A21" s="16" t="s">
        <v>73</v>
      </c>
      <c r="B21" s="16" t="s">
        <v>2649</v>
      </c>
      <c r="C21" s="16" t="s">
        <v>42</v>
      </c>
      <c r="D21" s="16" t="s">
        <v>2610</v>
      </c>
      <c r="E21" s="16" t="s">
        <v>2622</v>
      </c>
      <c r="F21" s="16" t="s">
        <v>2612</v>
      </c>
      <c r="G21" s="16" t="s">
        <v>640</v>
      </c>
      <c r="H21" s="16" t="s">
        <v>2650</v>
      </c>
      <c r="I21" s="7" t="n">
        <f aca="false">IF(COUNTIF($H$5:$H$336,H21)&gt;1,1,0)</f>
        <v>0</v>
      </c>
      <c r="J21" s="17" t="str">
        <f aca="false">INDEX($A$5:$A$336,MATCH(H21,$H$5:$H$336,0))</f>
        <v>A0017</v>
      </c>
      <c r="K21" s="17" t="str">
        <f aca="false">IF(C21&lt;&gt;"",C21,IF(INDEX($C$5:$C$336,MATCH(J21,$A$5:$A$336,0))&lt;&gt;"",INDEX($C$5:$C$336,MATCH(J21,$A$5:$A$336,0)),"Unassigned"))</f>
        <v>Energy &amp; Resources</v>
      </c>
      <c r="L21" s="7" t="n">
        <f aca="false">IF(C21="",1,0)</f>
        <v>0</v>
      </c>
    </row>
    <row r="22" customFormat="false" ht="15" hidden="false" customHeight="false" outlineLevel="0" collapsed="false">
      <c r="A22" s="16" t="s">
        <v>74</v>
      </c>
      <c r="B22" s="16" t="s">
        <v>2651</v>
      </c>
      <c r="C22" s="16" t="s">
        <v>47</v>
      </c>
      <c r="D22" s="16" t="s">
        <v>2610</v>
      </c>
      <c r="E22" s="16" t="s">
        <v>2615</v>
      </c>
      <c r="F22" s="16" t="s">
        <v>2612</v>
      </c>
      <c r="G22" s="16" t="s">
        <v>596</v>
      </c>
      <c r="H22" s="16" t="s">
        <v>2652</v>
      </c>
      <c r="I22" s="7" t="n">
        <f aca="false">IF(COUNTIF($H$5:$H$336,H22)&gt;1,1,0)</f>
        <v>0</v>
      </c>
      <c r="J22" s="17" t="str">
        <f aca="false">INDEX($A$5:$A$336,MATCH(H22,$H$5:$H$336,0))</f>
        <v>A0018</v>
      </c>
      <c r="K22" s="17" t="str">
        <f aca="false">IF(C22&lt;&gt;"",C22,IF(INDEX($C$5:$C$336,MATCH(J22,$A$5:$A$336,0))&lt;&gt;"",INDEX($C$5:$C$336,MATCH(J22,$A$5:$A$336,0)),"Unassigned"))</f>
        <v>Technology, Media &amp; Telecom</v>
      </c>
      <c r="L22" s="7" t="n">
        <f aca="false">IF(C22="",1,0)</f>
        <v>0</v>
      </c>
    </row>
    <row r="23" customFormat="false" ht="15" hidden="false" customHeight="false" outlineLevel="0" collapsed="false">
      <c r="A23" s="16" t="s">
        <v>75</v>
      </c>
      <c r="B23" s="16" t="s">
        <v>2653</v>
      </c>
      <c r="C23" s="16" t="s">
        <v>47</v>
      </c>
      <c r="D23" s="16" t="s">
        <v>2610</v>
      </c>
      <c r="E23" s="16" t="s">
        <v>2615</v>
      </c>
      <c r="F23" s="16" t="s">
        <v>2612</v>
      </c>
      <c r="G23" s="16" t="s">
        <v>704</v>
      </c>
      <c r="H23" s="16" t="s">
        <v>2654</v>
      </c>
      <c r="I23" s="7" t="n">
        <f aca="false">IF(COUNTIF($H$5:$H$336,H23)&gt;1,1,0)</f>
        <v>0</v>
      </c>
      <c r="J23" s="17" t="str">
        <f aca="false">INDEX($A$5:$A$336,MATCH(H23,$H$5:$H$336,0))</f>
        <v>A0019</v>
      </c>
      <c r="K23" s="17" t="str">
        <f aca="false">IF(C23&lt;&gt;"",C23,IF(INDEX($C$5:$C$336,MATCH(J23,$A$5:$A$336,0))&lt;&gt;"",INDEX($C$5:$C$336,MATCH(J23,$A$5:$A$336,0)),"Unassigned"))</f>
        <v>Technology, Media &amp; Telecom</v>
      </c>
      <c r="L23" s="7" t="n">
        <f aca="false">IF(C23="",1,0)</f>
        <v>0</v>
      </c>
    </row>
    <row r="24" customFormat="false" ht="15" hidden="false" customHeight="false" outlineLevel="0" collapsed="false">
      <c r="A24" s="16" t="s">
        <v>76</v>
      </c>
      <c r="B24" s="16" t="s">
        <v>2655</v>
      </c>
      <c r="C24" s="16" t="s">
        <v>46</v>
      </c>
      <c r="D24" s="16" t="s">
        <v>2610</v>
      </c>
      <c r="E24" s="16" t="s">
        <v>2619</v>
      </c>
      <c r="F24" s="16" t="s">
        <v>2612</v>
      </c>
      <c r="G24" s="16" t="s">
        <v>604</v>
      </c>
      <c r="H24" s="16" t="s">
        <v>2656</v>
      </c>
      <c r="I24" s="7" t="n">
        <f aca="false">IF(COUNTIF($H$5:$H$336,H24)&gt;1,1,0)</f>
        <v>0</v>
      </c>
      <c r="J24" s="17" t="str">
        <f aca="false">INDEX($A$5:$A$336,MATCH(H24,$H$5:$H$336,0))</f>
        <v>A0020</v>
      </c>
      <c r="K24" s="17" t="str">
        <f aca="false">IF(C24&lt;&gt;"",C24,IF(INDEX($C$5:$C$336,MATCH(J24,$A$5:$A$336,0))&lt;&gt;"",INDEX($C$5:$C$336,MATCH(J24,$A$5:$A$336,0)),"Unassigned"))</f>
        <v>Real Estate &amp; Infrastructure</v>
      </c>
      <c r="L24" s="7" t="n">
        <f aca="false">IF(C24="",1,0)</f>
        <v>0</v>
      </c>
    </row>
    <row r="25" customFormat="false" ht="15" hidden="false" customHeight="false" outlineLevel="0" collapsed="false">
      <c r="A25" s="16" t="s">
        <v>77</v>
      </c>
      <c r="B25" s="16" t="s">
        <v>2657</v>
      </c>
      <c r="C25" s="16" t="s">
        <v>43</v>
      </c>
      <c r="D25" s="16" t="s">
        <v>2610</v>
      </c>
      <c r="E25" s="16" t="s">
        <v>2658</v>
      </c>
      <c r="F25" s="16" t="s">
        <v>2659</v>
      </c>
      <c r="G25" s="16" t="s">
        <v>633</v>
      </c>
      <c r="H25" s="16" t="s">
        <v>2660</v>
      </c>
      <c r="I25" s="7" t="n">
        <f aca="false">IF(COUNTIF($H$5:$H$336,H25)&gt;1,1,0)</f>
        <v>0</v>
      </c>
      <c r="J25" s="17" t="str">
        <f aca="false">INDEX($A$5:$A$336,MATCH(H25,$H$5:$H$336,0))</f>
        <v>A0021</v>
      </c>
      <c r="K25" s="17" t="str">
        <f aca="false">IF(C25&lt;&gt;"",C25,IF(INDEX($C$5:$C$336,MATCH(J25,$A$5:$A$336,0))&lt;&gt;"",INDEX($C$5:$C$336,MATCH(J25,$A$5:$A$336,0)),"Unassigned"))</f>
        <v>Financial Services</v>
      </c>
      <c r="L25" s="7" t="n">
        <f aca="false">IF(C25="",1,0)</f>
        <v>0</v>
      </c>
    </row>
    <row r="26" customFormat="false" ht="15" hidden="false" customHeight="false" outlineLevel="0" collapsed="false">
      <c r="A26" s="16" t="s">
        <v>78</v>
      </c>
      <c r="B26" s="16" t="s">
        <v>2661</v>
      </c>
      <c r="C26" s="16" t="s">
        <v>43</v>
      </c>
      <c r="D26" s="16" t="s">
        <v>2610</v>
      </c>
      <c r="E26" s="16" t="s">
        <v>2615</v>
      </c>
      <c r="F26" s="16" t="s">
        <v>2662</v>
      </c>
      <c r="G26" s="16" t="s">
        <v>691</v>
      </c>
      <c r="H26" s="16" t="s">
        <v>2663</v>
      </c>
      <c r="I26" s="7" t="n">
        <f aca="false">IF(COUNTIF($H$5:$H$336,H26)&gt;1,1,0)</f>
        <v>0</v>
      </c>
      <c r="J26" s="17" t="str">
        <f aca="false">INDEX($A$5:$A$336,MATCH(H26,$H$5:$H$336,0))</f>
        <v>A0022</v>
      </c>
      <c r="K26" s="17" t="str">
        <f aca="false">IF(C26&lt;&gt;"",C26,IF(INDEX($C$5:$C$336,MATCH(J26,$A$5:$A$336,0))&lt;&gt;"",INDEX($C$5:$C$336,MATCH(J26,$A$5:$A$336,0)),"Unassigned"))</f>
        <v>Financial Services</v>
      </c>
      <c r="L26" s="7" t="n">
        <f aca="false">IF(C26="",1,0)</f>
        <v>0</v>
      </c>
    </row>
    <row r="27" customFormat="false" ht="15" hidden="false" customHeight="false" outlineLevel="0" collapsed="false">
      <c r="A27" s="16" t="s">
        <v>79</v>
      </c>
      <c r="B27" s="16" t="s">
        <v>2664</v>
      </c>
      <c r="C27" s="16" t="s">
        <v>42</v>
      </c>
      <c r="D27" s="16" t="s">
        <v>2610</v>
      </c>
      <c r="E27" s="16" t="s">
        <v>2615</v>
      </c>
      <c r="F27" s="16" t="s">
        <v>2659</v>
      </c>
      <c r="G27" s="16" t="s">
        <v>654</v>
      </c>
      <c r="H27" s="16" t="s">
        <v>2665</v>
      </c>
      <c r="I27" s="7" t="n">
        <f aca="false">IF(COUNTIF($H$5:$H$336,H27)&gt;1,1,0)</f>
        <v>0</v>
      </c>
      <c r="J27" s="17" t="str">
        <f aca="false">INDEX($A$5:$A$336,MATCH(H27,$H$5:$H$336,0))</f>
        <v>A0023</v>
      </c>
      <c r="K27" s="17" t="str">
        <f aca="false">IF(C27&lt;&gt;"",C27,IF(INDEX($C$5:$C$336,MATCH(J27,$A$5:$A$336,0))&lt;&gt;"",INDEX($C$5:$C$336,MATCH(J27,$A$5:$A$336,0)),"Unassigned"))</f>
        <v>Energy &amp; Resources</v>
      </c>
      <c r="L27" s="7" t="n">
        <f aca="false">IF(C27="",1,0)</f>
        <v>0</v>
      </c>
    </row>
    <row r="28" customFormat="false" ht="15" hidden="false" customHeight="false" outlineLevel="0" collapsed="false">
      <c r="A28" s="16" t="s">
        <v>80</v>
      </c>
      <c r="B28" s="16" t="s">
        <v>2666</v>
      </c>
      <c r="C28" s="16" t="s">
        <v>45</v>
      </c>
      <c r="D28" s="16" t="s">
        <v>2610</v>
      </c>
      <c r="E28" s="16" t="s">
        <v>2622</v>
      </c>
      <c r="F28" s="16" t="s">
        <v>2612</v>
      </c>
      <c r="G28" s="16" t="s">
        <v>640</v>
      </c>
      <c r="H28" s="16" t="s">
        <v>2667</v>
      </c>
      <c r="I28" s="7" t="n">
        <f aca="false">IF(COUNTIF($H$5:$H$336,H28)&gt;1,1,0)</f>
        <v>0</v>
      </c>
      <c r="J28" s="17" t="str">
        <f aca="false">INDEX($A$5:$A$336,MATCH(H28,$H$5:$H$336,0))</f>
        <v>A0024</v>
      </c>
      <c r="K28" s="17" t="str">
        <f aca="false">IF(C28&lt;&gt;"",C28,IF(INDEX($C$5:$C$336,MATCH(J28,$A$5:$A$336,0))&lt;&gt;"",INDEX($C$5:$C$336,MATCH(J28,$A$5:$A$336,0)),"Unassigned"))</f>
        <v>Public Sector &amp; Development</v>
      </c>
      <c r="L28" s="7" t="n">
        <f aca="false">IF(C28="",1,0)</f>
        <v>0</v>
      </c>
    </row>
    <row r="29" customFormat="false" ht="15" hidden="false" customHeight="false" outlineLevel="0" collapsed="false">
      <c r="A29" s="16" t="s">
        <v>81</v>
      </c>
      <c r="B29" s="16" t="s">
        <v>2668</v>
      </c>
      <c r="C29" s="16" t="s">
        <v>43</v>
      </c>
      <c r="D29" s="16" t="s">
        <v>2610</v>
      </c>
      <c r="E29" s="16" t="s">
        <v>2619</v>
      </c>
      <c r="F29" s="16" t="s">
        <v>2612</v>
      </c>
      <c r="G29" s="16" t="s">
        <v>596</v>
      </c>
      <c r="H29" s="16" t="s">
        <v>2669</v>
      </c>
      <c r="I29" s="7" t="n">
        <f aca="false">IF(COUNTIF($H$5:$H$336,H29)&gt;1,1,0)</f>
        <v>0</v>
      </c>
      <c r="J29" s="17" t="str">
        <f aca="false">INDEX($A$5:$A$336,MATCH(H29,$H$5:$H$336,0))</f>
        <v>A0025</v>
      </c>
      <c r="K29" s="17" t="str">
        <f aca="false">IF(C29&lt;&gt;"",C29,IF(INDEX($C$5:$C$336,MATCH(J29,$A$5:$A$336,0))&lt;&gt;"",INDEX($C$5:$C$336,MATCH(J29,$A$5:$A$336,0)),"Unassigned"))</f>
        <v>Financial Services</v>
      </c>
      <c r="L29" s="7" t="n">
        <f aca="false">IF(C29="",1,0)</f>
        <v>0</v>
      </c>
    </row>
    <row r="30" customFormat="false" ht="15" hidden="false" customHeight="false" outlineLevel="0" collapsed="false">
      <c r="A30" s="16" t="s">
        <v>82</v>
      </c>
      <c r="B30" s="16" t="s">
        <v>2670</v>
      </c>
      <c r="C30" s="16" t="s">
        <v>45</v>
      </c>
      <c r="D30" s="16" t="s">
        <v>2610</v>
      </c>
      <c r="E30" s="16" t="s">
        <v>2615</v>
      </c>
      <c r="F30" s="16" t="s">
        <v>2612</v>
      </c>
      <c r="G30" s="16" t="s">
        <v>704</v>
      </c>
      <c r="H30" s="16" t="s">
        <v>2671</v>
      </c>
      <c r="I30" s="7" t="n">
        <f aca="false">IF(COUNTIF($H$5:$H$336,H30)&gt;1,1,0)</f>
        <v>0</v>
      </c>
      <c r="J30" s="17" t="str">
        <f aca="false">INDEX($A$5:$A$336,MATCH(H30,$H$5:$H$336,0))</f>
        <v>A0026</v>
      </c>
      <c r="K30" s="17" t="str">
        <f aca="false">IF(C30&lt;&gt;"",C30,IF(INDEX($C$5:$C$336,MATCH(J30,$A$5:$A$336,0))&lt;&gt;"",INDEX($C$5:$C$336,MATCH(J30,$A$5:$A$336,0)),"Unassigned"))</f>
        <v>Public Sector &amp; Development</v>
      </c>
      <c r="L30" s="7" t="n">
        <f aca="false">IF(C30="",1,0)</f>
        <v>0</v>
      </c>
    </row>
    <row r="31" customFormat="false" ht="15" hidden="false" customHeight="false" outlineLevel="0" collapsed="false">
      <c r="A31" s="16" t="s">
        <v>83</v>
      </c>
      <c r="B31" s="16" t="s">
        <v>2672</v>
      </c>
      <c r="C31" s="16" t="s">
        <v>40</v>
      </c>
      <c r="D31" s="16" t="s">
        <v>2610</v>
      </c>
      <c r="E31" s="16" t="s">
        <v>2611</v>
      </c>
      <c r="F31" s="16" t="s">
        <v>2616</v>
      </c>
      <c r="G31" s="16" t="s">
        <v>604</v>
      </c>
      <c r="H31" s="16" t="s">
        <v>2673</v>
      </c>
      <c r="I31" s="7" t="n">
        <f aca="false">IF(COUNTIF($H$5:$H$336,H31)&gt;1,1,0)</f>
        <v>0</v>
      </c>
      <c r="J31" s="17" t="str">
        <f aca="false">INDEX($A$5:$A$336,MATCH(H31,$H$5:$H$336,0))</f>
        <v>A0027</v>
      </c>
      <c r="K31" s="17" t="str">
        <f aca="false">IF(C31&lt;&gt;"",C31,IF(INDEX($C$5:$C$336,MATCH(J31,$A$5:$A$336,0))&lt;&gt;"",INDEX($C$5:$C$336,MATCH(J31,$A$5:$A$336,0)),"Unassigned"))</f>
        <v>Agribusiness</v>
      </c>
      <c r="L31" s="7" t="n">
        <f aca="false">IF(C31="",1,0)</f>
        <v>0</v>
      </c>
    </row>
    <row r="32" customFormat="false" ht="15" hidden="false" customHeight="false" outlineLevel="0" collapsed="false">
      <c r="A32" s="16" t="s">
        <v>84</v>
      </c>
      <c r="B32" s="16" t="s">
        <v>2674</v>
      </c>
      <c r="C32" s="16" t="s">
        <v>41</v>
      </c>
      <c r="D32" s="16" t="s">
        <v>2610</v>
      </c>
      <c r="E32" s="16" t="s">
        <v>2622</v>
      </c>
      <c r="F32" s="16" t="s">
        <v>2612</v>
      </c>
      <c r="G32" s="16" t="s">
        <v>633</v>
      </c>
      <c r="H32" s="16" t="s">
        <v>2675</v>
      </c>
      <c r="I32" s="7" t="n">
        <f aca="false">IF(COUNTIF($H$5:$H$336,H32)&gt;1,1,0)</f>
        <v>0</v>
      </c>
      <c r="J32" s="17" t="str">
        <f aca="false">INDEX($A$5:$A$336,MATCH(H32,$H$5:$H$336,0))</f>
        <v>A0028</v>
      </c>
      <c r="K32" s="17" t="str">
        <f aca="false">IF(C32&lt;&gt;"",C32,IF(INDEX($C$5:$C$336,MATCH(J32,$A$5:$A$336,0))&lt;&gt;"",INDEX($C$5:$C$336,MATCH(J32,$A$5:$A$336,0)),"Unassigned"))</f>
        <v>Consumer &amp; Retail</v>
      </c>
      <c r="L32" s="7" t="n">
        <f aca="false">IF(C32="",1,0)</f>
        <v>0</v>
      </c>
    </row>
    <row r="33" customFormat="false" ht="15" hidden="false" customHeight="false" outlineLevel="0" collapsed="false">
      <c r="A33" s="16" t="s">
        <v>85</v>
      </c>
      <c r="B33" s="16" t="s">
        <v>2676</v>
      </c>
      <c r="C33" s="16" t="s">
        <v>42</v>
      </c>
      <c r="D33" s="16" t="s">
        <v>2610</v>
      </c>
      <c r="E33" s="16" t="s">
        <v>2611</v>
      </c>
      <c r="F33" s="16" t="s">
        <v>2612</v>
      </c>
      <c r="G33" s="16" t="s">
        <v>691</v>
      </c>
      <c r="H33" s="16" t="s">
        <v>2677</v>
      </c>
      <c r="I33" s="7" t="n">
        <f aca="false">IF(COUNTIF($H$5:$H$336,H33)&gt;1,1,0)</f>
        <v>0</v>
      </c>
      <c r="J33" s="17" t="str">
        <f aca="false">INDEX($A$5:$A$336,MATCH(H33,$H$5:$H$336,0))</f>
        <v>A0029</v>
      </c>
      <c r="K33" s="17" t="str">
        <f aca="false">IF(C33&lt;&gt;"",C33,IF(INDEX($C$5:$C$336,MATCH(J33,$A$5:$A$336,0))&lt;&gt;"",INDEX($C$5:$C$336,MATCH(J33,$A$5:$A$336,0)),"Unassigned"))</f>
        <v>Energy &amp; Resources</v>
      </c>
      <c r="L33" s="7" t="n">
        <f aca="false">IF(C33="",1,0)</f>
        <v>0</v>
      </c>
    </row>
    <row r="34" customFormat="false" ht="15" hidden="false" customHeight="false" outlineLevel="0" collapsed="false">
      <c r="A34" s="16" t="s">
        <v>86</v>
      </c>
      <c r="B34" s="16" t="s">
        <v>2678</v>
      </c>
      <c r="C34" s="16" t="s">
        <v>47</v>
      </c>
      <c r="D34" s="16" t="s">
        <v>2610</v>
      </c>
      <c r="E34" s="16" t="s">
        <v>2615</v>
      </c>
      <c r="F34" s="16" t="s">
        <v>2612</v>
      </c>
      <c r="G34" s="16" t="s">
        <v>654</v>
      </c>
      <c r="H34" s="16" t="s">
        <v>2679</v>
      </c>
      <c r="I34" s="7" t="n">
        <f aca="false">IF(COUNTIF($H$5:$H$336,H34)&gt;1,1,0)</f>
        <v>0</v>
      </c>
      <c r="J34" s="17" t="str">
        <f aca="false">INDEX($A$5:$A$336,MATCH(H34,$H$5:$H$336,0))</f>
        <v>A0030</v>
      </c>
      <c r="K34" s="17" t="str">
        <f aca="false">IF(C34&lt;&gt;"",C34,IF(INDEX($C$5:$C$336,MATCH(J34,$A$5:$A$336,0))&lt;&gt;"",INDEX($C$5:$C$336,MATCH(J34,$A$5:$A$336,0)),"Unassigned"))</f>
        <v>Technology, Media &amp; Telecom</v>
      </c>
      <c r="L34" s="7" t="n">
        <f aca="false">IF(C34="",1,0)</f>
        <v>0</v>
      </c>
    </row>
    <row r="35" customFormat="false" ht="15" hidden="false" customHeight="false" outlineLevel="0" collapsed="false">
      <c r="A35" s="16" t="s">
        <v>87</v>
      </c>
      <c r="B35" s="16" t="s">
        <v>2680</v>
      </c>
      <c r="C35" s="16"/>
      <c r="D35" s="16" t="s">
        <v>2610</v>
      </c>
      <c r="E35" s="16" t="s">
        <v>2615</v>
      </c>
      <c r="F35" s="16" t="s">
        <v>2616</v>
      </c>
      <c r="G35" s="16" t="s">
        <v>640</v>
      </c>
      <c r="H35" s="16" t="s">
        <v>2681</v>
      </c>
      <c r="I35" s="7" t="n">
        <f aca="false">IF(COUNTIF($H$5:$H$336,H35)&gt;1,1,0)</f>
        <v>1</v>
      </c>
      <c r="J35" s="17" t="str">
        <f aca="false">INDEX($A$5:$A$336,MATCH(H35,$H$5:$H$336,0))</f>
        <v>A0031</v>
      </c>
      <c r="K35" s="17" t="str">
        <f aca="false">IF(C35&lt;&gt;"",C35,IF(INDEX($C$5:$C$336,MATCH(J35,$A$5:$A$336,0))&lt;&gt;"",INDEX($C$5:$C$336,MATCH(J35,$A$5:$A$336,0)),"Unassigned"))</f>
        <v>Unassigned</v>
      </c>
      <c r="L35" s="7" t="n">
        <f aca="false">IF(C35="",1,0)</f>
        <v>1</v>
      </c>
    </row>
    <row r="36" customFormat="false" ht="15" hidden="false" customHeight="false" outlineLevel="0" collapsed="false">
      <c r="A36" s="16" t="s">
        <v>88</v>
      </c>
      <c r="B36" s="16" t="s">
        <v>2682</v>
      </c>
      <c r="C36" s="16" t="s">
        <v>40</v>
      </c>
      <c r="D36" s="16" t="s">
        <v>2610</v>
      </c>
      <c r="E36" s="16" t="s">
        <v>2658</v>
      </c>
      <c r="F36" s="16" t="s">
        <v>2612</v>
      </c>
      <c r="G36" s="16" t="s">
        <v>596</v>
      </c>
      <c r="H36" s="16" t="s">
        <v>2683</v>
      </c>
      <c r="I36" s="7" t="n">
        <f aca="false">IF(COUNTIF($H$5:$H$336,H36)&gt;1,1,0)</f>
        <v>0</v>
      </c>
      <c r="J36" s="17" t="str">
        <f aca="false">INDEX($A$5:$A$336,MATCH(H36,$H$5:$H$336,0))</f>
        <v>A0032</v>
      </c>
      <c r="K36" s="17" t="str">
        <f aca="false">IF(C36&lt;&gt;"",C36,IF(INDEX($C$5:$C$336,MATCH(J36,$A$5:$A$336,0))&lt;&gt;"",INDEX($C$5:$C$336,MATCH(J36,$A$5:$A$336,0)),"Unassigned"))</f>
        <v>Agribusiness</v>
      </c>
      <c r="L36" s="7" t="n">
        <f aca="false">IF(C36="",1,0)</f>
        <v>0</v>
      </c>
    </row>
    <row r="37" customFormat="false" ht="15" hidden="false" customHeight="false" outlineLevel="0" collapsed="false">
      <c r="A37" s="16" t="s">
        <v>89</v>
      </c>
      <c r="B37" s="16" t="s">
        <v>2684</v>
      </c>
      <c r="C37" s="16" t="s">
        <v>40</v>
      </c>
      <c r="D37" s="16" t="s">
        <v>2610</v>
      </c>
      <c r="E37" s="16" t="s">
        <v>2615</v>
      </c>
      <c r="F37" s="16" t="s">
        <v>2612</v>
      </c>
      <c r="G37" s="16" t="s">
        <v>704</v>
      </c>
      <c r="H37" s="16" t="s">
        <v>2685</v>
      </c>
      <c r="I37" s="7" t="n">
        <f aca="false">IF(COUNTIF($H$5:$H$336,H37)&gt;1,1,0)</f>
        <v>0</v>
      </c>
      <c r="J37" s="17" t="str">
        <f aca="false">INDEX($A$5:$A$336,MATCH(H37,$H$5:$H$336,0))</f>
        <v>A0033</v>
      </c>
      <c r="K37" s="17" t="str">
        <f aca="false">IF(C37&lt;&gt;"",C37,IF(INDEX($C$5:$C$336,MATCH(J37,$A$5:$A$336,0))&lt;&gt;"",INDEX($C$5:$C$336,MATCH(J37,$A$5:$A$336,0)),"Unassigned"))</f>
        <v>Agribusiness</v>
      </c>
      <c r="L37" s="7" t="n">
        <f aca="false">IF(C37="",1,0)</f>
        <v>0</v>
      </c>
    </row>
    <row r="38" customFormat="false" ht="15" hidden="false" customHeight="false" outlineLevel="0" collapsed="false">
      <c r="A38" s="16" t="s">
        <v>90</v>
      </c>
      <c r="B38" s="16" t="s">
        <v>2686</v>
      </c>
      <c r="C38" s="16" t="s">
        <v>43</v>
      </c>
      <c r="D38" s="16" t="s">
        <v>2610</v>
      </c>
      <c r="E38" s="16" t="s">
        <v>2615</v>
      </c>
      <c r="F38" s="16" t="s">
        <v>2635</v>
      </c>
      <c r="G38" s="16" t="s">
        <v>604</v>
      </c>
      <c r="H38" s="16" t="s">
        <v>2687</v>
      </c>
      <c r="I38" s="7" t="n">
        <f aca="false">IF(COUNTIF($H$5:$H$336,H38)&gt;1,1,0)</f>
        <v>0</v>
      </c>
      <c r="J38" s="17" t="str">
        <f aca="false">INDEX($A$5:$A$336,MATCH(H38,$H$5:$H$336,0))</f>
        <v>A0034</v>
      </c>
      <c r="K38" s="17" t="str">
        <f aca="false">IF(C38&lt;&gt;"",C38,IF(INDEX($C$5:$C$336,MATCH(J38,$A$5:$A$336,0))&lt;&gt;"",INDEX($C$5:$C$336,MATCH(J38,$A$5:$A$336,0)),"Unassigned"))</f>
        <v>Financial Services</v>
      </c>
      <c r="L38" s="7" t="n">
        <f aca="false">IF(C38="",1,0)</f>
        <v>0</v>
      </c>
    </row>
    <row r="39" customFormat="false" ht="15" hidden="false" customHeight="false" outlineLevel="0" collapsed="false">
      <c r="A39" s="16" t="s">
        <v>91</v>
      </c>
      <c r="B39" s="16" t="s">
        <v>2688</v>
      </c>
      <c r="C39" s="16" t="s">
        <v>47</v>
      </c>
      <c r="D39" s="16" t="s">
        <v>2610</v>
      </c>
      <c r="E39" s="16" t="s">
        <v>2615</v>
      </c>
      <c r="F39" s="16" t="s">
        <v>2612</v>
      </c>
      <c r="G39" s="16" t="s">
        <v>633</v>
      </c>
      <c r="H39" s="16" t="s">
        <v>2689</v>
      </c>
      <c r="I39" s="7" t="n">
        <f aca="false">IF(COUNTIF($H$5:$H$336,H39)&gt;1,1,0)</f>
        <v>0</v>
      </c>
      <c r="J39" s="17" t="str">
        <f aca="false">INDEX($A$5:$A$336,MATCH(H39,$H$5:$H$336,0))</f>
        <v>A0035</v>
      </c>
      <c r="K39" s="17" t="str">
        <f aca="false">IF(C39&lt;&gt;"",C39,IF(INDEX($C$5:$C$336,MATCH(J39,$A$5:$A$336,0))&lt;&gt;"",INDEX($C$5:$C$336,MATCH(J39,$A$5:$A$336,0)),"Unassigned"))</f>
        <v>Technology, Media &amp; Telecom</v>
      </c>
      <c r="L39" s="7" t="n">
        <f aca="false">IF(C39="",1,0)</f>
        <v>0</v>
      </c>
    </row>
    <row r="40" customFormat="false" ht="15" hidden="false" customHeight="false" outlineLevel="0" collapsed="false">
      <c r="A40" s="16" t="s">
        <v>92</v>
      </c>
      <c r="B40" s="16" t="s">
        <v>2690</v>
      </c>
      <c r="C40" s="16" t="s">
        <v>45</v>
      </c>
      <c r="D40" s="16" t="s">
        <v>2610</v>
      </c>
      <c r="E40" s="16" t="s">
        <v>2622</v>
      </c>
      <c r="F40" s="16" t="s">
        <v>2612</v>
      </c>
      <c r="G40" s="16" t="s">
        <v>691</v>
      </c>
      <c r="H40" s="16" t="s">
        <v>2691</v>
      </c>
      <c r="I40" s="7" t="n">
        <f aca="false">IF(COUNTIF($H$5:$H$336,H40)&gt;1,1,0)</f>
        <v>0</v>
      </c>
      <c r="J40" s="17" t="str">
        <f aca="false">INDEX($A$5:$A$336,MATCH(H40,$H$5:$H$336,0))</f>
        <v>A0036</v>
      </c>
      <c r="K40" s="17" t="str">
        <f aca="false">IF(C40&lt;&gt;"",C40,IF(INDEX($C$5:$C$336,MATCH(J40,$A$5:$A$336,0))&lt;&gt;"",INDEX($C$5:$C$336,MATCH(J40,$A$5:$A$336,0)),"Unassigned"))</f>
        <v>Public Sector &amp; Development</v>
      </c>
      <c r="L40" s="7" t="n">
        <f aca="false">IF(C40="",1,0)</f>
        <v>0</v>
      </c>
    </row>
    <row r="41" customFormat="false" ht="15" hidden="false" customHeight="false" outlineLevel="0" collapsed="false">
      <c r="A41" s="16" t="s">
        <v>93</v>
      </c>
      <c r="B41" s="16" t="s">
        <v>2692</v>
      </c>
      <c r="C41" s="16"/>
      <c r="D41" s="16" t="s">
        <v>2610</v>
      </c>
      <c r="E41" s="16" t="s">
        <v>2615</v>
      </c>
      <c r="F41" s="16" t="s">
        <v>2616</v>
      </c>
      <c r="G41" s="16" t="s">
        <v>654</v>
      </c>
      <c r="H41" s="16" t="s">
        <v>2693</v>
      </c>
      <c r="I41" s="7" t="n">
        <f aca="false">IF(COUNTIF($H$5:$H$336,H41)&gt;1,1,0)</f>
        <v>0</v>
      </c>
      <c r="J41" s="17" t="str">
        <f aca="false">INDEX($A$5:$A$336,MATCH(H41,$H$5:$H$336,0))</f>
        <v>A0037</v>
      </c>
      <c r="K41" s="17" t="str">
        <f aca="false">IF(C41&lt;&gt;"",C41,IF(INDEX($C$5:$C$336,MATCH(J41,$A$5:$A$336,0))&lt;&gt;"",INDEX($C$5:$C$336,MATCH(J41,$A$5:$A$336,0)),"Unassigned"))</f>
        <v>Unassigned</v>
      </c>
      <c r="L41" s="7" t="n">
        <f aca="false">IF(C41="",1,0)</f>
        <v>1</v>
      </c>
    </row>
    <row r="42" customFormat="false" ht="15" hidden="false" customHeight="false" outlineLevel="0" collapsed="false">
      <c r="A42" s="16" t="s">
        <v>94</v>
      </c>
      <c r="B42" s="16" t="s">
        <v>2694</v>
      </c>
      <c r="C42" s="16" t="s">
        <v>47</v>
      </c>
      <c r="D42" s="16" t="s">
        <v>2610</v>
      </c>
      <c r="E42" s="16" t="s">
        <v>2622</v>
      </c>
      <c r="F42" s="16" t="s">
        <v>2612</v>
      </c>
      <c r="G42" s="16" t="s">
        <v>640</v>
      </c>
      <c r="H42" s="16" t="s">
        <v>2695</v>
      </c>
      <c r="I42" s="7" t="n">
        <f aca="false">IF(COUNTIF($H$5:$H$336,H42)&gt;1,1,0)</f>
        <v>0</v>
      </c>
      <c r="J42" s="17" t="str">
        <f aca="false">INDEX($A$5:$A$336,MATCH(H42,$H$5:$H$336,0))</f>
        <v>A0038</v>
      </c>
      <c r="K42" s="17" t="str">
        <f aca="false">IF(C42&lt;&gt;"",C42,IF(INDEX($C$5:$C$336,MATCH(J42,$A$5:$A$336,0))&lt;&gt;"",INDEX($C$5:$C$336,MATCH(J42,$A$5:$A$336,0)),"Unassigned"))</f>
        <v>Technology, Media &amp; Telecom</v>
      </c>
      <c r="L42" s="7" t="n">
        <f aca="false">IF(C42="",1,0)</f>
        <v>0</v>
      </c>
    </row>
    <row r="43" customFormat="false" ht="15" hidden="false" customHeight="false" outlineLevel="0" collapsed="false">
      <c r="A43" s="16" t="s">
        <v>95</v>
      </c>
      <c r="B43" s="16" t="s">
        <v>2696</v>
      </c>
      <c r="C43" s="16" t="s">
        <v>42</v>
      </c>
      <c r="D43" s="16" t="s">
        <v>2610</v>
      </c>
      <c r="E43" s="16" t="s">
        <v>2615</v>
      </c>
      <c r="F43" s="16" t="s">
        <v>2635</v>
      </c>
      <c r="G43" s="16" t="s">
        <v>596</v>
      </c>
      <c r="H43" s="16" t="s">
        <v>2697</v>
      </c>
      <c r="I43" s="7" t="n">
        <f aca="false">IF(COUNTIF($H$5:$H$336,H43)&gt;1,1,0)</f>
        <v>0</v>
      </c>
      <c r="J43" s="17" t="str">
        <f aca="false">INDEX($A$5:$A$336,MATCH(H43,$H$5:$H$336,0))</f>
        <v>A0039</v>
      </c>
      <c r="K43" s="17" t="str">
        <f aca="false">IF(C43&lt;&gt;"",C43,IF(INDEX($C$5:$C$336,MATCH(J43,$A$5:$A$336,0))&lt;&gt;"",INDEX($C$5:$C$336,MATCH(J43,$A$5:$A$336,0)),"Unassigned"))</f>
        <v>Energy &amp; Resources</v>
      </c>
      <c r="L43" s="7" t="n">
        <f aca="false">IF(C43="",1,0)</f>
        <v>0</v>
      </c>
    </row>
    <row r="44" customFormat="false" ht="15" hidden="false" customHeight="false" outlineLevel="0" collapsed="false">
      <c r="A44" s="16" t="s">
        <v>96</v>
      </c>
      <c r="B44" s="16" t="s">
        <v>2698</v>
      </c>
      <c r="C44" s="16" t="s">
        <v>43</v>
      </c>
      <c r="D44" s="16" t="s">
        <v>2610</v>
      </c>
      <c r="E44" s="16" t="s">
        <v>2615</v>
      </c>
      <c r="F44" s="16" t="s">
        <v>2612</v>
      </c>
      <c r="G44" s="16" t="s">
        <v>704</v>
      </c>
      <c r="H44" s="16" t="s">
        <v>2699</v>
      </c>
      <c r="I44" s="7" t="n">
        <f aca="false">IF(COUNTIF($H$5:$H$336,H44)&gt;1,1,0)</f>
        <v>0</v>
      </c>
      <c r="J44" s="17" t="str">
        <f aca="false">INDEX($A$5:$A$336,MATCH(H44,$H$5:$H$336,0))</f>
        <v>A0040</v>
      </c>
      <c r="K44" s="17" t="str">
        <f aca="false">IF(C44&lt;&gt;"",C44,IF(INDEX($C$5:$C$336,MATCH(J44,$A$5:$A$336,0))&lt;&gt;"",INDEX($C$5:$C$336,MATCH(J44,$A$5:$A$336,0)),"Unassigned"))</f>
        <v>Financial Services</v>
      </c>
      <c r="L44" s="7" t="n">
        <f aca="false">IF(C44="",1,0)</f>
        <v>0</v>
      </c>
    </row>
    <row r="45" customFormat="false" ht="15" hidden="false" customHeight="false" outlineLevel="0" collapsed="false">
      <c r="A45" s="16" t="s">
        <v>325</v>
      </c>
      <c r="B45" s="16" t="s">
        <v>2700</v>
      </c>
      <c r="C45" s="16" t="s">
        <v>41</v>
      </c>
      <c r="D45" s="16" t="s">
        <v>2701</v>
      </c>
      <c r="E45" s="16" t="s">
        <v>2615</v>
      </c>
      <c r="F45" s="16" t="s">
        <v>2659</v>
      </c>
      <c r="G45" s="16" t="s">
        <v>583</v>
      </c>
      <c r="H45" s="16" t="s">
        <v>2702</v>
      </c>
      <c r="I45" s="7" t="n">
        <f aca="false">IF(COUNTIF($H$5:$H$336,H45)&gt;1,1,0)</f>
        <v>0</v>
      </c>
      <c r="J45" s="17" t="str">
        <f aca="false">INDEX($A$5:$A$336,MATCH(H45,$H$5:$H$336,0))</f>
        <v>A0041</v>
      </c>
      <c r="K45" s="17" t="str">
        <f aca="false">IF(C45&lt;&gt;"",C45,IF(INDEX($C$5:$C$336,MATCH(J45,$A$5:$A$336,0))&lt;&gt;"",INDEX($C$5:$C$336,MATCH(J45,$A$5:$A$336,0)),"Unassigned"))</f>
        <v>Consumer &amp; Retail</v>
      </c>
      <c r="L45" s="7" t="n">
        <f aca="false">IF(C45="",1,0)</f>
        <v>0</v>
      </c>
    </row>
    <row r="46" customFormat="false" ht="15" hidden="false" customHeight="false" outlineLevel="0" collapsed="false">
      <c r="A46" s="16" t="s">
        <v>748</v>
      </c>
      <c r="B46" s="16" t="s">
        <v>2703</v>
      </c>
      <c r="C46" s="16" t="s">
        <v>47</v>
      </c>
      <c r="D46" s="16" t="s">
        <v>2701</v>
      </c>
      <c r="E46" s="16" t="s">
        <v>2615</v>
      </c>
      <c r="F46" s="16" t="s">
        <v>2612</v>
      </c>
      <c r="G46" s="16" t="s">
        <v>717</v>
      </c>
      <c r="H46" s="16" t="s">
        <v>2704</v>
      </c>
      <c r="I46" s="7" t="n">
        <f aca="false">IF(COUNTIF($H$5:$H$336,H46)&gt;1,1,0)</f>
        <v>0</v>
      </c>
      <c r="J46" s="17" t="str">
        <f aca="false">INDEX($A$5:$A$336,MATCH(H46,$H$5:$H$336,0))</f>
        <v>A0042</v>
      </c>
      <c r="K46" s="17" t="str">
        <f aca="false">IF(C46&lt;&gt;"",C46,IF(INDEX($C$5:$C$336,MATCH(J46,$A$5:$A$336,0))&lt;&gt;"",INDEX($C$5:$C$336,MATCH(J46,$A$5:$A$336,0)),"Unassigned"))</f>
        <v>Technology, Media &amp; Telecom</v>
      </c>
      <c r="L46" s="7" t="n">
        <f aca="false">IF(C46="",1,0)</f>
        <v>0</v>
      </c>
    </row>
    <row r="47" customFormat="false" ht="15" hidden="false" customHeight="false" outlineLevel="0" collapsed="false">
      <c r="A47" s="16" t="s">
        <v>1492</v>
      </c>
      <c r="B47" s="16" t="s">
        <v>2705</v>
      </c>
      <c r="C47" s="16" t="s">
        <v>42</v>
      </c>
      <c r="D47" s="16" t="s">
        <v>2701</v>
      </c>
      <c r="E47" s="16" t="s">
        <v>2658</v>
      </c>
      <c r="F47" s="16" t="s">
        <v>2612</v>
      </c>
      <c r="G47" s="16" t="s">
        <v>880</v>
      </c>
      <c r="H47" s="16" t="s">
        <v>2706</v>
      </c>
      <c r="I47" s="7" t="n">
        <f aca="false">IF(COUNTIF($H$5:$H$336,H47)&gt;1,1,0)</f>
        <v>0</v>
      </c>
      <c r="J47" s="17" t="str">
        <f aca="false">INDEX($A$5:$A$336,MATCH(H47,$H$5:$H$336,0))</f>
        <v>A0043</v>
      </c>
      <c r="K47" s="17" t="str">
        <f aca="false">IF(C47&lt;&gt;"",C47,IF(INDEX($C$5:$C$336,MATCH(J47,$A$5:$A$336,0))&lt;&gt;"",INDEX($C$5:$C$336,MATCH(J47,$A$5:$A$336,0)),"Unassigned"))</f>
        <v>Energy &amp; Resources</v>
      </c>
      <c r="L47" s="7" t="n">
        <f aca="false">IF(C47="",1,0)</f>
        <v>0</v>
      </c>
    </row>
    <row r="48" customFormat="false" ht="15" hidden="false" customHeight="false" outlineLevel="0" collapsed="false">
      <c r="A48" s="16" t="s">
        <v>275</v>
      </c>
      <c r="B48" s="16" t="s">
        <v>2707</v>
      </c>
      <c r="C48" s="16" t="s">
        <v>45</v>
      </c>
      <c r="D48" s="16" t="s">
        <v>2701</v>
      </c>
      <c r="E48" s="16" t="s">
        <v>2615</v>
      </c>
      <c r="F48" s="16" t="s">
        <v>2659</v>
      </c>
      <c r="G48" s="16" t="s">
        <v>604</v>
      </c>
      <c r="H48" s="16" t="s">
        <v>2708</v>
      </c>
      <c r="I48" s="7" t="n">
        <f aca="false">IF(COUNTIF($H$5:$H$336,H48)&gt;1,1,0)</f>
        <v>0</v>
      </c>
      <c r="J48" s="17" t="str">
        <f aca="false">INDEX($A$5:$A$336,MATCH(H48,$H$5:$H$336,0))</f>
        <v>A0044</v>
      </c>
      <c r="K48" s="17" t="str">
        <f aca="false">IF(C48&lt;&gt;"",C48,IF(INDEX($C$5:$C$336,MATCH(J48,$A$5:$A$336,0))&lt;&gt;"",INDEX($C$5:$C$336,MATCH(J48,$A$5:$A$336,0)),"Unassigned"))</f>
        <v>Public Sector &amp; Development</v>
      </c>
      <c r="L48" s="7" t="n">
        <f aca="false">IF(C48="",1,0)</f>
        <v>0</v>
      </c>
    </row>
    <row r="49" customFormat="false" ht="15" hidden="false" customHeight="false" outlineLevel="0" collapsed="false">
      <c r="A49" s="16" t="s">
        <v>222</v>
      </c>
      <c r="B49" s="16" t="s">
        <v>2709</v>
      </c>
      <c r="C49" s="16" t="s">
        <v>46</v>
      </c>
      <c r="D49" s="16" t="s">
        <v>2701</v>
      </c>
      <c r="E49" s="16" t="s">
        <v>2615</v>
      </c>
      <c r="F49" s="16" t="s">
        <v>2612</v>
      </c>
      <c r="G49" s="16" t="s">
        <v>596</v>
      </c>
      <c r="H49" s="16" t="s">
        <v>2710</v>
      </c>
      <c r="I49" s="7" t="n">
        <f aca="false">IF(COUNTIF($H$5:$H$336,H49)&gt;1,1,0)</f>
        <v>0</v>
      </c>
      <c r="J49" s="17" t="str">
        <f aca="false">INDEX($A$5:$A$336,MATCH(H49,$H$5:$H$336,0))</f>
        <v>A0045</v>
      </c>
      <c r="K49" s="17" t="str">
        <f aca="false">IF(C49&lt;&gt;"",C49,IF(INDEX($C$5:$C$336,MATCH(J49,$A$5:$A$336,0))&lt;&gt;"",INDEX($C$5:$C$336,MATCH(J49,$A$5:$A$336,0)),"Unassigned"))</f>
        <v>Real Estate &amp; Infrastructure</v>
      </c>
      <c r="L49" s="7" t="n">
        <f aca="false">IF(C49="",1,0)</f>
        <v>0</v>
      </c>
    </row>
    <row r="50" customFormat="false" ht="15" hidden="false" customHeight="false" outlineLevel="0" collapsed="false">
      <c r="A50" s="16" t="s">
        <v>695</v>
      </c>
      <c r="B50" s="16" t="s">
        <v>2711</v>
      </c>
      <c r="C50" s="16" t="s">
        <v>47</v>
      </c>
      <c r="D50" s="16" t="s">
        <v>2701</v>
      </c>
      <c r="E50" s="16" t="s">
        <v>2622</v>
      </c>
      <c r="F50" s="16" t="s">
        <v>2612</v>
      </c>
      <c r="G50" s="16" t="s">
        <v>588</v>
      </c>
      <c r="H50" s="16" t="s">
        <v>2712</v>
      </c>
      <c r="I50" s="7" t="n">
        <f aca="false">IF(COUNTIF($H$5:$H$336,H50)&gt;1,1,0)</f>
        <v>0</v>
      </c>
      <c r="J50" s="17" t="str">
        <f aca="false">INDEX($A$5:$A$336,MATCH(H50,$H$5:$H$336,0))</f>
        <v>A0046</v>
      </c>
      <c r="K50" s="17" t="str">
        <f aca="false">IF(C50&lt;&gt;"",C50,IF(INDEX($C$5:$C$336,MATCH(J50,$A$5:$A$336,0))&lt;&gt;"",INDEX($C$5:$C$336,MATCH(J50,$A$5:$A$336,0)),"Unassigned"))</f>
        <v>Technology, Media &amp; Telecom</v>
      </c>
      <c r="L50" s="7" t="n">
        <f aca="false">IF(C50="",1,0)</f>
        <v>0</v>
      </c>
    </row>
    <row r="51" customFormat="false" ht="15" hidden="false" customHeight="false" outlineLevel="0" collapsed="false">
      <c r="A51" s="16" t="s">
        <v>1534</v>
      </c>
      <c r="B51" s="16" t="s">
        <v>2713</v>
      </c>
      <c r="C51" s="16" t="s">
        <v>46</v>
      </c>
      <c r="D51" s="16" t="s">
        <v>2701</v>
      </c>
      <c r="E51" s="16" t="s">
        <v>2615</v>
      </c>
      <c r="F51" s="16" t="s">
        <v>2612</v>
      </c>
      <c r="G51" s="16" t="s">
        <v>654</v>
      </c>
      <c r="H51" s="16" t="s">
        <v>2714</v>
      </c>
      <c r="I51" s="7" t="n">
        <f aca="false">IF(COUNTIF($H$5:$H$336,H51)&gt;1,1,0)</f>
        <v>0</v>
      </c>
      <c r="J51" s="17" t="str">
        <f aca="false">INDEX($A$5:$A$336,MATCH(H51,$H$5:$H$336,0))</f>
        <v>A0047</v>
      </c>
      <c r="K51" s="17" t="str">
        <f aca="false">IF(C51&lt;&gt;"",C51,IF(INDEX($C$5:$C$336,MATCH(J51,$A$5:$A$336,0))&lt;&gt;"",INDEX($C$5:$C$336,MATCH(J51,$A$5:$A$336,0)),"Unassigned"))</f>
        <v>Real Estate &amp; Infrastructure</v>
      </c>
      <c r="L51" s="7" t="n">
        <f aca="false">IF(C51="",1,0)</f>
        <v>0</v>
      </c>
    </row>
    <row r="52" customFormat="false" ht="15" hidden="false" customHeight="false" outlineLevel="0" collapsed="false">
      <c r="A52" s="16" t="s">
        <v>804</v>
      </c>
      <c r="B52" s="16" t="s">
        <v>2715</v>
      </c>
      <c r="C52" s="16" t="s">
        <v>44</v>
      </c>
      <c r="D52" s="16" t="s">
        <v>2701</v>
      </c>
      <c r="E52" s="16" t="s">
        <v>2611</v>
      </c>
      <c r="F52" s="16" t="s">
        <v>2612</v>
      </c>
      <c r="G52" s="16" t="s">
        <v>596</v>
      </c>
      <c r="H52" s="16" t="s">
        <v>2716</v>
      </c>
      <c r="I52" s="7" t="n">
        <f aca="false">IF(COUNTIF($H$5:$H$336,H52)&gt;1,1,0)</f>
        <v>0</v>
      </c>
      <c r="J52" s="17" t="str">
        <f aca="false">INDEX($A$5:$A$336,MATCH(H52,$H$5:$H$336,0))</f>
        <v>A0048</v>
      </c>
      <c r="K52" s="17" t="str">
        <f aca="false">IF(C52&lt;&gt;"",C52,IF(INDEX($C$5:$C$336,MATCH(J52,$A$5:$A$336,0))&lt;&gt;"",INDEX($C$5:$C$336,MATCH(J52,$A$5:$A$336,0)),"Unassigned"))</f>
        <v>Health</v>
      </c>
      <c r="L52" s="7" t="n">
        <f aca="false">IF(C52="",1,0)</f>
        <v>0</v>
      </c>
    </row>
    <row r="53" customFormat="false" ht="15" hidden="false" customHeight="false" outlineLevel="0" collapsed="false">
      <c r="A53" s="16" t="s">
        <v>433</v>
      </c>
      <c r="B53" s="16" t="s">
        <v>2717</v>
      </c>
      <c r="C53" s="16" t="s">
        <v>40</v>
      </c>
      <c r="D53" s="16" t="s">
        <v>2701</v>
      </c>
      <c r="E53" s="16" t="s">
        <v>2615</v>
      </c>
      <c r="F53" s="16" t="s">
        <v>2612</v>
      </c>
      <c r="G53" s="16" t="s">
        <v>651</v>
      </c>
      <c r="H53" s="16" t="s">
        <v>2718</v>
      </c>
      <c r="I53" s="7" t="n">
        <f aca="false">IF(COUNTIF($H$5:$H$336,H53)&gt;1,1,0)</f>
        <v>0</v>
      </c>
      <c r="J53" s="17" t="str">
        <f aca="false">INDEX($A$5:$A$336,MATCH(H53,$H$5:$H$336,0))</f>
        <v>A0049</v>
      </c>
      <c r="K53" s="17" t="str">
        <f aca="false">IF(C53&lt;&gt;"",C53,IF(INDEX($C$5:$C$336,MATCH(J53,$A$5:$A$336,0))&lt;&gt;"",INDEX($C$5:$C$336,MATCH(J53,$A$5:$A$336,0)),"Unassigned"))</f>
        <v>Agribusiness</v>
      </c>
      <c r="L53" s="7" t="n">
        <f aca="false">IF(C53="",1,0)</f>
        <v>0</v>
      </c>
    </row>
    <row r="54" customFormat="false" ht="15" hidden="false" customHeight="false" outlineLevel="0" collapsed="false">
      <c r="A54" s="16" t="s">
        <v>756</v>
      </c>
      <c r="B54" s="16" t="s">
        <v>2719</v>
      </c>
      <c r="C54" s="16" t="s">
        <v>45</v>
      </c>
      <c r="D54" s="16" t="s">
        <v>2701</v>
      </c>
      <c r="E54" s="16" t="s">
        <v>2615</v>
      </c>
      <c r="F54" s="16" t="s">
        <v>2612</v>
      </c>
      <c r="G54" s="16" t="s">
        <v>637</v>
      </c>
      <c r="H54" s="16" t="s">
        <v>2720</v>
      </c>
      <c r="I54" s="7" t="n">
        <f aca="false">IF(COUNTIF($H$5:$H$336,H54)&gt;1,1,0)</f>
        <v>0</v>
      </c>
      <c r="J54" s="17" t="str">
        <f aca="false">INDEX($A$5:$A$336,MATCH(H54,$H$5:$H$336,0))</f>
        <v>A0050</v>
      </c>
      <c r="K54" s="17" t="str">
        <f aca="false">IF(C54&lt;&gt;"",C54,IF(INDEX($C$5:$C$336,MATCH(J54,$A$5:$A$336,0))&lt;&gt;"",INDEX($C$5:$C$336,MATCH(J54,$A$5:$A$336,0)),"Unassigned"))</f>
        <v>Public Sector &amp; Development</v>
      </c>
      <c r="L54" s="7" t="n">
        <f aca="false">IF(C54="",1,0)</f>
        <v>0</v>
      </c>
    </row>
    <row r="55" customFormat="false" ht="15" hidden="false" customHeight="false" outlineLevel="0" collapsed="false">
      <c r="A55" s="16" t="s">
        <v>252</v>
      </c>
      <c r="B55" s="16" t="s">
        <v>2721</v>
      </c>
      <c r="C55" s="16" t="s">
        <v>43</v>
      </c>
      <c r="D55" s="16" t="s">
        <v>2701</v>
      </c>
      <c r="E55" s="16" t="s">
        <v>2622</v>
      </c>
      <c r="F55" s="16" t="s">
        <v>2612</v>
      </c>
      <c r="G55" s="16" t="s">
        <v>666</v>
      </c>
      <c r="H55" s="16" t="s">
        <v>2722</v>
      </c>
      <c r="I55" s="7" t="n">
        <f aca="false">IF(COUNTIF($H$5:$H$336,H55)&gt;1,1,0)</f>
        <v>0</v>
      </c>
      <c r="J55" s="17" t="str">
        <f aca="false">INDEX($A$5:$A$336,MATCH(H55,$H$5:$H$336,0))</f>
        <v>A0051</v>
      </c>
      <c r="K55" s="17" t="str">
        <f aca="false">IF(C55&lt;&gt;"",C55,IF(INDEX($C$5:$C$336,MATCH(J55,$A$5:$A$336,0))&lt;&gt;"",INDEX($C$5:$C$336,MATCH(J55,$A$5:$A$336,0)),"Unassigned"))</f>
        <v>Financial Services</v>
      </c>
      <c r="L55" s="7" t="n">
        <f aca="false">IF(C55="",1,0)</f>
        <v>0</v>
      </c>
    </row>
    <row r="56" customFormat="false" ht="15" hidden="false" customHeight="false" outlineLevel="0" collapsed="false">
      <c r="A56" s="16" t="s">
        <v>796</v>
      </c>
      <c r="B56" s="16" t="s">
        <v>2723</v>
      </c>
      <c r="C56" s="16" t="s">
        <v>47</v>
      </c>
      <c r="D56" s="16" t="s">
        <v>2701</v>
      </c>
      <c r="E56" s="16" t="s">
        <v>2619</v>
      </c>
      <c r="F56" s="16" t="s">
        <v>2612</v>
      </c>
      <c r="G56" s="16" t="s">
        <v>573</v>
      </c>
      <c r="H56" s="16" t="s">
        <v>2724</v>
      </c>
      <c r="I56" s="7" t="n">
        <f aca="false">IF(COUNTIF($H$5:$H$336,H56)&gt;1,1,0)</f>
        <v>0</v>
      </c>
      <c r="J56" s="17" t="str">
        <f aca="false">INDEX($A$5:$A$336,MATCH(H56,$H$5:$H$336,0))</f>
        <v>A0052</v>
      </c>
      <c r="K56" s="17" t="str">
        <f aca="false">IF(C56&lt;&gt;"",C56,IF(INDEX($C$5:$C$336,MATCH(J56,$A$5:$A$336,0))&lt;&gt;"",INDEX($C$5:$C$336,MATCH(J56,$A$5:$A$336,0)),"Unassigned"))</f>
        <v>Technology, Media &amp; Telecom</v>
      </c>
      <c r="L56" s="7" t="n">
        <f aca="false">IF(C56="",1,0)</f>
        <v>0</v>
      </c>
    </row>
    <row r="57" customFormat="false" ht="15" hidden="false" customHeight="false" outlineLevel="0" collapsed="false">
      <c r="A57" s="16" t="s">
        <v>858</v>
      </c>
      <c r="B57" s="16" t="s">
        <v>2725</v>
      </c>
      <c r="C57" s="16"/>
      <c r="D57" s="16" t="s">
        <v>2701</v>
      </c>
      <c r="E57" s="16" t="s">
        <v>2619</v>
      </c>
      <c r="F57" s="16" t="s">
        <v>2662</v>
      </c>
      <c r="G57" s="16" t="s">
        <v>704</v>
      </c>
      <c r="H57" s="16" t="s">
        <v>2726</v>
      </c>
      <c r="I57" s="7" t="n">
        <f aca="false">IF(COUNTIF($H$5:$H$336,H57)&gt;1,1,0)</f>
        <v>0</v>
      </c>
      <c r="J57" s="17" t="str">
        <f aca="false">INDEX($A$5:$A$336,MATCH(H57,$H$5:$H$336,0))</f>
        <v>A0053</v>
      </c>
      <c r="K57" s="17" t="str">
        <f aca="false">IF(C57&lt;&gt;"",C57,IF(INDEX($C$5:$C$336,MATCH(J57,$A$5:$A$336,0))&lt;&gt;"",INDEX($C$5:$C$336,MATCH(J57,$A$5:$A$336,0)),"Unassigned"))</f>
        <v>Unassigned</v>
      </c>
      <c r="L57" s="7" t="n">
        <f aca="false">IF(C57="",1,0)</f>
        <v>1</v>
      </c>
    </row>
    <row r="58" customFormat="false" ht="15" hidden="false" customHeight="false" outlineLevel="0" collapsed="false">
      <c r="A58" s="16" t="s">
        <v>375</v>
      </c>
      <c r="B58" s="16" t="s">
        <v>2727</v>
      </c>
      <c r="C58" s="16" t="s">
        <v>47</v>
      </c>
      <c r="D58" s="16" t="s">
        <v>2701</v>
      </c>
      <c r="E58" s="16" t="s">
        <v>2619</v>
      </c>
      <c r="F58" s="16" t="s">
        <v>2616</v>
      </c>
      <c r="G58" s="16" t="s">
        <v>622</v>
      </c>
      <c r="H58" s="16" t="s">
        <v>2728</v>
      </c>
      <c r="I58" s="7" t="n">
        <f aca="false">IF(COUNTIF($H$5:$H$336,H58)&gt;1,1,0)</f>
        <v>0</v>
      </c>
      <c r="J58" s="17" t="str">
        <f aca="false">INDEX($A$5:$A$336,MATCH(H58,$H$5:$H$336,0))</f>
        <v>A0054</v>
      </c>
      <c r="K58" s="17" t="str">
        <f aca="false">IF(C58&lt;&gt;"",C58,IF(INDEX($C$5:$C$336,MATCH(J58,$A$5:$A$336,0))&lt;&gt;"",INDEX($C$5:$C$336,MATCH(J58,$A$5:$A$336,0)),"Unassigned"))</f>
        <v>Technology, Media &amp; Telecom</v>
      </c>
      <c r="L58" s="7" t="n">
        <f aca="false">IF(C58="",1,0)</f>
        <v>0</v>
      </c>
    </row>
    <row r="59" customFormat="false" ht="15" hidden="false" customHeight="false" outlineLevel="0" collapsed="false">
      <c r="A59" s="16" t="s">
        <v>906</v>
      </c>
      <c r="B59" s="16" t="s">
        <v>2729</v>
      </c>
      <c r="C59" s="16" t="s">
        <v>45</v>
      </c>
      <c r="D59" s="16" t="s">
        <v>2701</v>
      </c>
      <c r="E59" s="16" t="s">
        <v>2619</v>
      </c>
      <c r="F59" s="16" t="s">
        <v>2612</v>
      </c>
      <c r="G59" s="16" t="s">
        <v>588</v>
      </c>
      <c r="H59" s="16" t="s">
        <v>2730</v>
      </c>
      <c r="I59" s="7" t="n">
        <f aca="false">IF(COUNTIF($H$5:$H$336,H59)&gt;1,1,0)</f>
        <v>0</v>
      </c>
      <c r="J59" s="17" t="str">
        <f aca="false">INDEX($A$5:$A$336,MATCH(H59,$H$5:$H$336,0))</f>
        <v>A0055</v>
      </c>
      <c r="K59" s="17" t="str">
        <f aca="false">IF(C59&lt;&gt;"",C59,IF(INDEX($C$5:$C$336,MATCH(J59,$A$5:$A$336,0))&lt;&gt;"",INDEX($C$5:$C$336,MATCH(J59,$A$5:$A$336,0)),"Unassigned"))</f>
        <v>Public Sector &amp; Development</v>
      </c>
      <c r="L59" s="7" t="n">
        <f aca="false">IF(C59="",1,0)</f>
        <v>0</v>
      </c>
    </row>
    <row r="60" customFormat="false" ht="15" hidden="false" customHeight="false" outlineLevel="0" collapsed="false">
      <c r="A60" s="16" t="s">
        <v>960</v>
      </c>
      <c r="B60" s="16" t="s">
        <v>2731</v>
      </c>
      <c r="C60" s="16" t="s">
        <v>42</v>
      </c>
      <c r="D60" s="16" t="s">
        <v>2701</v>
      </c>
      <c r="E60" s="16" t="s">
        <v>2611</v>
      </c>
      <c r="F60" s="16" t="s">
        <v>2612</v>
      </c>
      <c r="G60" s="16" t="s">
        <v>691</v>
      </c>
      <c r="H60" s="16" t="s">
        <v>2732</v>
      </c>
      <c r="I60" s="7" t="n">
        <f aca="false">IF(COUNTIF($H$5:$H$336,H60)&gt;1,1,0)</f>
        <v>0</v>
      </c>
      <c r="J60" s="17" t="str">
        <f aca="false">INDEX($A$5:$A$336,MATCH(H60,$H$5:$H$336,0))</f>
        <v>A0056</v>
      </c>
      <c r="K60" s="17" t="str">
        <f aca="false">IF(C60&lt;&gt;"",C60,IF(INDEX($C$5:$C$336,MATCH(J60,$A$5:$A$336,0))&lt;&gt;"",INDEX($C$5:$C$336,MATCH(J60,$A$5:$A$336,0)),"Unassigned"))</f>
        <v>Energy &amp; Resources</v>
      </c>
      <c r="L60" s="7" t="n">
        <f aca="false">IF(C60="",1,0)</f>
        <v>0</v>
      </c>
    </row>
    <row r="61" customFormat="false" ht="15" hidden="false" customHeight="false" outlineLevel="0" collapsed="false">
      <c r="A61" s="16" t="s">
        <v>1215</v>
      </c>
      <c r="B61" s="16" t="s">
        <v>2733</v>
      </c>
      <c r="C61" s="16" t="s">
        <v>41</v>
      </c>
      <c r="D61" s="16" t="s">
        <v>2701</v>
      </c>
      <c r="E61" s="16" t="s">
        <v>2611</v>
      </c>
      <c r="F61" s="16" t="s">
        <v>2635</v>
      </c>
      <c r="G61" s="16" t="s">
        <v>654</v>
      </c>
      <c r="H61" s="16" t="s">
        <v>2734</v>
      </c>
      <c r="I61" s="7" t="n">
        <f aca="false">IF(COUNTIF($H$5:$H$336,H61)&gt;1,1,0)</f>
        <v>0</v>
      </c>
      <c r="J61" s="17" t="str">
        <f aca="false">INDEX($A$5:$A$336,MATCH(H61,$H$5:$H$336,0))</f>
        <v>A0057</v>
      </c>
      <c r="K61" s="17" t="str">
        <f aca="false">IF(C61&lt;&gt;"",C61,IF(INDEX($C$5:$C$336,MATCH(J61,$A$5:$A$336,0))&lt;&gt;"",INDEX($C$5:$C$336,MATCH(J61,$A$5:$A$336,0)),"Unassigned"))</f>
        <v>Consumer &amp; Retail</v>
      </c>
      <c r="L61" s="7" t="n">
        <f aca="false">IF(C61="",1,0)</f>
        <v>0</v>
      </c>
    </row>
    <row r="62" customFormat="false" ht="15" hidden="false" customHeight="false" outlineLevel="0" collapsed="false">
      <c r="A62" s="16" t="s">
        <v>1327</v>
      </c>
      <c r="B62" s="16" t="s">
        <v>2735</v>
      </c>
      <c r="C62" s="16" t="s">
        <v>42</v>
      </c>
      <c r="D62" s="16" t="s">
        <v>2701</v>
      </c>
      <c r="E62" s="16" t="s">
        <v>2619</v>
      </c>
      <c r="F62" s="16" t="s">
        <v>2662</v>
      </c>
      <c r="G62" s="16" t="s">
        <v>578</v>
      </c>
      <c r="H62" s="16" t="s">
        <v>2736</v>
      </c>
      <c r="I62" s="7" t="n">
        <f aca="false">IF(COUNTIF($H$5:$H$336,H62)&gt;1,1,0)</f>
        <v>0</v>
      </c>
      <c r="J62" s="17" t="str">
        <f aca="false">INDEX($A$5:$A$336,MATCH(H62,$H$5:$H$336,0))</f>
        <v>A0058</v>
      </c>
      <c r="K62" s="17" t="str">
        <f aca="false">IF(C62&lt;&gt;"",C62,IF(INDEX($C$5:$C$336,MATCH(J62,$A$5:$A$336,0))&lt;&gt;"",INDEX($C$5:$C$336,MATCH(J62,$A$5:$A$336,0)),"Unassigned"))</f>
        <v>Energy &amp; Resources</v>
      </c>
      <c r="L62" s="7" t="n">
        <f aca="false">IF(C62="",1,0)</f>
        <v>0</v>
      </c>
    </row>
    <row r="63" customFormat="false" ht="15" hidden="false" customHeight="false" outlineLevel="0" collapsed="false">
      <c r="A63" s="16" t="s">
        <v>248</v>
      </c>
      <c r="B63" s="16" t="s">
        <v>2737</v>
      </c>
      <c r="C63" s="16" t="s">
        <v>42</v>
      </c>
      <c r="D63" s="16" t="s">
        <v>2701</v>
      </c>
      <c r="E63" s="16" t="s">
        <v>2615</v>
      </c>
      <c r="F63" s="16" t="s">
        <v>2662</v>
      </c>
      <c r="G63" s="16" t="s">
        <v>600</v>
      </c>
      <c r="H63" s="16" t="s">
        <v>2738</v>
      </c>
      <c r="I63" s="7" t="n">
        <f aca="false">IF(COUNTIF($H$5:$H$336,H63)&gt;1,1,0)</f>
        <v>0</v>
      </c>
      <c r="J63" s="17" t="str">
        <f aca="false">INDEX($A$5:$A$336,MATCH(H63,$H$5:$H$336,0))</f>
        <v>A0059</v>
      </c>
      <c r="K63" s="17" t="str">
        <f aca="false">IF(C63&lt;&gt;"",C63,IF(INDEX($C$5:$C$336,MATCH(J63,$A$5:$A$336,0))&lt;&gt;"",INDEX($C$5:$C$336,MATCH(J63,$A$5:$A$336,0)),"Unassigned"))</f>
        <v>Energy &amp; Resources</v>
      </c>
      <c r="L63" s="7" t="n">
        <f aca="false">IF(C63="",1,0)</f>
        <v>0</v>
      </c>
    </row>
    <row r="64" customFormat="false" ht="15" hidden="false" customHeight="false" outlineLevel="0" collapsed="false">
      <c r="A64" s="16" t="s">
        <v>1025</v>
      </c>
      <c r="B64" s="16" t="s">
        <v>2739</v>
      </c>
      <c r="C64" s="16" t="s">
        <v>45</v>
      </c>
      <c r="D64" s="16" t="s">
        <v>2701</v>
      </c>
      <c r="E64" s="16" t="s">
        <v>2615</v>
      </c>
      <c r="F64" s="16" t="s">
        <v>2662</v>
      </c>
      <c r="G64" s="16" t="s">
        <v>704</v>
      </c>
      <c r="H64" s="16" t="s">
        <v>2740</v>
      </c>
      <c r="I64" s="7" t="n">
        <f aca="false">IF(COUNTIF($H$5:$H$336,H64)&gt;1,1,0)</f>
        <v>0</v>
      </c>
      <c r="J64" s="17" t="str">
        <f aca="false">INDEX($A$5:$A$336,MATCH(H64,$H$5:$H$336,0))</f>
        <v>A0060</v>
      </c>
      <c r="K64" s="17" t="str">
        <f aca="false">IF(C64&lt;&gt;"",C64,IF(INDEX($C$5:$C$336,MATCH(J64,$A$5:$A$336,0))&lt;&gt;"",INDEX($C$5:$C$336,MATCH(J64,$A$5:$A$336,0)),"Unassigned"))</f>
        <v>Public Sector &amp; Development</v>
      </c>
      <c r="L64" s="7" t="n">
        <f aca="false">IF(C64="",1,0)</f>
        <v>0</v>
      </c>
    </row>
    <row r="65" customFormat="false" ht="15" hidden="false" customHeight="false" outlineLevel="0" collapsed="false">
      <c r="A65" s="16" t="s">
        <v>238</v>
      </c>
      <c r="B65" s="16" t="s">
        <v>2741</v>
      </c>
      <c r="C65" s="16" t="s">
        <v>42</v>
      </c>
      <c r="D65" s="16" t="s">
        <v>2701</v>
      </c>
      <c r="E65" s="16" t="s">
        <v>2615</v>
      </c>
      <c r="F65" s="16" t="s">
        <v>2612</v>
      </c>
      <c r="G65" s="16" t="s">
        <v>600</v>
      </c>
      <c r="H65" s="16" t="s">
        <v>2742</v>
      </c>
      <c r="I65" s="7" t="n">
        <f aca="false">IF(COUNTIF($H$5:$H$336,H65)&gt;1,1,0)</f>
        <v>0</v>
      </c>
      <c r="J65" s="17" t="str">
        <f aca="false">INDEX($A$5:$A$336,MATCH(H65,$H$5:$H$336,0))</f>
        <v>A0061</v>
      </c>
      <c r="K65" s="17" t="str">
        <f aca="false">IF(C65&lt;&gt;"",C65,IF(INDEX($C$5:$C$336,MATCH(J65,$A$5:$A$336,0))&lt;&gt;"",INDEX($C$5:$C$336,MATCH(J65,$A$5:$A$336,0)),"Unassigned"))</f>
        <v>Energy &amp; Resources</v>
      </c>
      <c r="L65" s="7" t="n">
        <f aca="false">IF(C65="",1,0)</f>
        <v>0</v>
      </c>
    </row>
    <row r="66" customFormat="false" ht="15" hidden="false" customHeight="false" outlineLevel="0" collapsed="false">
      <c r="A66" s="16" t="s">
        <v>269</v>
      </c>
      <c r="B66" s="16" t="s">
        <v>2743</v>
      </c>
      <c r="C66" s="16" t="s">
        <v>47</v>
      </c>
      <c r="D66" s="16" t="s">
        <v>2701</v>
      </c>
      <c r="E66" s="16" t="s">
        <v>2658</v>
      </c>
      <c r="F66" s="16" t="s">
        <v>2612</v>
      </c>
      <c r="G66" s="16" t="s">
        <v>578</v>
      </c>
      <c r="H66" s="16" t="s">
        <v>2744</v>
      </c>
      <c r="I66" s="7" t="n">
        <f aca="false">IF(COUNTIF($H$5:$H$336,H66)&gt;1,1,0)</f>
        <v>0</v>
      </c>
      <c r="J66" s="17" t="str">
        <f aca="false">INDEX($A$5:$A$336,MATCH(H66,$H$5:$H$336,0))</f>
        <v>A0062</v>
      </c>
      <c r="K66" s="17" t="str">
        <f aca="false">IF(C66&lt;&gt;"",C66,IF(INDEX($C$5:$C$336,MATCH(J66,$A$5:$A$336,0))&lt;&gt;"",INDEX($C$5:$C$336,MATCH(J66,$A$5:$A$336,0)),"Unassigned"))</f>
        <v>Technology, Media &amp; Telecom</v>
      </c>
      <c r="L66" s="7" t="n">
        <f aca="false">IF(C66="",1,0)</f>
        <v>0</v>
      </c>
    </row>
    <row r="67" customFormat="false" ht="15" hidden="false" customHeight="false" outlineLevel="0" collapsed="false">
      <c r="A67" s="16" t="s">
        <v>1196</v>
      </c>
      <c r="B67" s="16" t="s">
        <v>2745</v>
      </c>
      <c r="C67" s="16" t="s">
        <v>41</v>
      </c>
      <c r="D67" s="16" t="s">
        <v>2701</v>
      </c>
      <c r="E67" s="16" t="s">
        <v>2611</v>
      </c>
      <c r="F67" s="16" t="s">
        <v>2662</v>
      </c>
      <c r="G67" s="16" t="s">
        <v>685</v>
      </c>
      <c r="H67" s="16" t="s">
        <v>2746</v>
      </c>
      <c r="I67" s="7" t="n">
        <f aca="false">IF(COUNTIF($H$5:$H$336,H67)&gt;1,1,0)</f>
        <v>0</v>
      </c>
      <c r="J67" s="17" t="str">
        <f aca="false">INDEX($A$5:$A$336,MATCH(H67,$H$5:$H$336,0))</f>
        <v>A0063</v>
      </c>
      <c r="K67" s="17" t="str">
        <f aca="false">IF(C67&lt;&gt;"",C67,IF(INDEX($C$5:$C$336,MATCH(J67,$A$5:$A$336,0))&lt;&gt;"",INDEX($C$5:$C$336,MATCH(J67,$A$5:$A$336,0)),"Unassigned"))</f>
        <v>Consumer &amp; Retail</v>
      </c>
      <c r="L67" s="7" t="n">
        <f aca="false">IF(C67="",1,0)</f>
        <v>0</v>
      </c>
    </row>
    <row r="68" customFormat="false" ht="15" hidden="false" customHeight="false" outlineLevel="0" collapsed="false">
      <c r="A68" s="16" t="s">
        <v>773</v>
      </c>
      <c r="B68" s="16" t="s">
        <v>2747</v>
      </c>
      <c r="C68" s="16" t="s">
        <v>43</v>
      </c>
      <c r="D68" s="16" t="s">
        <v>2701</v>
      </c>
      <c r="E68" s="16" t="s">
        <v>2615</v>
      </c>
      <c r="F68" s="16" t="s">
        <v>2612</v>
      </c>
      <c r="G68" s="16" t="s">
        <v>600</v>
      </c>
      <c r="H68" s="16" t="s">
        <v>2748</v>
      </c>
      <c r="I68" s="7" t="n">
        <f aca="false">IF(COUNTIF($H$5:$H$336,H68)&gt;1,1,0)</f>
        <v>0</v>
      </c>
      <c r="J68" s="17" t="str">
        <f aca="false">INDEX($A$5:$A$336,MATCH(H68,$H$5:$H$336,0))</f>
        <v>A0064</v>
      </c>
      <c r="K68" s="17" t="str">
        <f aca="false">IF(C68&lt;&gt;"",C68,IF(INDEX($C$5:$C$336,MATCH(J68,$A$5:$A$336,0))&lt;&gt;"",INDEX($C$5:$C$336,MATCH(J68,$A$5:$A$336,0)),"Unassigned"))</f>
        <v>Financial Services</v>
      </c>
      <c r="L68" s="7" t="n">
        <f aca="false">IF(C68="",1,0)</f>
        <v>0</v>
      </c>
    </row>
    <row r="69" customFormat="false" ht="15" hidden="false" customHeight="false" outlineLevel="0" collapsed="false">
      <c r="A69" s="16" t="s">
        <v>661</v>
      </c>
      <c r="B69" s="16" t="s">
        <v>2749</v>
      </c>
      <c r="C69" s="16" t="s">
        <v>47</v>
      </c>
      <c r="D69" s="16" t="s">
        <v>2701</v>
      </c>
      <c r="E69" s="16" t="s">
        <v>2622</v>
      </c>
      <c r="F69" s="16" t="s">
        <v>2662</v>
      </c>
      <c r="G69" s="16" t="s">
        <v>663</v>
      </c>
      <c r="H69" s="16" t="s">
        <v>2750</v>
      </c>
      <c r="I69" s="7" t="n">
        <f aca="false">IF(COUNTIF($H$5:$H$336,H69)&gt;1,1,0)</f>
        <v>0</v>
      </c>
      <c r="J69" s="17" t="str">
        <f aca="false">INDEX($A$5:$A$336,MATCH(H69,$H$5:$H$336,0))</f>
        <v>A0065</v>
      </c>
      <c r="K69" s="17" t="str">
        <f aca="false">IF(C69&lt;&gt;"",C69,IF(INDEX($C$5:$C$336,MATCH(J69,$A$5:$A$336,0))&lt;&gt;"",INDEX($C$5:$C$336,MATCH(J69,$A$5:$A$336,0)),"Unassigned"))</f>
        <v>Technology, Media &amp; Telecom</v>
      </c>
      <c r="L69" s="7" t="n">
        <f aca="false">IF(C69="",1,0)</f>
        <v>0</v>
      </c>
    </row>
    <row r="70" customFormat="false" ht="15" hidden="false" customHeight="false" outlineLevel="0" collapsed="false">
      <c r="A70" s="16" t="s">
        <v>709</v>
      </c>
      <c r="B70" s="16" t="s">
        <v>2751</v>
      </c>
      <c r="C70" s="16" t="s">
        <v>44</v>
      </c>
      <c r="D70" s="16" t="s">
        <v>2701</v>
      </c>
      <c r="E70" s="16" t="s">
        <v>2619</v>
      </c>
      <c r="F70" s="16" t="s">
        <v>2612</v>
      </c>
      <c r="G70" s="16" t="s">
        <v>600</v>
      </c>
      <c r="H70" s="16" t="s">
        <v>2752</v>
      </c>
      <c r="I70" s="7" t="n">
        <f aca="false">IF(COUNTIF($H$5:$H$336,H70)&gt;1,1,0)</f>
        <v>0</v>
      </c>
      <c r="J70" s="17" t="str">
        <f aca="false">INDEX($A$5:$A$336,MATCH(H70,$H$5:$H$336,0))</f>
        <v>A0066</v>
      </c>
      <c r="K70" s="17" t="str">
        <f aca="false">IF(C70&lt;&gt;"",C70,IF(INDEX($C$5:$C$336,MATCH(J70,$A$5:$A$336,0))&lt;&gt;"",INDEX($C$5:$C$336,MATCH(J70,$A$5:$A$336,0)),"Unassigned"))</f>
        <v>Health</v>
      </c>
      <c r="L70" s="7" t="n">
        <f aca="false">IF(C70="",1,0)</f>
        <v>0</v>
      </c>
    </row>
    <row r="71" customFormat="false" ht="15" hidden="false" customHeight="false" outlineLevel="0" collapsed="false">
      <c r="A71" s="16" t="s">
        <v>361</v>
      </c>
      <c r="B71" s="16" t="s">
        <v>2753</v>
      </c>
      <c r="C71" s="16" t="s">
        <v>47</v>
      </c>
      <c r="D71" s="16" t="s">
        <v>2701</v>
      </c>
      <c r="E71" s="16" t="s">
        <v>2619</v>
      </c>
      <c r="F71" s="16" t="s">
        <v>2612</v>
      </c>
      <c r="G71" s="16" t="s">
        <v>646</v>
      </c>
      <c r="H71" s="16" t="s">
        <v>2754</v>
      </c>
      <c r="I71" s="7" t="n">
        <f aca="false">IF(COUNTIF($H$5:$H$336,H71)&gt;1,1,0)</f>
        <v>1</v>
      </c>
      <c r="J71" s="17" t="str">
        <f aca="false">INDEX($A$5:$A$336,MATCH(H71,$H$5:$H$336,0))</f>
        <v>A0067</v>
      </c>
      <c r="K71" s="17" t="str">
        <f aca="false">IF(C71&lt;&gt;"",C71,IF(INDEX($C$5:$C$336,MATCH(J71,$A$5:$A$336,0))&lt;&gt;"",INDEX($C$5:$C$336,MATCH(J71,$A$5:$A$336,0)),"Unassigned"))</f>
        <v>Technology, Media &amp; Telecom</v>
      </c>
      <c r="L71" s="7" t="n">
        <f aca="false">IF(C71="",1,0)</f>
        <v>0</v>
      </c>
    </row>
    <row r="72" customFormat="false" ht="15" hidden="false" customHeight="false" outlineLevel="0" collapsed="false">
      <c r="A72" s="16" t="s">
        <v>244</v>
      </c>
      <c r="B72" s="16" t="s">
        <v>2755</v>
      </c>
      <c r="C72" s="16" t="s">
        <v>43</v>
      </c>
      <c r="D72" s="16" t="s">
        <v>2701</v>
      </c>
      <c r="E72" s="16" t="s">
        <v>2619</v>
      </c>
      <c r="F72" s="16" t="s">
        <v>2612</v>
      </c>
      <c r="G72" s="16" t="s">
        <v>704</v>
      </c>
      <c r="H72" s="16" t="s">
        <v>2756</v>
      </c>
      <c r="I72" s="7" t="n">
        <f aca="false">IF(COUNTIF($H$5:$H$336,H72)&gt;1,1,0)</f>
        <v>0</v>
      </c>
      <c r="J72" s="17" t="str">
        <f aca="false">INDEX($A$5:$A$336,MATCH(H72,$H$5:$H$336,0))</f>
        <v>A0068</v>
      </c>
      <c r="K72" s="17" t="str">
        <f aca="false">IF(C72&lt;&gt;"",C72,IF(INDEX($C$5:$C$336,MATCH(J72,$A$5:$A$336,0))&lt;&gt;"",INDEX($C$5:$C$336,MATCH(J72,$A$5:$A$336,0)),"Unassigned"))</f>
        <v>Financial Services</v>
      </c>
      <c r="L72" s="7" t="n">
        <f aca="false">IF(C72="",1,0)</f>
        <v>0</v>
      </c>
    </row>
    <row r="73" customFormat="false" ht="15" hidden="false" customHeight="false" outlineLevel="0" collapsed="false">
      <c r="A73" s="16" t="s">
        <v>1681</v>
      </c>
      <c r="B73" s="16" t="s">
        <v>2757</v>
      </c>
      <c r="C73" s="16" t="s">
        <v>45</v>
      </c>
      <c r="D73" s="16" t="s">
        <v>2701</v>
      </c>
      <c r="E73" s="16" t="s">
        <v>2622</v>
      </c>
      <c r="F73" s="16" t="s">
        <v>2612</v>
      </c>
      <c r="G73" s="16" t="s">
        <v>831</v>
      </c>
      <c r="H73" s="16" t="s">
        <v>2758</v>
      </c>
      <c r="I73" s="7" t="n">
        <f aca="false">IF(COUNTIF($H$5:$H$336,H73)&gt;1,1,0)</f>
        <v>0</v>
      </c>
      <c r="J73" s="17" t="str">
        <f aca="false">INDEX($A$5:$A$336,MATCH(H73,$H$5:$H$336,0))</f>
        <v>A0069</v>
      </c>
      <c r="K73" s="17" t="str">
        <f aca="false">IF(C73&lt;&gt;"",C73,IF(INDEX($C$5:$C$336,MATCH(J73,$A$5:$A$336,0))&lt;&gt;"",INDEX($C$5:$C$336,MATCH(J73,$A$5:$A$336,0)),"Unassigned"))</f>
        <v>Public Sector &amp; Development</v>
      </c>
      <c r="L73" s="7" t="n">
        <f aca="false">IF(C73="",1,0)</f>
        <v>0</v>
      </c>
    </row>
    <row r="74" customFormat="false" ht="15" hidden="false" customHeight="false" outlineLevel="0" collapsed="false">
      <c r="A74" s="16" t="s">
        <v>363</v>
      </c>
      <c r="B74" s="16" t="s">
        <v>2759</v>
      </c>
      <c r="C74" s="16" t="s">
        <v>47</v>
      </c>
      <c r="D74" s="16" t="s">
        <v>2701</v>
      </c>
      <c r="E74" s="16" t="s">
        <v>2611</v>
      </c>
      <c r="F74" s="16" t="s">
        <v>2612</v>
      </c>
      <c r="G74" s="16" t="s">
        <v>677</v>
      </c>
      <c r="H74" s="16" t="s">
        <v>2760</v>
      </c>
      <c r="I74" s="7" t="n">
        <f aca="false">IF(COUNTIF($H$5:$H$336,H74)&gt;1,1,0)</f>
        <v>0</v>
      </c>
      <c r="J74" s="17" t="str">
        <f aca="false">INDEX($A$5:$A$336,MATCH(H74,$H$5:$H$336,0))</f>
        <v>A0070</v>
      </c>
      <c r="K74" s="17" t="str">
        <f aca="false">IF(C74&lt;&gt;"",C74,IF(INDEX($C$5:$C$336,MATCH(J74,$A$5:$A$336,0))&lt;&gt;"",INDEX($C$5:$C$336,MATCH(J74,$A$5:$A$336,0)),"Unassigned"))</f>
        <v>Technology, Media &amp; Telecom</v>
      </c>
      <c r="L74" s="7" t="n">
        <f aca="false">IF(C74="",1,0)</f>
        <v>0</v>
      </c>
    </row>
    <row r="75" customFormat="false" ht="15" hidden="false" customHeight="false" outlineLevel="0" collapsed="false">
      <c r="A75" s="16" t="s">
        <v>1134</v>
      </c>
      <c r="B75" s="16" t="s">
        <v>2761</v>
      </c>
      <c r="C75" s="16" t="s">
        <v>40</v>
      </c>
      <c r="D75" s="16" t="s">
        <v>2701</v>
      </c>
      <c r="E75" s="16" t="s">
        <v>2611</v>
      </c>
      <c r="F75" s="16" t="s">
        <v>2616</v>
      </c>
      <c r="G75" s="16" t="s">
        <v>729</v>
      </c>
      <c r="H75" s="16" t="s">
        <v>2762</v>
      </c>
      <c r="I75" s="7" t="n">
        <f aca="false">IF(COUNTIF($H$5:$H$336,H75)&gt;1,1,0)</f>
        <v>0</v>
      </c>
      <c r="J75" s="17" t="str">
        <f aca="false">INDEX($A$5:$A$336,MATCH(H75,$H$5:$H$336,0))</f>
        <v>A0071</v>
      </c>
      <c r="K75" s="17" t="str">
        <f aca="false">IF(C75&lt;&gt;"",C75,IF(INDEX($C$5:$C$336,MATCH(J75,$A$5:$A$336,0))&lt;&gt;"",INDEX($C$5:$C$336,MATCH(J75,$A$5:$A$336,0)),"Unassigned"))</f>
        <v>Agribusiness</v>
      </c>
      <c r="L75" s="7" t="n">
        <f aca="false">IF(C75="",1,0)</f>
        <v>0</v>
      </c>
    </row>
    <row r="76" customFormat="false" ht="15" hidden="false" customHeight="false" outlineLevel="0" collapsed="false">
      <c r="A76" s="16" t="s">
        <v>273</v>
      </c>
      <c r="B76" s="16" t="s">
        <v>2763</v>
      </c>
      <c r="C76" s="16" t="s">
        <v>43</v>
      </c>
      <c r="D76" s="16" t="s">
        <v>2701</v>
      </c>
      <c r="E76" s="16" t="s">
        <v>2611</v>
      </c>
      <c r="F76" s="16" t="s">
        <v>2612</v>
      </c>
      <c r="G76" s="16" t="s">
        <v>831</v>
      </c>
      <c r="H76" s="16" t="s">
        <v>2764</v>
      </c>
      <c r="I76" s="7" t="n">
        <f aca="false">IF(COUNTIF($H$5:$H$336,H76)&gt;1,1,0)</f>
        <v>0</v>
      </c>
      <c r="J76" s="17" t="str">
        <f aca="false">INDEX($A$5:$A$336,MATCH(H76,$H$5:$H$336,0))</f>
        <v>A0072</v>
      </c>
      <c r="K76" s="17" t="str">
        <f aca="false">IF(C76&lt;&gt;"",C76,IF(INDEX($C$5:$C$336,MATCH(J76,$A$5:$A$336,0))&lt;&gt;"",INDEX($C$5:$C$336,MATCH(J76,$A$5:$A$336,0)),"Unassigned"))</f>
        <v>Financial Services</v>
      </c>
      <c r="L76" s="7" t="n">
        <f aca="false">IF(C76="",1,0)</f>
        <v>0</v>
      </c>
    </row>
    <row r="77" customFormat="false" ht="15" hidden="false" customHeight="false" outlineLevel="0" collapsed="false">
      <c r="A77" s="16" t="s">
        <v>1689</v>
      </c>
      <c r="B77" s="16" t="s">
        <v>2765</v>
      </c>
      <c r="C77" s="16" t="s">
        <v>43</v>
      </c>
      <c r="D77" s="16" t="s">
        <v>2701</v>
      </c>
      <c r="E77" s="16" t="s">
        <v>2619</v>
      </c>
      <c r="F77" s="16" t="s">
        <v>2635</v>
      </c>
      <c r="G77" s="16" t="s">
        <v>691</v>
      </c>
      <c r="H77" s="16" t="s">
        <v>2766</v>
      </c>
      <c r="I77" s="7" t="n">
        <f aca="false">IF(COUNTIF($H$5:$H$336,H77)&gt;1,1,0)</f>
        <v>0</v>
      </c>
      <c r="J77" s="17" t="str">
        <f aca="false">INDEX($A$5:$A$336,MATCH(H77,$H$5:$H$336,0))</f>
        <v>A0073</v>
      </c>
      <c r="K77" s="17" t="str">
        <f aca="false">IF(C77&lt;&gt;"",C77,IF(INDEX($C$5:$C$336,MATCH(J77,$A$5:$A$336,0))&lt;&gt;"",INDEX($C$5:$C$336,MATCH(J77,$A$5:$A$336,0)),"Unassigned"))</f>
        <v>Financial Services</v>
      </c>
      <c r="L77" s="7" t="n">
        <f aca="false">IF(C77="",1,0)</f>
        <v>0</v>
      </c>
    </row>
    <row r="78" customFormat="false" ht="15" hidden="false" customHeight="false" outlineLevel="0" collapsed="false">
      <c r="A78" s="16" t="s">
        <v>338</v>
      </c>
      <c r="B78" s="16" t="s">
        <v>2767</v>
      </c>
      <c r="C78" s="16" t="s">
        <v>44</v>
      </c>
      <c r="D78" s="16" t="s">
        <v>2701</v>
      </c>
      <c r="E78" s="16" t="s">
        <v>2619</v>
      </c>
      <c r="F78" s="16" t="s">
        <v>2612</v>
      </c>
      <c r="G78" s="16" t="s">
        <v>600</v>
      </c>
      <c r="H78" s="16" t="s">
        <v>2768</v>
      </c>
      <c r="I78" s="7" t="n">
        <f aca="false">IF(COUNTIF($H$5:$H$336,H78)&gt;1,1,0)</f>
        <v>0</v>
      </c>
      <c r="J78" s="17" t="str">
        <f aca="false">INDEX($A$5:$A$336,MATCH(H78,$H$5:$H$336,0))</f>
        <v>A0074</v>
      </c>
      <c r="K78" s="17" t="str">
        <f aca="false">IF(C78&lt;&gt;"",C78,IF(INDEX($C$5:$C$336,MATCH(J78,$A$5:$A$336,0))&lt;&gt;"",INDEX($C$5:$C$336,MATCH(J78,$A$5:$A$336,0)),"Unassigned"))</f>
        <v>Health</v>
      </c>
      <c r="L78" s="7" t="n">
        <f aca="false">IF(C78="",1,0)</f>
        <v>0</v>
      </c>
    </row>
    <row r="79" customFormat="false" ht="15" hidden="false" customHeight="false" outlineLevel="0" collapsed="false">
      <c r="A79" s="16" t="s">
        <v>476</v>
      </c>
      <c r="B79" s="16" t="s">
        <v>2769</v>
      </c>
      <c r="C79" s="16" t="s">
        <v>46</v>
      </c>
      <c r="D79" s="16" t="s">
        <v>2701</v>
      </c>
      <c r="E79" s="16" t="s">
        <v>2619</v>
      </c>
      <c r="F79" s="16" t="s">
        <v>2612</v>
      </c>
      <c r="G79" s="16" t="s">
        <v>646</v>
      </c>
      <c r="H79" s="16" t="s">
        <v>2770</v>
      </c>
      <c r="I79" s="7" t="n">
        <f aca="false">IF(COUNTIF($H$5:$H$336,H79)&gt;1,1,0)</f>
        <v>0</v>
      </c>
      <c r="J79" s="17" t="str">
        <f aca="false">INDEX($A$5:$A$336,MATCH(H79,$H$5:$H$336,0))</f>
        <v>A0075</v>
      </c>
      <c r="K79" s="17" t="str">
        <f aca="false">IF(C79&lt;&gt;"",C79,IF(INDEX($C$5:$C$336,MATCH(J79,$A$5:$A$336,0))&lt;&gt;"",INDEX($C$5:$C$336,MATCH(J79,$A$5:$A$336,0)),"Unassigned"))</f>
        <v>Real Estate &amp; Infrastructure</v>
      </c>
      <c r="L79" s="7" t="n">
        <f aca="false">IF(C79="",1,0)</f>
        <v>0</v>
      </c>
    </row>
    <row r="80" customFormat="false" ht="15" hidden="false" customHeight="false" outlineLevel="0" collapsed="false">
      <c r="A80" s="16" t="s">
        <v>1184</v>
      </c>
      <c r="B80" s="16" t="s">
        <v>2771</v>
      </c>
      <c r="C80" s="16" t="s">
        <v>41</v>
      </c>
      <c r="D80" s="16" t="s">
        <v>2701</v>
      </c>
      <c r="E80" s="16" t="s">
        <v>2615</v>
      </c>
      <c r="F80" s="16" t="s">
        <v>2612</v>
      </c>
      <c r="G80" s="16" t="s">
        <v>646</v>
      </c>
      <c r="H80" s="16" t="s">
        <v>2772</v>
      </c>
      <c r="I80" s="7" t="n">
        <f aca="false">IF(COUNTIF($H$5:$H$336,H80)&gt;1,1,0)</f>
        <v>0</v>
      </c>
      <c r="J80" s="17" t="str">
        <f aca="false">INDEX($A$5:$A$336,MATCH(H80,$H$5:$H$336,0))</f>
        <v>A0076</v>
      </c>
      <c r="K80" s="17" t="str">
        <f aca="false">IF(C80&lt;&gt;"",C80,IF(INDEX($C$5:$C$336,MATCH(J80,$A$5:$A$336,0))&lt;&gt;"",INDEX($C$5:$C$336,MATCH(J80,$A$5:$A$336,0)),"Unassigned"))</f>
        <v>Consumer &amp; Retail</v>
      </c>
      <c r="L80" s="7" t="n">
        <f aca="false">IF(C80="",1,0)</f>
        <v>0</v>
      </c>
    </row>
    <row r="81" customFormat="false" ht="15" hidden="false" customHeight="false" outlineLevel="0" collapsed="false">
      <c r="A81" s="16" t="s">
        <v>644</v>
      </c>
      <c r="B81" s="16" t="s">
        <v>2773</v>
      </c>
      <c r="C81" s="16" t="s">
        <v>41</v>
      </c>
      <c r="D81" s="16" t="s">
        <v>2701</v>
      </c>
      <c r="E81" s="16" t="s">
        <v>2658</v>
      </c>
      <c r="F81" s="16" t="s">
        <v>2612</v>
      </c>
      <c r="G81" s="16" t="s">
        <v>646</v>
      </c>
      <c r="H81" s="16" t="s">
        <v>2774</v>
      </c>
      <c r="I81" s="7" t="n">
        <f aca="false">IF(COUNTIF($H$5:$H$336,H81)&gt;1,1,0)</f>
        <v>0</v>
      </c>
      <c r="J81" s="17" t="str">
        <f aca="false">INDEX($A$5:$A$336,MATCH(H81,$H$5:$H$336,0))</f>
        <v>A0077</v>
      </c>
      <c r="K81" s="17" t="str">
        <f aca="false">IF(C81&lt;&gt;"",C81,IF(INDEX($C$5:$C$336,MATCH(J81,$A$5:$A$336,0))&lt;&gt;"",INDEX($C$5:$C$336,MATCH(J81,$A$5:$A$336,0)),"Unassigned"))</f>
        <v>Consumer &amp; Retail</v>
      </c>
      <c r="L81" s="7" t="n">
        <f aca="false">IF(C81="",1,0)</f>
        <v>0</v>
      </c>
    </row>
    <row r="82" customFormat="false" ht="15" hidden="false" customHeight="false" outlineLevel="0" collapsed="false">
      <c r="A82" s="16" t="s">
        <v>2442</v>
      </c>
      <c r="B82" s="16" t="s">
        <v>2775</v>
      </c>
      <c r="C82" s="16" t="s">
        <v>43</v>
      </c>
      <c r="D82" s="16" t="s">
        <v>2701</v>
      </c>
      <c r="E82" s="16" t="s">
        <v>2622</v>
      </c>
      <c r="F82" s="16" t="s">
        <v>2616</v>
      </c>
      <c r="G82" s="16" t="s">
        <v>831</v>
      </c>
      <c r="H82" s="16" t="s">
        <v>2776</v>
      </c>
      <c r="I82" s="7" t="n">
        <f aca="false">IF(COUNTIF($H$5:$H$336,H82)&gt;1,1,0)</f>
        <v>0</v>
      </c>
      <c r="J82" s="17" t="str">
        <f aca="false">INDEX($A$5:$A$336,MATCH(H82,$H$5:$H$336,0))</f>
        <v>A0078</v>
      </c>
      <c r="K82" s="17" t="str">
        <f aca="false">IF(C82&lt;&gt;"",C82,IF(INDEX($C$5:$C$336,MATCH(J82,$A$5:$A$336,0))&lt;&gt;"",INDEX($C$5:$C$336,MATCH(J82,$A$5:$A$336,0)),"Unassigned"))</f>
        <v>Financial Services</v>
      </c>
      <c r="L82" s="7" t="n">
        <f aca="false">IF(C82="",1,0)</f>
        <v>0</v>
      </c>
    </row>
    <row r="83" customFormat="false" ht="15" hidden="false" customHeight="false" outlineLevel="0" collapsed="false">
      <c r="A83" s="16" t="s">
        <v>1028</v>
      </c>
      <c r="B83" s="16" t="s">
        <v>2777</v>
      </c>
      <c r="C83" s="16" t="s">
        <v>43</v>
      </c>
      <c r="D83" s="16" t="s">
        <v>2701</v>
      </c>
      <c r="E83" s="16" t="s">
        <v>2658</v>
      </c>
      <c r="F83" s="16" t="s">
        <v>2616</v>
      </c>
      <c r="G83" s="16" t="s">
        <v>600</v>
      </c>
      <c r="H83" s="16" t="s">
        <v>2778</v>
      </c>
      <c r="I83" s="7" t="n">
        <f aca="false">IF(COUNTIF($H$5:$H$336,H83)&gt;1,1,0)</f>
        <v>0</v>
      </c>
      <c r="J83" s="17" t="str">
        <f aca="false">INDEX($A$5:$A$336,MATCH(H83,$H$5:$H$336,0))</f>
        <v>A0079</v>
      </c>
      <c r="K83" s="17" t="str">
        <f aca="false">IF(C83&lt;&gt;"",C83,IF(INDEX($C$5:$C$336,MATCH(J83,$A$5:$A$336,0))&lt;&gt;"",INDEX($C$5:$C$336,MATCH(J83,$A$5:$A$336,0)),"Unassigned"))</f>
        <v>Financial Services</v>
      </c>
      <c r="L83" s="7" t="n">
        <f aca="false">IF(C83="",1,0)</f>
        <v>0</v>
      </c>
    </row>
    <row r="84" customFormat="false" ht="15" hidden="false" customHeight="false" outlineLevel="0" collapsed="false">
      <c r="A84" s="16" t="s">
        <v>379</v>
      </c>
      <c r="B84" s="16" t="s">
        <v>2779</v>
      </c>
      <c r="C84" s="16"/>
      <c r="D84" s="16" t="s">
        <v>2701</v>
      </c>
      <c r="E84" s="16" t="s">
        <v>2658</v>
      </c>
      <c r="F84" s="16" t="s">
        <v>2612</v>
      </c>
      <c r="G84" s="16" t="s">
        <v>765</v>
      </c>
      <c r="H84" s="16" t="s">
        <v>2780</v>
      </c>
      <c r="I84" s="7" t="n">
        <f aca="false">IF(COUNTIF($H$5:$H$336,H84)&gt;1,1,0)</f>
        <v>0</v>
      </c>
      <c r="J84" s="17" t="str">
        <f aca="false">INDEX($A$5:$A$336,MATCH(H84,$H$5:$H$336,0))</f>
        <v>A0080</v>
      </c>
      <c r="K84" s="17" t="str">
        <f aca="false">IF(C84&lt;&gt;"",C84,IF(INDEX($C$5:$C$336,MATCH(J84,$A$5:$A$336,0))&lt;&gt;"",INDEX($C$5:$C$336,MATCH(J84,$A$5:$A$336,0)),"Unassigned"))</f>
        <v>Unassigned</v>
      </c>
      <c r="L84" s="7" t="n">
        <f aca="false">IF(C84="",1,0)</f>
        <v>1</v>
      </c>
    </row>
    <row r="85" customFormat="false" ht="15" hidden="false" customHeight="false" outlineLevel="0" collapsed="false">
      <c r="A85" s="16" t="s">
        <v>365</v>
      </c>
      <c r="B85" s="16" t="s">
        <v>2781</v>
      </c>
      <c r="C85" s="16" t="s">
        <v>42</v>
      </c>
      <c r="D85" s="16" t="s">
        <v>2701</v>
      </c>
      <c r="E85" s="16" t="s">
        <v>2615</v>
      </c>
      <c r="F85" s="16" t="s">
        <v>2612</v>
      </c>
      <c r="G85" s="16" t="s">
        <v>666</v>
      </c>
      <c r="H85" s="16" t="s">
        <v>2782</v>
      </c>
      <c r="I85" s="7" t="n">
        <f aca="false">IF(COUNTIF($H$5:$H$336,H85)&gt;1,1,0)</f>
        <v>0</v>
      </c>
      <c r="J85" s="17" t="str">
        <f aca="false">INDEX($A$5:$A$336,MATCH(H85,$H$5:$H$336,0))</f>
        <v>A0081</v>
      </c>
      <c r="K85" s="17" t="str">
        <f aca="false">IF(C85&lt;&gt;"",C85,IF(INDEX($C$5:$C$336,MATCH(J85,$A$5:$A$336,0))&lt;&gt;"",INDEX($C$5:$C$336,MATCH(J85,$A$5:$A$336,0)),"Unassigned"))</f>
        <v>Energy &amp; Resources</v>
      </c>
      <c r="L85" s="7" t="n">
        <f aca="false">IF(C85="",1,0)</f>
        <v>0</v>
      </c>
    </row>
    <row r="86" customFormat="false" ht="15" hidden="false" customHeight="false" outlineLevel="0" collapsed="false">
      <c r="A86" s="16" t="s">
        <v>404</v>
      </c>
      <c r="B86" s="16" t="s">
        <v>2783</v>
      </c>
      <c r="C86" s="16" t="s">
        <v>41</v>
      </c>
      <c r="D86" s="16" t="s">
        <v>2701</v>
      </c>
      <c r="E86" s="16" t="s">
        <v>2658</v>
      </c>
      <c r="F86" s="16" t="s">
        <v>2616</v>
      </c>
      <c r="G86" s="16" t="s">
        <v>704</v>
      </c>
      <c r="H86" s="16" t="s">
        <v>2784</v>
      </c>
      <c r="I86" s="7" t="n">
        <f aca="false">IF(COUNTIF($H$5:$H$336,H86)&gt;1,1,0)</f>
        <v>0</v>
      </c>
      <c r="J86" s="17" t="str">
        <f aca="false">INDEX($A$5:$A$336,MATCH(H86,$H$5:$H$336,0))</f>
        <v>A0082</v>
      </c>
      <c r="K86" s="17" t="str">
        <f aca="false">IF(C86&lt;&gt;"",C86,IF(INDEX($C$5:$C$336,MATCH(J86,$A$5:$A$336,0))&lt;&gt;"",INDEX($C$5:$C$336,MATCH(J86,$A$5:$A$336,0)),"Unassigned"))</f>
        <v>Consumer &amp; Retail</v>
      </c>
      <c r="L86" s="7" t="n">
        <f aca="false">IF(C86="",1,0)</f>
        <v>0</v>
      </c>
    </row>
    <row r="87" customFormat="false" ht="15" hidden="false" customHeight="false" outlineLevel="0" collapsed="false">
      <c r="A87" s="16" t="s">
        <v>687</v>
      </c>
      <c r="B87" s="16" t="s">
        <v>2785</v>
      </c>
      <c r="C87" s="16" t="s">
        <v>41</v>
      </c>
      <c r="D87" s="16" t="s">
        <v>2701</v>
      </c>
      <c r="E87" s="16" t="s">
        <v>2611</v>
      </c>
      <c r="F87" s="16" t="s">
        <v>2612</v>
      </c>
      <c r="G87" s="16" t="s">
        <v>663</v>
      </c>
      <c r="H87" s="16" t="s">
        <v>2786</v>
      </c>
      <c r="I87" s="7" t="n">
        <f aca="false">IF(COUNTIF($H$5:$H$336,H87)&gt;1,1,0)</f>
        <v>0</v>
      </c>
      <c r="J87" s="17" t="str">
        <f aca="false">INDEX($A$5:$A$336,MATCH(H87,$H$5:$H$336,0))</f>
        <v>A0083</v>
      </c>
      <c r="K87" s="17" t="str">
        <f aca="false">IF(C87&lt;&gt;"",C87,IF(INDEX($C$5:$C$336,MATCH(J87,$A$5:$A$336,0))&lt;&gt;"",INDEX($C$5:$C$336,MATCH(J87,$A$5:$A$336,0)),"Unassigned"))</f>
        <v>Consumer &amp; Retail</v>
      </c>
      <c r="L87" s="7" t="n">
        <f aca="false">IF(C87="",1,0)</f>
        <v>0</v>
      </c>
    </row>
    <row r="88" customFormat="false" ht="15" hidden="false" customHeight="false" outlineLevel="0" collapsed="false">
      <c r="A88" s="16" t="s">
        <v>2787</v>
      </c>
      <c r="B88" s="16" t="s">
        <v>2788</v>
      </c>
      <c r="C88" s="16" t="s">
        <v>47</v>
      </c>
      <c r="D88" s="16" t="s">
        <v>2701</v>
      </c>
      <c r="E88" s="16" t="s">
        <v>2615</v>
      </c>
      <c r="F88" s="16" t="s">
        <v>2612</v>
      </c>
      <c r="G88" s="16" t="s">
        <v>578</v>
      </c>
      <c r="H88" s="16" t="s">
        <v>2789</v>
      </c>
      <c r="I88" s="7" t="n">
        <f aca="false">IF(COUNTIF($H$5:$H$336,H88)&gt;1,1,0)</f>
        <v>0</v>
      </c>
      <c r="J88" s="17" t="str">
        <f aca="false">INDEX($A$5:$A$336,MATCH(H88,$H$5:$H$336,0))</f>
        <v>A0084</v>
      </c>
      <c r="K88" s="17" t="str">
        <f aca="false">IF(C88&lt;&gt;"",C88,IF(INDEX($C$5:$C$336,MATCH(J88,$A$5:$A$336,0))&lt;&gt;"",INDEX($C$5:$C$336,MATCH(J88,$A$5:$A$336,0)),"Unassigned"))</f>
        <v>Technology, Media &amp; Telecom</v>
      </c>
      <c r="L88" s="7" t="n">
        <f aca="false">IF(C88="",1,0)</f>
        <v>0</v>
      </c>
    </row>
    <row r="89" customFormat="false" ht="15" hidden="false" customHeight="false" outlineLevel="0" collapsed="false">
      <c r="A89" s="16" t="s">
        <v>193</v>
      </c>
      <c r="B89" s="16" t="s">
        <v>2790</v>
      </c>
      <c r="C89" s="16"/>
      <c r="D89" s="16" t="s">
        <v>2701</v>
      </c>
      <c r="E89" s="16" t="s">
        <v>2615</v>
      </c>
      <c r="F89" s="16" t="s">
        <v>2612</v>
      </c>
      <c r="G89" s="16" t="s">
        <v>640</v>
      </c>
      <c r="H89" s="16" t="s">
        <v>2791</v>
      </c>
      <c r="I89" s="7" t="n">
        <f aca="false">IF(COUNTIF($H$5:$H$336,H89)&gt;1,1,0)</f>
        <v>1</v>
      </c>
      <c r="J89" s="17" t="str">
        <f aca="false">INDEX($A$5:$A$336,MATCH(H89,$H$5:$H$336,0))</f>
        <v>A0085</v>
      </c>
      <c r="K89" s="17" t="str">
        <f aca="false">IF(C89&lt;&gt;"",C89,IF(INDEX($C$5:$C$336,MATCH(J89,$A$5:$A$336,0))&lt;&gt;"",INDEX($C$5:$C$336,MATCH(J89,$A$5:$A$336,0)),"Unassigned"))</f>
        <v>Unassigned</v>
      </c>
      <c r="L89" s="7" t="n">
        <f aca="false">IF(C89="",1,0)</f>
        <v>1</v>
      </c>
    </row>
    <row r="90" customFormat="false" ht="15" hidden="false" customHeight="false" outlineLevel="0" collapsed="false">
      <c r="A90" s="16" t="s">
        <v>681</v>
      </c>
      <c r="B90" s="16" t="s">
        <v>2792</v>
      </c>
      <c r="C90" s="16" t="s">
        <v>46</v>
      </c>
      <c r="D90" s="16" t="s">
        <v>2701</v>
      </c>
      <c r="E90" s="16" t="s">
        <v>2611</v>
      </c>
      <c r="F90" s="16" t="s">
        <v>2612</v>
      </c>
      <c r="G90" s="16" t="s">
        <v>573</v>
      </c>
      <c r="H90" s="16" t="s">
        <v>2793</v>
      </c>
      <c r="I90" s="7" t="n">
        <f aca="false">IF(COUNTIF($H$5:$H$336,H90)&gt;1,1,0)</f>
        <v>0</v>
      </c>
      <c r="J90" s="17" t="str">
        <f aca="false">INDEX($A$5:$A$336,MATCH(H90,$H$5:$H$336,0))</f>
        <v>A0086</v>
      </c>
      <c r="K90" s="17" t="str">
        <f aca="false">IF(C90&lt;&gt;"",C90,IF(INDEX($C$5:$C$336,MATCH(J90,$A$5:$A$336,0))&lt;&gt;"",INDEX($C$5:$C$336,MATCH(J90,$A$5:$A$336,0)),"Unassigned"))</f>
        <v>Real Estate &amp; Infrastructure</v>
      </c>
      <c r="L90" s="7" t="n">
        <f aca="false">IF(C90="",1,0)</f>
        <v>0</v>
      </c>
    </row>
    <row r="91" customFormat="false" ht="15" hidden="false" customHeight="false" outlineLevel="0" collapsed="false">
      <c r="A91" s="16" t="s">
        <v>411</v>
      </c>
      <c r="B91" s="16" t="s">
        <v>2794</v>
      </c>
      <c r="C91" s="16" t="s">
        <v>45</v>
      </c>
      <c r="D91" s="16" t="s">
        <v>2701</v>
      </c>
      <c r="E91" s="16" t="s">
        <v>2611</v>
      </c>
      <c r="F91" s="16" t="s">
        <v>2612</v>
      </c>
      <c r="G91" s="16" t="s">
        <v>622</v>
      </c>
      <c r="H91" s="16" t="s">
        <v>2795</v>
      </c>
      <c r="I91" s="7" t="n">
        <f aca="false">IF(COUNTIF($H$5:$H$336,H91)&gt;1,1,0)</f>
        <v>0</v>
      </c>
      <c r="J91" s="17" t="str">
        <f aca="false">INDEX($A$5:$A$336,MATCH(H91,$H$5:$H$336,0))</f>
        <v>A0087</v>
      </c>
      <c r="K91" s="17" t="str">
        <f aca="false">IF(C91&lt;&gt;"",C91,IF(INDEX($C$5:$C$336,MATCH(J91,$A$5:$A$336,0))&lt;&gt;"",INDEX($C$5:$C$336,MATCH(J91,$A$5:$A$336,0)),"Unassigned"))</f>
        <v>Public Sector &amp; Development</v>
      </c>
      <c r="L91" s="7" t="n">
        <f aca="false">IF(C91="",1,0)</f>
        <v>0</v>
      </c>
    </row>
    <row r="92" customFormat="false" ht="15" hidden="false" customHeight="false" outlineLevel="0" collapsed="false">
      <c r="A92" s="16" t="s">
        <v>431</v>
      </c>
      <c r="B92" s="16" t="s">
        <v>2796</v>
      </c>
      <c r="C92" s="16" t="s">
        <v>45</v>
      </c>
      <c r="D92" s="16" t="s">
        <v>2701</v>
      </c>
      <c r="E92" s="16" t="s">
        <v>2619</v>
      </c>
      <c r="F92" s="16" t="s">
        <v>2612</v>
      </c>
      <c r="G92" s="16" t="s">
        <v>596</v>
      </c>
      <c r="H92" s="16" t="s">
        <v>2797</v>
      </c>
      <c r="I92" s="7" t="n">
        <f aca="false">IF(COUNTIF($H$5:$H$336,H92)&gt;1,1,0)</f>
        <v>0</v>
      </c>
      <c r="J92" s="17" t="str">
        <f aca="false">INDEX($A$5:$A$336,MATCH(H92,$H$5:$H$336,0))</f>
        <v>A0088</v>
      </c>
      <c r="K92" s="17" t="str">
        <f aca="false">IF(C92&lt;&gt;"",C92,IF(INDEX($C$5:$C$336,MATCH(J92,$A$5:$A$336,0))&lt;&gt;"",INDEX($C$5:$C$336,MATCH(J92,$A$5:$A$336,0)),"Unassigned"))</f>
        <v>Public Sector &amp; Development</v>
      </c>
      <c r="L92" s="7" t="n">
        <f aca="false">IF(C92="",1,0)</f>
        <v>0</v>
      </c>
    </row>
    <row r="93" customFormat="false" ht="15" hidden="false" customHeight="false" outlineLevel="0" collapsed="false">
      <c r="A93" s="16" t="s">
        <v>1137</v>
      </c>
      <c r="B93" s="16" t="s">
        <v>2798</v>
      </c>
      <c r="C93" s="16" t="s">
        <v>41</v>
      </c>
      <c r="D93" s="16" t="s">
        <v>2701</v>
      </c>
      <c r="E93" s="16" t="s">
        <v>2658</v>
      </c>
      <c r="F93" s="16" t="s">
        <v>2635</v>
      </c>
      <c r="G93" s="16" t="s">
        <v>666</v>
      </c>
      <c r="H93" s="16" t="s">
        <v>2799</v>
      </c>
      <c r="I93" s="7" t="n">
        <f aca="false">IF(COUNTIF($H$5:$H$336,H93)&gt;1,1,0)</f>
        <v>0</v>
      </c>
      <c r="J93" s="17" t="str">
        <f aca="false">INDEX($A$5:$A$336,MATCH(H93,$H$5:$H$336,0))</f>
        <v>A0089</v>
      </c>
      <c r="K93" s="17" t="str">
        <f aca="false">IF(C93&lt;&gt;"",C93,IF(INDEX($C$5:$C$336,MATCH(J93,$A$5:$A$336,0))&lt;&gt;"",INDEX($C$5:$C$336,MATCH(J93,$A$5:$A$336,0)),"Unassigned"))</f>
        <v>Consumer &amp; Retail</v>
      </c>
      <c r="L93" s="7" t="n">
        <f aca="false">IF(C93="",1,0)</f>
        <v>0</v>
      </c>
    </row>
    <row r="94" customFormat="false" ht="15" hidden="false" customHeight="false" outlineLevel="0" collapsed="false">
      <c r="A94" s="16" t="s">
        <v>1358</v>
      </c>
      <c r="B94" s="16" t="s">
        <v>2800</v>
      </c>
      <c r="C94" s="16" t="s">
        <v>40</v>
      </c>
      <c r="D94" s="16" t="s">
        <v>2701</v>
      </c>
      <c r="E94" s="16" t="s">
        <v>2611</v>
      </c>
      <c r="F94" s="16" t="s">
        <v>2616</v>
      </c>
      <c r="G94" s="16" t="s">
        <v>588</v>
      </c>
      <c r="H94" s="16" t="s">
        <v>2801</v>
      </c>
      <c r="I94" s="7" t="n">
        <f aca="false">IF(COUNTIF($H$5:$H$336,H94)&gt;1,1,0)</f>
        <v>0</v>
      </c>
      <c r="J94" s="17" t="str">
        <f aca="false">INDEX($A$5:$A$336,MATCH(H94,$H$5:$H$336,0))</f>
        <v>A0090</v>
      </c>
      <c r="K94" s="17" t="str">
        <f aca="false">IF(C94&lt;&gt;"",C94,IF(INDEX($C$5:$C$336,MATCH(J94,$A$5:$A$336,0))&lt;&gt;"",INDEX($C$5:$C$336,MATCH(J94,$A$5:$A$336,0)),"Unassigned"))</f>
        <v>Agribusiness</v>
      </c>
      <c r="L94" s="7" t="n">
        <f aca="false">IF(C94="",1,0)</f>
        <v>0</v>
      </c>
    </row>
    <row r="95" customFormat="false" ht="15" hidden="false" customHeight="false" outlineLevel="0" collapsed="false">
      <c r="A95" s="16" t="s">
        <v>668</v>
      </c>
      <c r="B95" s="16" t="s">
        <v>2802</v>
      </c>
      <c r="C95" s="16" t="s">
        <v>45</v>
      </c>
      <c r="D95" s="16" t="s">
        <v>2701</v>
      </c>
      <c r="E95" s="16" t="s">
        <v>2658</v>
      </c>
      <c r="F95" s="16" t="s">
        <v>2612</v>
      </c>
      <c r="G95" s="16" t="s">
        <v>583</v>
      </c>
      <c r="H95" s="16" t="s">
        <v>2803</v>
      </c>
      <c r="I95" s="7" t="n">
        <f aca="false">IF(COUNTIF($H$5:$H$336,H95)&gt;1,1,0)</f>
        <v>0</v>
      </c>
      <c r="J95" s="17" t="str">
        <f aca="false">INDEX($A$5:$A$336,MATCH(H95,$H$5:$H$336,0))</f>
        <v>A0091</v>
      </c>
      <c r="K95" s="17" t="str">
        <f aca="false">IF(C95&lt;&gt;"",C95,IF(INDEX($C$5:$C$336,MATCH(J95,$A$5:$A$336,0))&lt;&gt;"",INDEX($C$5:$C$336,MATCH(J95,$A$5:$A$336,0)),"Unassigned"))</f>
        <v>Public Sector &amp; Development</v>
      </c>
      <c r="L95" s="7" t="n">
        <f aca="false">IF(C95="",1,0)</f>
        <v>0</v>
      </c>
    </row>
    <row r="96" customFormat="false" ht="15" hidden="false" customHeight="false" outlineLevel="0" collapsed="false">
      <c r="A96" s="16" t="s">
        <v>220</v>
      </c>
      <c r="B96" s="16" t="s">
        <v>2804</v>
      </c>
      <c r="C96" s="16" t="s">
        <v>41</v>
      </c>
      <c r="D96" s="16" t="s">
        <v>2701</v>
      </c>
      <c r="E96" s="16" t="s">
        <v>2619</v>
      </c>
      <c r="F96" s="16" t="s">
        <v>2612</v>
      </c>
      <c r="G96" s="16" t="s">
        <v>880</v>
      </c>
      <c r="H96" s="16" t="s">
        <v>2805</v>
      </c>
      <c r="I96" s="7" t="n">
        <f aca="false">IF(COUNTIF($H$5:$H$336,H96)&gt;1,1,0)</f>
        <v>0</v>
      </c>
      <c r="J96" s="17" t="str">
        <f aca="false">INDEX($A$5:$A$336,MATCH(H96,$H$5:$H$336,0))</f>
        <v>A0092</v>
      </c>
      <c r="K96" s="17" t="str">
        <f aca="false">IF(C96&lt;&gt;"",C96,IF(INDEX($C$5:$C$336,MATCH(J96,$A$5:$A$336,0))&lt;&gt;"",INDEX($C$5:$C$336,MATCH(J96,$A$5:$A$336,0)),"Unassigned"))</f>
        <v>Consumer &amp; Retail</v>
      </c>
      <c r="L96" s="7" t="n">
        <f aca="false">IF(C96="",1,0)</f>
        <v>0</v>
      </c>
    </row>
    <row r="97" customFormat="false" ht="15" hidden="false" customHeight="false" outlineLevel="0" collapsed="false">
      <c r="A97" s="16" t="s">
        <v>945</v>
      </c>
      <c r="B97" s="16" t="s">
        <v>2806</v>
      </c>
      <c r="C97" s="16" t="s">
        <v>45</v>
      </c>
      <c r="D97" s="16" t="s">
        <v>2701</v>
      </c>
      <c r="E97" s="16" t="s">
        <v>2619</v>
      </c>
      <c r="F97" s="16" t="s">
        <v>2612</v>
      </c>
      <c r="G97" s="16" t="s">
        <v>573</v>
      </c>
      <c r="H97" s="16" t="s">
        <v>2807</v>
      </c>
      <c r="I97" s="7" t="n">
        <f aca="false">IF(COUNTIF($H$5:$H$336,H97)&gt;1,1,0)</f>
        <v>0</v>
      </c>
      <c r="J97" s="17" t="str">
        <f aca="false">INDEX($A$5:$A$336,MATCH(H97,$H$5:$H$336,0))</f>
        <v>A0093</v>
      </c>
      <c r="K97" s="17" t="str">
        <f aca="false">IF(C97&lt;&gt;"",C97,IF(INDEX($C$5:$C$336,MATCH(J97,$A$5:$A$336,0))&lt;&gt;"",INDEX($C$5:$C$336,MATCH(J97,$A$5:$A$336,0)),"Unassigned"))</f>
        <v>Public Sector &amp; Development</v>
      </c>
      <c r="L97" s="7" t="n">
        <f aca="false">IF(C97="",1,0)</f>
        <v>0</v>
      </c>
    </row>
    <row r="98" customFormat="false" ht="15" hidden="false" customHeight="false" outlineLevel="0" collapsed="false">
      <c r="A98" s="16" t="s">
        <v>952</v>
      </c>
      <c r="B98" s="16" t="s">
        <v>2808</v>
      </c>
      <c r="C98" s="16" t="s">
        <v>45</v>
      </c>
      <c r="D98" s="16" t="s">
        <v>2701</v>
      </c>
      <c r="E98" s="16" t="s">
        <v>2658</v>
      </c>
      <c r="F98" s="16" t="s">
        <v>2612</v>
      </c>
      <c r="G98" s="16" t="s">
        <v>765</v>
      </c>
      <c r="H98" s="16" t="s">
        <v>2809</v>
      </c>
      <c r="I98" s="7" t="n">
        <f aca="false">IF(COUNTIF($H$5:$H$336,H98)&gt;1,1,0)</f>
        <v>0</v>
      </c>
      <c r="J98" s="17" t="str">
        <f aca="false">INDEX($A$5:$A$336,MATCH(H98,$H$5:$H$336,0))</f>
        <v>A0094</v>
      </c>
      <c r="K98" s="17" t="str">
        <f aca="false">IF(C98&lt;&gt;"",C98,IF(INDEX($C$5:$C$336,MATCH(J98,$A$5:$A$336,0))&lt;&gt;"",INDEX($C$5:$C$336,MATCH(J98,$A$5:$A$336,0)),"Unassigned"))</f>
        <v>Public Sector &amp; Development</v>
      </c>
      <c r="L98" s="7" t="n">
        <f aca="false">IF(C98="",1,0)</f>
        <v>0</v>
      </c>
    </row>
    <row r="99" customFormat="false" ht="15" hidden="false" customHeight="false" outlineLevel="0" collapsed="false">
      <c r="A99" s="16" t="s">
        <v>702</v>
      </c>
      <c r="B99" s="16" t="s">
        <v>2810</v>
      </c>
      <c r="C99" s="16" t="s">
        <v>41</v>
      </c>
      <c r="D99" s="16" t="s">
        <v>2701</v>
      </c>
      <c r="E99" s="16" t="s">
        <v>2658</v>
      </c>
      <c r="F99" s="16" t="s">
        <v>2612</v>
      </c>
      <c r="G99" s="16" t="s">
        <v>704</v>
      </c>
      <c r="H99" s="16" t="s">
        <v>2811</v>
      </c>
      <c r="I99" s="7" t="n">
        <f aca="false">IF(COUNTIF($H$5:$H$336,H99)&gt;1,1,0)</f>
        <v>0</v>
      </c>
      <c r="J99" s="17" t="str">
        <f aca="false">INDEX($A$5:$A$336,MATCH(H99,$H$5:$H$336,0))</f>
        <v>A0095</v>
      </c>
      <c r="K99" s="17" t="str">
        <f aca="false">IF(C99&lt;&gt;"",C99,IF(INDEX($C$5:$C$336,MATCH(J99,$A$5:$A$336,0))&lt;&gt;"",INDEX($C$5:$C$336,MATCH(J99,$A$5:$A$336,0)),"Unassigned"))</f>
        <v>Consumer &amp; Retail</v>
      </c>
      <c r="L99" s="7" t="n">
        <f aca="false">IF(C99="",1,0)</f>
        <v>0</v>
      </c>
    </row>
    <row r="100" customFormat="false" ht="15" hidden="false" customHeight="false" outlineLevel="0" collapsed="false">
      <c r="A100" s="16" t="s">
        <v>394</v>
      </c>
      <c r="B100" s="16" t="s">
        <v>2812</v>
      </c>
      <c r="C100" s="16" t="s">
        <v>42</v>
      </c>
      <c r="D100" s="16" t="s">
        <v>2701</v>
      </c>
      <c r="E100" s="16" t="s">
        <v>2619</v>
      </c>
      <c r="F100" s="16" t="s">
        <v>2662</v>
      </c>
      <c r="G100" s="16" t="s">
        <v>765</v>
      </c>
      <c r="H100" s="16" t="s">
        <v>2813</v>
      </c>
      <c r="I100" s="7" t="n">
        <f aca="false">IF(COUNTIF($H$5:$H$336,H100)&gt;1,1,0)</f>
        <v>0</v>
      </c>
      <c r="J100" s="17" t="str">
        <f aca="false">INDEX($A$5:$A$336,MATCH(H100,$H$5:$H$336,0))</f>
        <v>A0096</v>
      </c>
      <c r="K100" s="17" t="str">
        <f aca="false">IF(C100&lt;&gt;"",C100,IF(INDEX($C$5:$C$336,MATCH(J100,$A$5:$A$336,0))&lt;&gt;"",INDEX($C$5:$C$336,MATCH(J100,$A$5:$A$336,0)),"Unassigned"))</f>
        <v>Energy &amp; Resources</v>
      </c>
      <c r="L100" s="7" t="n">
        <f aca="false">IF(C100="",1,0)</f>
        <v>0</v>
      </c>
    </row>
    <row r="101" customFormat="false" ht="15" hidden="false" customHeight="false" outlineLevel="0" collapsed="false">
      <c r="A101" s="16" t="s">
        <v>397</v>
      </c>
      <c r="B101" s="16" t="s">
        <v>2814</v>
      </c>
      <c r="C101" s="16" t="s">
        <v>47</v>
      </c>
      <c r="D101" s="16" t="s">
        <v>2701</v>
      </c>
      <c r="E101" s="16" t="s">
        <v>2622</v>
      </c>
      <c r="F101" s="16" t="s">
        <v>2612</v>
      </c>
      <c r="G101" s="16" t="s">
        <v>600</v>
      </c>
      <c r="H101" s="16" t="s">
        <v>2815</v>
      </c>
      <c r="I101" s="7" t="n">
        <f aca="false">IF(COUNTIF($H$5:$H$336,H101)&gt;1,1,0)</f>
        <v>0</v>
      </c>
      <c r="J101" s="17" t="str">
        <f aca="false">INDEX($A$5:$A$336,MATCH(H101,$H$5:$H$336,0))</f>
        <v>A0097</v>
      </c>
      <c r="K101" s="17" t="str">
        <f aca="false">IF(C101&lt;&gt;"",C101,IF(INDEX($C$5:$C$336,MATCH(J101,$A$5:$A$336,0))&lt;&gt;"",INDEX($C$5:$C$336,MATCH(J101,$A$5:$A$336,0)),"Unassigned"))</f>
        <v>Technology, Media &amp; Telecom</v>
      </c>
      <c r="L101" s="7" t="n">
        <f aca="false">IF(C101="",1,0)</f>
        <v>0</v>
      </c>
    </row>
    <row r="102" customFormat="false" ht="15" hidden="false" customHeight="false" outlineLevel="0" collapsed="false">
      <c r="A102" s="16" t="s">
        <v>780</v>
      </c>
      <c r="B102" s="16" t="s">
        <v>2816</v>
      </c>
      <c r="C102" s="16" t="s">
        <v>47</v>
      </c>
      <c r="D102" s="16" t="s">
        <v>2701</v>
      </c>
      <c r="E102" s="16" t="s">
        <v>2615</v>
      </c>
      <c r="F102" s="16" t="s">
        <v>2612</v>
      </c>
      <c r="G102" s="16" t="s">
        <v>677</v>
      </c>
      <c r="H102" s="16" t="s">
        <v>2817</v>
      </c>
      <c r="I102" s="7" t="n">
        <f aca="false">IF(COUNTIF($H$5:$H$336,H102)&gt;1,1,0)</f>
        <v>0</v>
      </c>
      <c r="J102" s="17" t="str">
        <f aca="false">INDEX($A$5:$A$336,MATCH(H102,$H$5:$H$336,0))</f>
        <v>A0098</v>
      </c>
      <c r="K102" s="17" t="str">
        <f aca="false">IF(C102&lt;&gt;"",C102,IF(INDEX($C$5:$C$336,MATCH(J102,$A$5:$A$336,0))&lt;&gt;"",INDEX($C$5:$C$336,MATCH(J102,$A$5:$A$336,0)),"Unassigned"))</f>
        <v>Technology, Media &amp; Telecom</v>
      </c>
      <c r="L102" s="7" t="n">
        <f aca="false">IF(C102="",1,0)</f>
        <v>0</v>
      </c>
    </row>
    <row r="103" customFormat="false" ht="15" hidden="false" customHeight="false" outlineLevel="0" collapsed="false">
      <c r="A103" s="16" t="s">
        <v>963</v>
      </c>
      <c r="B103" s="16" t="s">
        <v>2818</v>
      </c>
      <c r="C103" s="16" t="s">
        <v>43</v>
      </c>
      <c r="D103" s="16" t="s">
        <v>2701</v>
      </c>
      <c r="E103" s="16" t="s">
        <v>2619</v>
      </c>
      <c r="F103" s="16" t="s">
        <v>2612</v>
      </c>
      <c r="G103" s="16" t="s">
        <v>654</v>
      </c>
      <c r="H103" s="16" t="s">
        <v>2819</v>
      </c>
      <c r="I103" s="7" t="n">
        <f aca="false">IF(COUNTIF($H$5:$H$336,H103)&gt;1,1,0)</f>
        <v>0</v>
      </c>
      <c r="J103" s="17" t="str">
        <f aca="false">INDEX($A$5:$A$336,MATCH(H103,$H$5:$H$336,0))</f>
        <v>A0099</v>
      </c>
      <c r="K103" s="17" t="str">
        <f aca="false">IF(C103&lt;&gt;"",C103,IF(INDEX($C$5:$C$336,MATCH(J103,$A$5:$A$336,0))&lt;&gt;"",INDEX($C$5:$C$336,MATCH(J103,$A$5:$A$336,0)),"Unassigned"))</f>
        <v>Financial Services</v>
      </c>
      <c r="L103" s="7" t="n">
        <f aca="false">IF(C103="",1,0)</f>
        <v>0</v>
      </c>
    </row>
    <row r="104" customFormat="false" ht="15" hidden="false" customHeight="false" outlineLevel="0" collapsed="false">
      <c r="A104" s="16" t="s">
        <v>266</v>
      </c>
      <c r="B104" s="16" t="s">
        <v>2820</v>
      </c>
      <c r="C104" s="16" t="s">
        <v>47</v>
      </c>
      <c r="D104" s="16" t="s">
        <v>2701</v>
      </c>
      <c r="E104" s="16" t="s">
        <v>2615</v>
      </c>
      <c r="F104" s="16" t="s">
        <v>2612</v>
      </c>
      <c r="G104" s="16" t="s">
        <v>831</v>
      </c>
      <c r="H104" s="16" t="s">
        <v>2821</v>
      </c>
      <c r="I104" s="7" t="n">
        <f aca="false">IF(COUNTIF($H$5:$H$336,H104)&gt;1,1,0)</f>
        <v>1</v>
      </c>
      <c r="J104" s="17" t="str">
        <f aca="false">INDEX($A$5:$A$336,MATCH(H104,$H$5:$H$336,0))</f>
        <v>A0100</v>
      </c>
      <c r="K104" s="17" t="str">
        <f aca="false">IF(C104&lt;&gt;"",C104,IF(INDEX($C$5:$C$336,MATCH(J104,$A$5:$A$336,0))&lt;&gt;"",INDEX($C$5:$C$336,MATCH(J104,$A$5:$A$336,0)),"Unassigned"))</f>
        <v>Technology, Media &amp; Telecom</v>
      </c>
      <c r="L104" s="7" t="n">
        <f aca="false">IF(C104="",1,0)</f>
        <v>0</v>
      </c>
    </row>
    <row r="105" customFormat="false" ht="15" hidden="false" customHeight="false" outlineLevel="0" collapsed="false">
      <c r="A105" s="16" t="s">
        <v>317</v>
      </c>
      <c r="B105" s="16" t="s">
        <v>2822</v>
      </c>
      <c r="C105" s="16"/>
      <c r="D105" s="16" t="s">
        <v>2701</v>
      </c>
      <c r="E105" s="16" t="s">
        <v>2615</v>
      </c>
      <c r="F105" s="16" t="s">
        <v>2612</v>
      </c>
      <c r="G105" s="16" t="s">
        <v>729</v>
      </c>
      <c r="H105" s="16" t="s">
        <v>2823</v>
      </c>
      <c r="I105" s="7" t="n">
        <f aca="false">IF(COUNTIF($H$5:$H$336,H105)&gt;1,1,0)</f>
        <v>0</v>
      </c>
      <c r="J105" s="17" t="str">
        <f aca="false">INDEX($A$5:$A$336,MATCH(H105,$H$5:$H$336,0))</f>
        <v>A0101</v>
      </c>
      <c r="K105" s="17" t="str">
        <f aca="false">IF(C105&lt;&gt;"",C105,IF(INDEX($C$5:$C$336,MATCH(J105,$A$5:$A$336,0))&lt;&gt;"",INDEX($C$5:$C$336,MATCH(J105,$A$5:$A$336,0)),"Unassigned"))</f>
        <v>Unassigned</v>
      </c>
      <c r="L105" s="7" t="n">
        <f aca="false">IF(C105="",1,0)</f>
        <v>1</v>
      </c>
    </row>
    <row r="106" customFormat="false" ht="15" hidden="false" customHeight="false" outlineLevel="0" collapsed="false">
      <c r="A106" s="16" t="s">
        <v>571</v>
      </c>
      <c r="B106" s="16" t="s">
        <v>2824</v>
      </c>
      <c r="C106" s="16" t="s">
        <v>43</v>
      </c>
      <c r="D106" s="16" t="s">
        <v>2701</v>
      </c>
      <c r="E106" s="16" t="s">
        <v>2615</v>
      </c>
      <c r="F106" s="16" t="s">
        <v>2659</v>
      </c>
      <c r="G106" s="16" t="s">
        <v>573</v>
      </c>
      <c r="H106" s="16" t="s">
        <v>2825</v>
      </c>
      <c r="I106" s="7" t="n">
        <f aca="false">IF(COUNTIF($H$5:$H$336,H106)&gt;1,1,0)</f>
        <v>0</v>
      </c>
      <c r="J106" s="17" t="str">
        <f aca="false">INDEX($A$5:$A$336,MATCH(H106,$H$5:$H$336,0))</f>
        <v>A0102</v>
      </c>
      <c r="K106" s="17" t="str">
        <f aca="false">IF(C106&lt;&gt;"",C106,IF(INDEX($C$5:$C$336,MATCH(J106,$A$5:$A$336,0))&lt;&gt;"",INDEX($C$5:$C$336,MATCH(J106,$A$5:$A$336,0)),"Unassigned"))</f>
        <v>Financial Services</v>
      </c>
      <c r="L106" s="7" t="n">
        <f aca="false">IF(C106="",1,0)</f>
        <v>0</v>
      </c>
    </row>
    <row r="107" customFormat="false" ht="15" hidden="false" customHeight="false" outlineLevel="0" collapsed="false">
      <c r="A107" s="16" t="s">
        <v>448</v>
      </c>
      <c r="B107" s="16" t="s">
        <v>2826</v>
      </c>
      <c r="C107" s="16" t="s">
        <v>47</v>
      </c>
      <c r="D107" s="16" t="s">
        <v>2701</v>
      </c>
      <c r="E107" s="16" t="s">
        <v>2622</v>
      </c>
      <c r="F107" s="16" t="s">
        <v>2612</v>
      </c>
      <c r="G107" s="16" t="s">
        <v>860</v>
      </c>
      <c r="H107" s="16" t="s">
        <v>2827</v>
      </c>
      <c r="I107" s="7" t="n">
        <f aca="false">IF(COUNTIF($H$5:$H$336,H107)&gt;1,1,0)</f>
        <v>0</v>
      </c>
      <c r="J107" s="17" t="str">
        <f aca="false">INDEX($A$5:$A$336,MATCH(H107,$H$5:$H$336,0))</f>
        <v>A0103</v>
      </c>
      <c r="K107" s="17" t="str">
        <f aca="false">IF(C107&lt;&gt;"",C107,IF(INDEX($C$5:$C$336,MATCH(J107,$A$5:$A$336,0))&lt;&gt;"",INDEX($C$5:$C$336,MATCH(J107,$A$5:$A$336,0)),"Unassigned"))</f>
        <v>Technology, Media &amp; Telecom</v>
      </c>
      <c r="L107" s="7" t="n">
        <f aca="false">IF(C107="",1,0)</f>
        <v>0</v>
      </c>
    </row>
    <row r="108" customFormat="false" ht="15" hidden="false" customHeight="false" outlineLevel="0" collapsed="false">
      <c r="A108" s="16" t="s">
        <v>456</v>
      </c>
      <c r="B108" s="16" t="s">
        <v>2828</v>
      </c>
      <c r="C108" s="16" t="s">
        <v>40</v>
      </c>
      <c r="D108" s="16" t="s">
        <v>2701</v>
      </c>
      <c r="E108" s="16" t="s">
        <v>2615</v>
      </c>
      <c r="F108" s="16" t="s">
        <v>2635</v>
      </c>
      <c r="G108" s="16" t="s">
        <v>622</v>
      </c>
      <c r="H108" s="16" t="s">
        <v>2829</v>
      </c>
      <c r="I108" s="7" t="n">
        <f aca="false">IF(COUNTIF($H$5:$H$336,H108)&gt;1,1,0)</f>
        <v>0</v>
      </c>
      <c r="J108" s="17" t="str">
        <f aca="false">INDEX($A$5:$A$336,MATCH(H108,$H$5:$H$336,0))</f>
        <v>A0104</v>
      </c>
      <c r="K108" s="17" t="str">
        <f aca="false">IF(C108&lt;&gt;"",C108,IF(INDEX($C$5:$C$336,MATCH(J108,$A$5:$A$336,0))&lt;&gt;"",INDEX($C$5:$C$336,MATCH(J108,$A$5:$A$336,0)),"Unassigned"))</f>
        <v>Agribusiness</v>
      </c>
      <c r="L108" s="7" t="n">
        <f aca="false">IF(C108="",1,0)</f>
        <v>0</v>
      </c>
    </row>
    <row r="109" customFormat="false" ht="15" hidden="false" customHeight="false" outlineLevel="0" collapsed="false">
      <c r="A109" s="16" t="s">
        <v>1289</v>
      </c>
      <c r="B109" s="16" t="s">
        <v>2830</v>
      </c>
      <c r="C109" s="16" t="s">
        <v>47</v>
      </c>
      <c r="D109" s="16" t="s">
        <v>2701</v>
      </c>
      <c r="E109" s="16" t="s">
        <v>2611</v>
      </c>
      <c r="F109" s="16" t="s">
        <v>2612</v>
      </c>
      <c r="G109" s="16" t="s">
        <v>880</v>
      </c>
      <c r="H109" s="16" t="s">
        <v>2831</v>
      </c>
      <c r="I109" s="7" t="n">
        <f aca="false">IF(COUNTIF($H$5:$H$336,H109)&gt;1,1,0)</f>
        <v>0</v>
      </c>
      <c r="J109" s="17" t="str">
        <f aca="false">INDEX($A$5:$A$336,MATCH(H109,$H$5:$H$336,0))</f>
        <v>A0105</v>
      </c>
      <c r="K109" s="17" t="str">
        <f aca="false">IF(C109&lt;&gt;"",C109,IF(INDEX($C$5:$C$336,MATCH(J109,$A$5:$A$336,0))&lt;&gt;"",INDEX($C$5:$C$336,MATCH(J109,$A$5:$A$336,0)),"Unassigned"))</f>
        <v>Technology, Media &amp; Telecom</v>
      </c>
      <c r="L109" s="7" t="n">
        <f aca="false">IF(C109="",1,0)</f>
        <v>0</v>
      </c>
    </row>
    <row r="110" customFormat="false" ht="15" hidden="false" customHeight="false" outlineLevel="0" collapsed="false">
      <c r="A110" s="16" t="s">
        <v>1292</v>
      </c>
      <c r="B110" s="16" t="s">
        <v>2832</v>
      </c>
      <c r="C110" s="16" t="s">
        <v>40</v>
      </c>
      <c r="D110" s="16" t="s">
        <v>2701</v>
      </c>
      <c r="E110" s="16" t="s">
        <v>2622</v>
      </c>
      <c r="F110" s="16" t="s">
        <v>2612</v>
      </c>
      <c r="G110" s="16" t="s">
        <v>831</v>
      </c>
      <c r="H110" s="16" t="s">
        <v>2833</v>
      </c>
      <c r="I110" s="7" t="n">
        <f aca="false">IF(COUNTIF($H$5:$H$336,H110)&gt;1,1,0)</f>
        <v>0</v>
      </c>
      <c r="J110" s="17" t="str">
        <f aca="false">INDEX($A$5:$A$336,MATCH(H110,$H$5:$H$336,0))</f>
        <v>A0106</v>
      </c>
      <c r="K110" s="17" t="str">
        <f aca="false">IF(C110&lt;&gt;"",C110,IF(INDEX($C$5:$C$336,MATCH(J110,$A$5:$A$336,0))&lt;&gt;"",INDEX($C$5:$C$336,MATCH(J110,$A$5:$A$336,0)),"Unassigned"))</f>
        <v>Agribusiness</v>
      </c>
      <c r="L110" s="7" t="n">
        <f aca="false">IF(C110="",1,0)</f>
        <v>0</v>
      </c>
    </row>
    <row r="111" customFormat="false" ht="15" hidden="false" customHeight="false" outlineLevel="0" collapsed="false">
      <c r="A111" s="16" t="s">
        <v>743</v>
      </c>
      <c r="B111" s="16" t="s">
        <v>2834</v>
      </c>
      <c r="C111" s="16" t="s">
        <v>41</v>
      </c>
      <c r="D111" s="16" t="s">
        <v>2701</v>
      </c>
      <c r="E111" s="16" t="s">
        <v>2611</v>
      </c>
      <c r="F111" s="16" t="s">
        <v>2612</v>
      </c>
      <c r="G111" s="16" t="s">
        <v>622</v>
      </c>
      <c r="H111" s="16" t="s">
        <v>2835</v>
      </c>
      <c r="I111" s="7" t="n">
        <f aca="false">IF(COUNTIF($H$5:$H$336,H111)&gt;1,1,0)</f>
        <v>0</v>
      </c>
      <c r="J111" s="17" t="str">
        <f aca="false">INDEX($A$5:$A$336,MATCH(H111,$H$5:$H$336,0))</f>
        <v>A0107</v>
      </c>
      <c r="K111" s="17" t="str">
        <f aca="false">IF(C111&lt;&gt;"",C111,IF(INDEX($C$5:$C$336,MATCH(J111,$A$5:$A$336,0))&lt;&gt;"",INDEX($C$5:$C$336,MATCH(J111,$A$5:$A$336,0)),"Unassigned"))</f>
        <v>Consumer &amp; Retail</v>
      </c>
      <c r="L111" s="7" t="n">
        <f aca="false">IF(C111="",1,0)</f>
        <v>0</v>
      </c>
    </row>
    <row r="112" customFormat="false" ht="15" hidden="false" customHeight="false" outlineLevel="0" collapsed="false">
      <c r="A112" s="16" t="s">
        <v>182</v>
      </c>
      <c r="B112" s="16" t="s">
        <v>2836</v>
      </c>
      <c r="C112" s="16" t="s">
        <v>45</v>
      </c>
      <c r="D112" s="16" t="s">
        <v>2701</v>
      </c>
      <c r="E112" s="16" t="s">
        <v>2622</v>
      </c>
      <c r="F112" s="16" t="s">
        <v>2612</v>
      </c>
      <c r="G112" s="16" t="s">
        <v>573</v>
      </c>
      <c r="H112" s="16" t="s">
        <v>2837</v>
      </c>
      <c r="I112" s="7" t="n">
        <f aca="false">IF(COUNTIF($H$5:$H$336,H112)&gt;1,1,0)</f>
        <v>0</v>
      </c>
      <c r="J112" s="17" t="str">
        <f aca="false">INDEX($A$5:$A$336,MATCH(H112,$H$5:$H$336,0))</f>
        <v>A0108</v>
      </c>
      <c r="K112" s="17" t="str">
        <f aca="false">IF(C112&lt;&gt;"",C112,IF(INDEX($C$5:$C$336,MATCH(J112,$A$5:$A$336,0))&lt;&gt;"",INDEX($C$5:$C$336,MATCH(J112,$A$5:$A$336,0)),"Unassigned"))</f>
        <v>Public Sector &amp; Development</v>
      </c>
      <c r="L112" s="7" t="n">
        <f aca="false">IF(C112="",1,0)</f>
        <v>0</v>
      </c>
    </row>
    <row r="113" customFormat="false" ht="15" hidden="false" customHeight="false" outlineLevel="0" collapsed="false">
      <c r="A113" s="16" t="s">
        <v>810</v>
      </c>
      <c r="B113" s="16" t="s">
        <v>2838</v>
      </c>
      <c r="C113" s="16" t="s">
        <v>43</v>
      </c>
      <c r="D113" s="16" t="s">
        <v>2701</v>
      </c>
      <c r="E113" s="16" t="s">
        <v>2619</v>
      </c>
      <c r="F113" s="16" t="s">
        <v>2612</v>
      </c>
      <c r="G113" s="16" t="s">
        <v>583</v>
      </c>
      <c r="H113" s="16" t="s">
        <v>2839</v>
      </c>
      <c r="I113" s="7" t="n">
        <f aca="false">IF(COUNTIF($H$5:$H$336,H113)&gt;1,1,0)</f>
        <v>0</v>
      </c>
      <c r="J113" s="17" t="str">
        <f aca="false">INDEX($A$5:$A$336,MATCH(H113,$H$5:$H$336,0))</f>
        <v>A0109</v>
      </c>
      <c r="K113" s="17" t="str">
        <f aca="false">IF(C113&lt;&gt;"",C113,IF(INDEX($C$5:$C$336,MATCH(J113,$A$5:$A$336,0))&lt;&gt;"",INDEX($C$5:$C$336,MATCH(J113,$A$5:$A$336,0)),"Unassigned"))</f>
        <v>Financial Services</v>
      </c>
      <c r="L113" s="7" t="n">
        <f aca="false">IF(C113="",1,0)</f>
        <v>0</v>
      </c>
    </row>
    <row r="114" customFormat="false" ht="15" hidden="false" customHeight="false" outlineLevel="0" collapsed="false">
      <c r="A114" s="16" t="s">
        <v>254</v>
      </c>
      <c r="B114" s="16" t="s">
        <v>2840</v>
      </c>
      <c r="C114" s="16" t="s">
        <v>47</v>
      </c>
      <c r="D114" s="16" t="s">
        <v>2701</v>
      </c>
      <c r="E114" s="16" t="s">
        <v>2615</v>
      </c>
      <c r="F114" s="16" t="s">
        <v>2612</v>
      </c>
      <c r="G114" s="16" t="s">
        <v>663</v>
      </c>
      <c r="H114" s="16" t="s">
        <v>2841</v>
      </c>
      <c r="I114" s="7" t="n">
        <f aca="false">IF(COUNTIF($H$5:$H$336,H114)&gt;1,1,0)</f>
        <v>0</v>
      </c>
      <c r="J114" s="17" t="str">
        <f aca="false">INDEX($A$5:$A$336,MATCH(H114,$H$5:$H$336,0))</f>
        <v>A0110</v>
      </c>
      <c r="K114" s="17" t="str">
        <f aca="false">IF(C114&lt;&gt;"",C114,IF(INDEX($C$5:$C$336,MATCH(J114,$A$5:$A$336,0))&lt;&gt;"",INDEX($C$5:$C$336,MATCH(J114,$A$5:$A$336,0)),"Unassigned"))</f>
        <v>Technology, Media &amp; Telecom</v>
      </c>
      <c r="L114" s="7" t="n">
        <f aca="false">IF(C114="",1,0)</f>
        <v>0</v>
      </c>
    </row>
    <row r="115" customFormat="false" ht="15" hidden="false" customHeight="false" outlineLevel="0" collapsed="false">
      <c r="A115" s="16" t="s">
        <v>258</v>
      </c>
      <c r="B115" s="16" t="s">
        <v>2842</v>
      </c>
      <c r="C115" s="16" t="s">
        <v>42</v>
      </c>
      <c r="D115" s="16" t="s">
        <v>2843</v>
      </c>
      <c r="E115" s="16" t="s">
        <v>2611</v>
      </c>
      <c r="F115" s="16" t="s">
        <v>2612</v>
      </c>
      <c r="G115" s="16" t="s">
        <v>600</v>
      </c>
      <c r="H115" s="16" t="s">
        <v>2844</v>
      </c>
      <c r="I115" s="7" t="n">
        <f aca="false">IF(COUNTIF($H$5:$H$336,H115)&gt;1,1,0)</f>
        <v>0</v>
      </c>
      <c r="J115" s="17" t="str">
        <f aca="false">INDEX($A$5:$A$336,MATCH(H115,$H$5:$H$336,0))</f>
        <v>A0111</v>
      </c>
      <c r="K115" s="17" t="str">
        <f aca="false">IF(C115&lt;&gt;"",C115,IF(INDEX($C$5:$C$336,MATCH(J115,$A$5:$A$336,0))&lt;&gt;"",INDEX($C$5:$C$336,MATCH(J115,$A$5:$A$336,0)),"Unassigned"))</f>
        <v>Energy &amp; Resources</v>
      </c>
      <c r="L115" s="7" t="n">
        <f aca="false">IF(C115="",1,0)</f>
        <v>0</v>
      </c>
    </row>
    <row r="116" customFormat="false" ht="15" hidden="false" customHeight="false" outlineLevel="0" collapsed="false">
      <c r="A116" s="16" t="s">
        <v>309</v>
      </c>
      <c r="B116" s="16" t="s">
        <v>2845</v>
      </c>
      <c r="C116" s="16" t="s">
        <v>41</v>
      </c>
      <c r="D116" s="16" t="s">
        <v>2843</v>
      </c>
      <c r="E116" s="16" t="s">
        <v>2619</v>
      </c>
      <c r="F116" s="16" t="s">
        <v>2612</v>
      </c>
      <c r="G116" s="16" t="s">
        <v>596</v>
      </c>
      <c r="H116" s="16" t="s">
        <v>2846</v>
      </c>
      <c r="I116" s="7" t="n">
        <f aca="false">IF(COUNTIF($H$5:$H$336,H116)&gt;1,1,0)</f>
        <v>0</v>
      </c>
      <c r="J116" s="17" t="str">
        <f aca="false">INDEX($A$5:$A$336,MATCH(H116,$H$5:$H$336,0))</f>
        <v>A0112</v>
      </c>
      <c r="K116" s="17" t="str">
        <f aca="false">IF(C116&lt;&gt;"",C116,IF(INDEX($C$5:$C$336,MATCH(J116,$A$5:$A$336,0))&lt;&gt;"",INDEX($C$5:$C$336,MATCH(J116,$A$5:$A$336,0)),"Unassigned"))</f>
        <v>Consumer &amp; Retail</v>
      </c>
      <c r="L116" s="7" t="n">
        <f aca="false">IF(C116="",1,0)</f>
        <v>0</v>
      </c>
    </row>
    <row r="117" customFormat="false" ht="15" hidden="false" customHeight="false" outlineLevel="0" collapsed="false">
      <c r="A117" s="16" t="s">
        <v>444</v>
      </c>
      <c r="B117" s="16" t="s">
        <v>2847</v>
      </c>
      <c r="C117" s="16" t="s">
        <v>45</v>
      </c>
      <c r="D117" s="16" t="s">
        <v>2843</v>
      </c>
      <c r="E117" s="16" t="s">
        <v>2615</v>
      </c>
      <c r="F117" s="16" t="s">
        <v>2612</v>
      </c>
      <c r="G117" s="16" t="s">
        <v>640</v>
      </c>
      <c r="H117" s="16" t="s">
        <v>2848</v>
      </c>
      <c r="I117" s="7" t="n">
        <f aca="false">IF(COUNTIF($H$5:$H$336,H117)&gt;1,1,0)</f>
        <v>0</v>
      </c>
      <c r="J117" s="17" t="str">
        <f aca="false">INDEX($A$5:$A$336,MATCH(H117,$H$5:$H$336,0))</f>
        <v>A0113</v>
      </c>
      <c r="K117" s="17" t="str">
        <f aca="false">IF(C117&lt;&gt;"",C117,IF(INDEX($C$5:$C$336,MATCH(J117,$A$5:$A$336,0))&lt;&gt;"",INDEX($C$5:$C$336,MATCH(J117,$A$5:$A$336,0)),"Unassigned"))</f>
        <v>Public Sector &amp; Development</v>
      </c>
      <c r="L117" s="7" t="n">
        <f aca="false">IF(C117="",1,0)</f>
        <v>0</v>
      </c>
    </row>
    <row r="118" customFormat="false" ht="15" hidden="false" customHeight="false" outlineLevel="0" collapsed="false">
      <c r="A118" s="16" t="s">
        <v>939</v>
      </c>
      <c r="B118" s="16" t="s">
        <v>2849</v>
      </c>
      <c r="C118" s="16" t="s">
        <v>43</v>
      </c>
      <c r="D118" s="16" t="s">
        <v>2843</v>
      </c>
      <c r="E118" s="16" t="s">
        <v>2615</v>
      </c>
      <c r="F118" s="16" t="s">
        <v>2612</v>
      </c>
      <c r="G118" s="16" t="s">
        <v>860</v>
      </c>
      <c r="H118" s="16" t="s">
        <v>2850</v>
      </c>
      <c r="I118" s="7" t="n">
        <f aca="false">IF(COUNTIF($H$5:$H$336,H118)&gt;1,1,0)</f>
        <v>0</v>
      </c>
      <c r="J118" s="17" t="str">
        <f aca="false">INDEX($A$5:$A$336,MATCH(H118,$H$5:$H$336,0))</f>
        <v>A0114</v>
      </c>
      <c r="K118" s="17" t="str">
        <f aca="false">IF(C118&lt;&gt;"",C118,IF(INDEX($C$5:$C$336,MATCH(J118,$A$5:$A$336,0))&lt;&gt;"",INDEX($C$5:$C$336,MATCH(J118,$A$5:$A$336,0)),"Unassigned"))</f>
        <v>Financial Services</v>
      </c>
      <c r="L118" s="7" t="n">
        <f aca="false">IF(C118="",1,0)</f>
        <v>0</v>
      </c>
    </row>
    <row r="119" customFormat="false" ht="15" hidden="false" customHeight="false" outlineLevel="0" collapsed="false">
      <c r="A119" s="16" t="s">
        <v>329</v>
      </c>
      <c r="B119" s="16" t="s">
        <v>2851</v>
      </c>
      <c r="C119" s="16" t="s">
        <v>45</v>
      </c>
      <c r="D119" s="16" t="s">
        <v>2843</v>
      </c>
      <c r="E119" s="16" t="s">
        <v>2658</v>
      </c>
      <c r="F119" s="16" t="s">
        <v>2662</v>
      </c>
      <c r="G119" s="16" t="s">
        <v>651</v>
      </c>
      <c r="H119" s="16" t="s">
        <v>2852</v>
      </c>
      <c r="I119" s="7" t="n">
        <f aca="false">IF(COUNTIF($H$5:$H$336,H119)&gt;1,1,0)</f>
        <v>0</v>
      </c>
      <c r="J119" s="17" t="str">
        <f aca="false">INDEX($A$5:$A$336,MATCH(H119,$H$5:$H$336,0))</f>
        <v>A0115</v>
      </c>
      <c r="K119" s="17" t="str">
        <f aca="false">IF(C119&lt;&gt;"",C119,IF(INDEX($C$5:$C$336,MATCH(J119,$A$5:$A$336,0))&lt;&gt;"",INDEX($C$5:$C$336,MATCH(J119,$A$5:$A$336,0)),"Unassigned"))</f>
        <v>Public Sector &amp; Development</v>
      </c>
      <c r="L119" s="7" t="n">
        <f aca="false">IF(C119="",1,0)</f>
        <v>0</v>
      </c>
    </row>
    <row r="120" customFormat="false" ht="15" hidden="false" customHeight="false" outlineLevel="0" collapsed="false">
      <c r="A120" s="16" t="s">
        <v>408</v>
      </c>
      <c r="B120" s="16" t="s">
        <v>2853</v>
      </c>
      <c r="C120" s="16"/>
      <c r="D120" s="16" t="s">
        <v>2843</v>
      </c>
      <c r="E120" s="16" t="s">
        <v>2658</v>
      </c>
      <c r="F120" s="16" t="s">
        <v>2612</v>
      </c>
      <c r="G120" s="16" t="s">
        <v>622</v>
      </c>
      <c r="H120" s="16" t="s">
        <v>2854</v>
      </c>
      <c r="I120" s="7" t="n">
        <f aca="false">IF(COUNTIF($H$5:$H$336,H120)&gt;1,1,0)</f>
        <v>0</v>
      </c>
      <c r="J120" s="17" t="str">
        <f aca="false">INDEX($A$5:$A$336,MATCH(H120,$H$5:$H$336,0))</f>
        <v>A0116</v>
      </c>
      <c r="K120" s="17" t="str">
        <f aca="false">IF(C120&lt;&gt;"",C120,IF(INDEX($C$5:$C$336,MATCH(J120,$A$5:$A$336,0))&lt;&gt;"",INDEX($C$5:$C$336,MATCH(J120,$A$5:$A$336,0)),"Unassigned"))</f>
        <v>Unassigned</v>
      </c>
      <c r="L120" s="7" t="n">
        <f aca="false">IF(C120="",1,0)</f>
        <v>1</v>
      </c>
    </row>
    <row r="121" customFormat="false" ht="15" hidden="false" customHeight="false" outlineLevel="0" collapsed="false">
      <c r="A121" s="16" t="s">
        <v>2855</v>
      </c>
      <c r="B121" s="16" t="s">
        <v>2856</v>
      </c>
      <c r="C121" s="16" t="s">
        <v>47</v>
      </c>
      <c r="D121" s="16" t="s">
        <v>2843</v>
      </c>
      <c r="E121" s="16" t="s">
        <v>2658</v>
      </c>
      <c r="F121" s="16" t="s">
        <v>2635</v>
      </c>
      <c r="G121" s="16" t="s">
        <v>704</v>
      </c>
      <c r="H121" s="16" t="s">
        <v>2857</v>
      </c>
      <c r="I121" s="7" t="n">
        <f aca="false">IF(COUNTIF($H$5:$H$336,H121)&gt;1,1,0)</f>
        <v>0</v>
      </c>
      <c r="J121" s="17" t="str">
        <f aca="false">INDEX($A$5:$A$336,MATCH(H121,$H$5:$H$336,0))</f>
        <v>A0117</v>
      </c>
      <c r="K121" s="17" t="str">
        <f aca="false">IF(C121&lt;&gt;"",C121,IF(INDEX($C$5:$C$336,MATCH(J121,$A$5:$A$336,0))&lt;&gt;"",INDEX($C$5:$C$336,MATCH(J121,$A$5:$A$336,0)),"Unassigned"))</f>
        <v>Technology, Media &amp; Telecom</v>
      </c>
      <c r="L121" s="7" t="n">
        <f aca="false">IF(C121="",1,0)</f>
        <v>0</v>
      </c>
    </row>
    <row r="122" customFormat="false" ht="15" hidden="false" customHeight="false" outlineLevel="0" collapsed="false">
      <c r="A122" s="16" t="s">
        <v>260</v>
      </c>
      <c r="B122" s="16" t="s">
        <v>2858</v>
      </c>
      <c r="C122" s="16" t="s">
        <v>44</v>
      </c>
      <c r="D122" s="16" t="s">
        <v>2843</v>
      </c>
      <c r="E122" s="16" t="s">
        <v>2611</v>
      </c>
      <c r="F122" s="16" t="s">
        <v>2612</v>
      </c>
      <c r="G122" s="16" t="s">
        <v>691</v>
      </c>
      <c r="H122" s="16" t="s">
        <v>2859</v>
      </c>
      <c r="I122" s="7" t="n">
        <f aca="false">IF(COUNTIF($H$5:$H$336,H122)&gt;1,1,0)</f>
        <v>0</v>
      </c>
      <c r="J122" s="17" t="str">
        <f aca="false">INDEX($A$5:$A$336,MATCH(H122,$H$5:$H$336,0))</f>
        <v>A0118</v>
      </c>
      <c r="K122" s="17" t="str">
        <f aca="false">IF(C122&lt;&gt;"",C122,IF(INDEX($C$5:$C$336,MATCH(J122,$A$5:$A$336,0))&lt;&gt;"",INDEX($C$5:$C$336,MATCH(J122,$A$5:$A$336,0)),"Unassigned"))</f>
        <v>Health</v>
      </c>
      <c r="L122" s="7" t="n">
        <f aca="false">IF(C122="",1,0)</f>
        <v>0</v>
      </c>
    </row>
    <row r="123" customFormat="false" ht="15" hidden="false" customHeight="false" outlineLevel="0" collapsed="false">
      <c r="A123" s="16" t="s">
        <v>210</v>
      </c>
      <c r="B123" s="16" t="s">
        <v>2860</v>
      </c>
      <c r="C123" s="16" t="s">
        <v>44</v>
      </c>
      <c r="D123" s="16" t="s">
        <v>2843</v>
      </c>
      <c r="E123" s="16" t="s">
        <v>2615</v>
      </c>
      <c r="F123" s="16" t="s">
        <v>2612</v>
      </c>
      <c r="G123" s="16" t="s">
        <v>654</v>
      </c>
      <c r="H123" s="16" t="s">
        <v>2861</v>
      </c>
      <c r="I123" s="7" t="n">
        <f aca="false">IF(COUNTIF($H$5:$H$336,H123)&gt;1,1,0)</f>
        <v>1</v>
      </c>
      <c r="J123" s="17" t="str">
        <f aca="false">INDEX($A$5:$A$336,MATCH(H123,$H$5:$H$336,0))</f>
        <v>A0119</v>
      </c>
      <c r="K123" s="17" t="str">
        <f aca="false">IF(C123&lt;&gt;"",C123,IF(INDEX($C$5:$C$336,MATCH(J123,$A$5:$A$336,0))&lt;&gt;"",INDEX($C$5:$C$336,MATCH(J123,$A$5:$A$336,0)),"Unassigned"))</f>
        <v>Health</v>
      </c>
      <c r="L123" s="7" t="n">
        <f aca="false">IF(C123="",1,0)</f>
        <v>0</v>
      </c>
    </row>
    <row r="124" customFormat="false" ht="15" hidden="false" customHeight="false" outlineLevel="0" collapsed="false">
      <c r="A124" s="16" t="s">
        <v>2862</v>
      </c>
      <c r="B124" s="16" t="s">
        <v>2863</v>
      </c>
      <c r="C124" s="16" t="s">
        <v>40</v>
      </c>
      <c r="D124" s="16" t="s">
        <v>2843</v>
      </c>
      <c r="E124" s="16" t="s">
        <v>2658</v>
      </c>
      <c r="F124" s="16" t="s">
        <v>2612</v>
      </c>
      <c r="G124" s="16" t="s">
        <v>622</v>
      </c>
      <c r="H124" s="16" t="s">
        <v>2864</v>
      </c>
      <c r="I124" s="7" t="n">
        <f aca="false">IF(COUNTIF($H$5:$H$336,H124)&gt;1,1,0)</f>
        <v>0</v>
      </c>
      <c r="J124" s="17" t="str">
        <f aca="false">INDEX($A$5:$A$336,MATCH(H124,$H$5:$H$336,0))</f>
        <v>A0120</v>
      </c>
      <c r="K124" s="17" t="str">
        <f aca="false">IF(C124&lt;&gt;"",C124,IF(INDEX($C$5:$C$336,MATCH(J124,$A$5:$A$336,0))&lt;&gt;"",INDEX($C$5:$C$336,MATCH(J124,$A$5:$A$336,0)),"Unassigned"))</f>
        <v>Agribusiness</v>
      </c>
      <c r="L124" s="7" t="n">
        <f aca="false">IF(C124="",1,0)</f>
        <v>0</v>
      </c>
    </row>
    <row r="125" customFormat="false" ht="15" hidden="false" customHeight="false" outlineLevel="0" collapsed="false">
      <c r="A125" s="16" t="s">
        <v>415</v>
      </c>
      <c r="B125" s="16" t="s">
        <v>2865</v>
      </c>
      <c r="C125" s="16" t="s">
        <v>43</v>
      </c>
      <c r="D125" s="16" t="s">
        <v>2843</v>
      </c>
      <c r="E125" s="16" t="s">
        <v>2611</v>
      </c>
      <c r="F125" s="16" t="s">
        <v>2612</v>
      </c>
      <c r="G125" s="16" t="s">
        <v>633</v>
      </c>
      <c r="H125" s="16" t="s">
        <v>2866</v>
      </c>
      <c r="I125" s="7" t="n">
        <f aca="false">IF(COUNTIF($H$5:$H$336,H125)&gt;1,1,0)</f>
        <v>0</v>
      </c>
      <c r="J125" s="17" t="str">
        <f aca="false">INDEX($A$5:$A$336,MATCH(H125,$H$5:$H$336,0))</f>
        <v>A0121</v>
      </c>
      <c r="K125" s="17" t="str">
        <f aca="false">IF(C125&lt;&gt;"",C125,IF(INDEX($C$5:$C$336,MATCH(J125,$A$5:$A$336,0))&lt;&gt;"",INDEX($C$5:$C$336,MATCH(J125,$A$5:$A$336,0)),"Unassigned"))</f>
        <v>Financial Services</v>
      </c>
      <c r="L125" s="7" t="n">
        <f aca="false">IF(C125="",1,0)</f>
        <v>0</v>
      </c>
    </row>
    <row r="126" customFormat="false" ht="15" hidden="false" customHeight="false" outlineLevel="0" collapsed="false">
      <c r="A126" s="16" t="s">
        <v>462</v>
      </c>
      <c r="B126" s="16" t="s">
        <v>2867</v>
      </c>
      <c r="C126" s="16" t="s">
        <v>42</v>
      </c>
      <c r="D126" s="16" t="s">
        <v>2843</v>
      </c>
      <c r="E126" s="16" t="s">
        <v>2615</v>
      </c>
      <c r="F126" s="16" t="s">
        <v>2612</v>
      </c>
      <c r="G126" s="16" t="s">
        <v>604</v>
      </c>
      <c r="H126" s="16" t="s">
        <v>2868</v>
      </c>
      <c r="I126" s="7" t="n">
        <f aca="false">IF(COUNTIF($H$5:$H$336,H126)&gt;1,1,0)</f>
        <v>0</v>
      </c>
      <c r="J126" s="17" t="str">
        <f aca="false">INDEX($A$5:$A$336,MATCH(H126,$H$5:$H$336,0))</f>
        <v>A0122</v>
      </c>
      <c r="K126" s="17" t="str">
        <f aca="false">IF(C126&lt;&gt;"",C126,IF(INDEX($C$5:$C$336,MATCH(J126,$A$5:$A$336,0))&lt;&gt;"",INDEX($C$5:$C$336,MATCH(J126,$A$5:$A$336,0)),"Unassigned"))</f>
        <v>Energy &amp; Resources</v>
      </c>
      <c r="L126" s="7" t="n">
        <f aca="false">IF(C126="",1,0)</f>
        <v>0</v>
      </c>
    </row>
    <row r="127" customFormat="false" ht="15" hidden="false" customHeight="false" outlineLevel="0" collapsed="false">
      <c r="A127" s="16" t="s">
        <v>1920</v>
      </c>
      <c r="B127" s="16" t="s">
        <v>2869</v>
      </c>
      <c r="C127" s="16" t="s">
        <v>45</v>
      </c>
      <c r="D127" s="16" t="s">
        <v>2843</v>
      </c>
      <c r="E127" s="16" t="s">
        <v>2615</v>
      </c>
      <c r="F127" s="16" t="s">
        <v>2612</v>
      </c>
      <c r="G127" s="16" t="s">
        <v>637</v>
      </c>
      <c r="H127" s="16" t="s">
        <v>2870</v>
      </c>
      <c r="I127" s="7" t="n">
        <f aca="false">IF(COUNTIF($H$5:$H$336,H127)&gt;1,1,0)</f>
        <v>0</v>
      </c>
      <c r="J127" s="17" t="str">
        <f aca="false">INDEX($A$5:$A$336,MATCH(H127,$H$5:$H$336,0))</f>
        <v>A0123</v>
      </c>
      <c r="K127" s="17" t="str">
        <f aca="false">IF(C127&lt;&gt;"",C127,IF(INDEX($C$5:$C$336,MATCH(J127,$A$5:$A$336,0))&lt;&gt;"",INDEX($C$5:$C$336,MATCH(J127,$A$5:$A$336,0)),"Unassigned"))</f>
        <v>Public Sector &amp; Development</v>
      </c>
      <c r="L127" s="7" t="n">
        <f aca="false">IF(C127="",1,0)</f>
        <v>0</v>
      </c>
    </row>
    <row r="128" customFormat="false" ht="15" hidden="false" customHeight="false" outlineLevel="0" collapsed="false">
      <c r="A128" s="16" t="s">
        <v>334</v>
      </c>
      <c r="B128" s="16" t="s">
        <v>2871</v>
      </c>
      <c r="C128" s="16" t="s">
        <v>42</v>
      </c>
      <c r="D128" s="16" t="s">
        <v>2843</v>
      </c>
      <c r="E128" s="16" t="s">
        <v>2658</v>
      </c>
      <c r="F128" s="16" t="s">
        <v>2616</v>
      </c>
      <c r="G128" s="16" t="s">
        <v>765</v>
      </c>
      <c r="H128" s="16" t="s">
        <v>2872</v>
      </c>
      <c r="I128" s="7" t="n">
        <f aca="false">IF(COUNTIF($H$5:$H$336,H128)&gt;1,1,0)</f>
        <v>0</v>
      </c>
      <c r="J128" s="17" t="str">
        <f aca="false">INDEX($A$5:$A$336,MATCH(H128,$H$5:$H$336,0))</f>
        <v>A0124</v>
      </c>
      <c r="K128" s="17" t="str">
        <f aca="false">IF(C128&lt;&gt;"",C128,IF(INDEX($C$5:$C$336,MATCH(J128,$A$5:$A$336,0))&lt;&gt;"",INDEX($C$5:$C$336,MATCH(J128,$A$5:$A$336,0)),"Unassigned"))</f>
        <v>Energy &amp; Resources</v>
      </c>
      <c r="L128" s="7" t="n">
        <f aca="false">IF(C128="",1,0)</f>
        <v>0</v>
      </c>
    </row>
    <row r="129" customFormat="false" ht="15" hidden="false" customHeight="false" outlineLevel="0" collapsed="false">
      <c r="A129" s="16" t="s">
        <v>2873</v>
      </c>
      <c r="B129" s="16" t="s">
        <v>2874</v>
      </c>
      <c r="C129" s="16" t="s">
        <v>42</v>
      </c>
      <c r="D129" s="16" t="s">
        <v>2843</v>
      </c>
      <c r="E129" s="16" t="s">
        <v>2658</v>
      </c>
      <c r="F129" s="16" t="s">
        <v>2662</v>
      </c>
      <c r="G129" s="16" t="s">
        <v>666</v>
      </c>
      <c r="H129" s="16" t="s">
        <v>2875</v>
      </c>
      <c r="I129" s="7" t="n">
        <f aca="false">IF(COUNTIF($H$5:$H$336,H129)&gt;1,1,0)</f>
        <v>0</v>
      </c>
      <c r="J129" s="17" t="str">
        <f aca="false">INDEX($A$5:$A$336,MATCH(H129,$H$5:$H$336,0))</f>
        <v>A0125</v>
      </c>
      <c r="K129" s="17" t="str">
        <f aca="false">IF(C129&lt;&gt;"",C129,IF(INDEX($C$5:$C$336,MATCH(J129,$A$5:$A$336,0))&lt;&gt;"",INDEX($C$5:$C$336,MATCH(J129,$A$5:$A$336,0)),"Unassigned"))</f>
        <v>Energy &amp; Resources</v>
      </c>
      <c r="L129" s="7" t="n">
        <f aca="false">IF(C129="",1,0)</f>
        <v>0</v>
      </c>
    </row>
    <row r="130" customFormat="false" ht="15" hidden="false" customHeight="false" outlineLevel="0" collapsed="false">
      <c r="A130" s="16" t="s">
        <v>919</v>
      </c>
      <c r="B130" s="16" t="s">
        <v>2876</v>
      </c>
      <c r="C130" s="16" t="s">
        <v>43</v>
      </c>
      <c r="D130" s="16" t="s">
        <v>2843</v>
      </c>
      <c r="E130" s="16" t="s">
        <v>2658</v>
      </c>
      <c r="F130" s="16" t="s">
        <v>2612</v>
      </c>
      <c r="G130" s="16" t="s">
        <v>654</v>
      </c>
      <c r="H130" s="16" t="s">
        <v>2877</v>
      </c>
      <c r="I130" s="7" t="n">
        <f aca="false">IF(COUNTIF($H$5:$H$336,H130)&gt;1,1,0)</f>
        <v>0</v>
      </c>
      <c r="J130" s="17" t="str">
        <f aca="false">INDEX($A$5:$A$336,MATCH(H130,$H$5:$H$336,0))</f>
        <v>A0126</v>
      </c>
      <c r="K130" s="17" t="str">
        <f aca="false">IF(C130&lt;&gt;"",C130,IF(INDEX($C$5:$C$336,MATCH(J130,$A$5:$A$336,0))&lt;&gt;"",INDEX($C$5:$C$336,MATCH(J130,$A$5:$A$336,0)),"Unassigned"))</f>
        <v>Financial Services</v>
      </c>
      <c r="L130" s="7" t="n">
        <f aca="false">IF(C130="",1,0)</f>
        <v>0</v>
      </c>
    </row>
    <row r="131" customFormat="false" ht="15" hidden="false" customHeight="false" outlineLevel="0" collapsed="false">
      <c r="A131" s="16" t="s">
        <v>1223</v>
      </c>
      <c r="B131" s="16" t="s">
        <v>2878</v>
      </c>
      <c r="C131" s="16" t="s">
        <v>43</v>
      </c>
      <c r="D131" s="16" t="s">
        <v>2843</v>
      </c>
      <c r="E131" s="16" t="s">
        <v>2615</v>
      </c>
      <c r="F131" s="16" t="s">
        <v>2616</v>
      </c>
      <c r="G131" s="16" t="s">
        <v>717</v>
      </c>
      <c r="H131" s="16" t="s">
        <v>2879</v>
      </c>
      <c r="I131" s="7" t="n">
        <f aca="false">IF(COUNTIF($H$5:$H$336,H131)&gt;1,1,0)</f>
        <v>0</v>
      </c>
      <c r="J131" s="17" t="str">
        <f aca="false">INDEX($A$5:$A$336,MATCH(H131,$H$5:$H$336,0))</f>
        <v>A0127</v>
      </c>
      <c r="K131" s="17" t="str">
        <f aca="false">IF(C131&lt;&gt;"",C131,IF(INDEX($C$5:$C$336,MATCH(J131,$A$5:$A$336,0))&lt;&gt;"",INDEX($C$5:$C$336,MATCH(J131,$A$5:$A$336,0)),"Unassigned"))</f>
        <v>Financial Services</v>
      </c>
      <c r="L131" s="7" t="n">
        <f aca="false">IF(C131="",1,0)</f>
        <v>0</v>
      </c>
    </row>
    <row r="132" customFormat="false" ht="15" hidden="false" customHeight="false" outlineLevel="0" collapsed="false">
      <c r="A132" s="16" t="s">
        <v>2880</v>
      </c>
      <c r="B132" s="16" t="s">
        <v>2881</v>
      </c>
      <c r="C132" s="16" t="s">
        <v>45</v>
      </c>
      <c r="D132" s="16" t="s">
        <v>2843</v>
      </c>
      <c r="E132" s="16" t="s">
        <v>2658</v>
      </c>
      <c r="F132" s="16" t="s">
        <v>2612</v>
      </c>
      <c r="G132" s="16" t="s">
        <v>677</v>
      </c>
      <c r="H132" s="16" t="s">
        <v>2882</v>
      </c>
      <c r="I132" s="7" t="n">
        <f aca="false">IF(COUNTIF($H$5:$H$336,H132)&gt;1,1,0)</f>
        <v>0</v>
      </c>
      <c r="J132" s="17" t="str">
        <f aca="false">INDEX($A$5:$A$336,MATCH(H132,$H$5:$H$336,0))</f>
        <v>A0128</v>
      </c>
      <c r="K132" s="17" t="str">
        <f aca="false">IF(C132&lt;&gt;"",C132,IF(INDEX($C$5:$C$336,MATCH(J132,$A$5:$A$336,0))&lt;&gt;"",INDEX($C$5:$C$336,MATCH(J132,$A$5:$A$336,0)),"Unassigned"))</f>
        <v>Public Sector &amp; Development</v>
      </c>
      <c r="L132" s="7" t="n">
        <f aca="false">IF(C132="",1,0)</f>
        <v>0</v>
      </c>
    </row>
    <row r="133" customFormat="false" ht="15" hidden="false" customHeight="false" outlineLevel="0" collapsed="false">
      <c r="A133" s="16" t="s">
        <v>234</v>
      </c>
      <c r="B133" s="16" t="s">
        <v>2883</v>
      </c>
      <c r="C133" s="16" t="s">
        <v>46</v>
      </c>
      <c r="D133" s="16" t="s">
        <v>2843</v>
      </c>
      <c r="E133" s="16" t="s">
        <v>2658</v>
      </c>
      <c r="F133" s="16" t="s">
        <v>2612</v>
      </c>
      <c r="G133" s="16" t="s">
        <v>691</v>
      </c>
      <c r="H133" s="16" t="s">
        <v>2884</v>
      </c>
      <c r="I133" s="7" t="n">
        <f aca="false">IF(COUNTIF($H$5:$H$336,H133)&gt;1,1,0)</f>
        <v>0</v>
      </c>
      <c r="J133" s="17" t="str">
        <f aca="false">INDEX($A$5:$A$336,MATCH(H133,$H$5:$H$336,0))</f>
        <v>A0129</v>
      </c>
      <c r="K133" s="17" t="str">
        <f aca="false">IF(C133&lt;&gt;"",C133,IF(INDEX($C$5:$C$336,MATCH(J133,$A$5:$A$336,0))&lt;&gt;"",INDEX($C$5:$C$336,MATCH(J133,$A$5:$A$336,0)),"Unassigned"))</f>
        <v>Real Estate &amp; Infrastructure</v>
      </c>
      <c r="L133" s="7" t="n">
        <f aca="false">IF(C133="",1,0)</f>
        <v>0</v>
      </c>
    </row>
    <row r="134" customFormat="false" ht="15" hidden="false" customHeight="false" outlineLevel="0" collapsed="false">
      <c r="A134" s="16" t="s">
        <v>214</v>
      </c>
      <c r="B134" s="16" t="s">
        <v>2885</v>
      </c>
      <c r="C134" s="16" t="s">
        <v>43</v>
      </c>
      <c r="D134" s="16" t="s">
        <v>2843</v>
      </c>
      <c r="E134" s="16" t="s">
        <v>2615</v>
      </c>
      <c r="F134" s="16" t="s">
        <v>2612</v>
      </c>
      <c r="G134" s="16" t="s">
        <v>596</v>
      </c>
      <c r="H134" s="16" t="s">
        <v>2886</v>
      </c>
      <c r="I134" s="7" t="n">
        <f aca="false">IF(COUNTIF($H$5:$H$336,H134)&gt;1,1,0)</f>
        <v>0</v>
      </c>
      <c r="J134" s="17" t="str">
        <f aca="false">INDEX($A$5:$A$336,MATCH(H134,$H$5:$H$336,0))</f>
        <v>A0130</v>
      </c>
      <c r="K134" s="17" t="str">
        <f aca="false">IF(C134&lt;&gt;"",C134,IF(INDEX($C$5:$C$336,MATCH(J134,$A$5:$A$336,0))&lt;&gt;"",INDEX($C$5:$C$336,MATCH(J134,$A$5:$A$336,0)),"Unassigned"))</f>
        <v>Financial Services</v>
      </c>
      <c r="L134" s="7" t="n">
        <f aca="false">IF(C134="",1,0)</f>
        <v>0</v>
      </c>
    </row>
    <row r="135" customFormat="false" ht="15" hidden="false" customHeight="false" outlineLevel="0" collapsed="false">
      <c r="A135" s="16" t="s">
        <v>2304</v>
      </c>
      <c r="B135" s="16" t="s">
        <v>2887</v>
      </c>
      <c r="C135" s="16" t="s">
        <v>45</v>
      </c>
      <c r="D135" s="16" t="s">
        <v>2843</v>
      </c>
      <c r="E135" s="16" t="s">
        <v>2611</v>
      </c>
      <c r="F135" s="16" t="s">
        <v>2616</v>
      </c>
      <c r="G135" s="16" t="s">
        <v>596</v>
      </c>
      <c r="H135" s="16" t="s">
        <v>2888</v>
      </c>
      <c r="I135" s="7" t="n">
        <f aca="false">IF(COUNTIF($H$5:$H$336,H135)&gt;1,1,0)</f>
        <v>0</v>
      </c>
      <c r="J135" s="17" t="str">
        <f aca="false">INDEX($A$5:$A$336,MATCH(H135,$H$5:$H$336,0))</f>
        <v>A0131</v>
      </c>
      <c r="K135" s="17" t="str">
        <f aca="false">IF(C135&lt;&gt;"",C135,IF(INDEX($C$5:$C$336,MATCH(J135,$A$5:$A$336,0))&lt;&gt;"",INDEX($C$5:$C$336,MATCH(J135,$A$5:$A$336,0)),"Unassigned"))</f>
        <v>Public Sector &amp; Development</v>
      </c>
      <c r="L135" s="7" t="n">
        <f aca="false">IF(C135="",1,0)</f>
        <v>0</v>
      </c>
    </row>
    <row r="136" customFormat="false" ht="15" hidden="false" customHeight="false" outlineLevel="0" collapsed="false">
      <c r="A136" s="16" t="s">
        <v>1915</v>
      </c>
      <c r="B136" s="16" t="s">
        <v>2889</v>
      </c>
      <c r="C136" s="16" t="s">
        <v>41</v>
      </c>
      <c r="D136" s="16" t="s">
        <v>2843</v>
      </c>
      <c r="E136" s="16" t="s">
        <v>2615</v>
      </c>
      <c r="F136" s="16" t="s">
        <v>2612</v>
      </c>
      <c r="G136" s="16" t="s">
        <v>578</v>
      </c>
      <c r="H136" s="16" t="s">
        <v>2890</v>
      </c>
      <c r="I136" s="7" t="n">
        <f aca="false">IF(COUNTIF($H$5:$H$336,H136)&gt;1,1,0)</f>
        <v>0</v>
      </c>
      <c r="J136" s="17" t="str">
        <f aca="false">INDEX($A$5:$A$336,MATCH(H136,$H$5:$H$336,0))</f>
        <v>A0132</v>
      </c>
      <c r="K136" s="17" t="str">
        <f aca="false">IF(C136&lt;&gt;"",C136,IF(INDEX($C$5:$C$336,MATCH(J136,$A$5:$A$336,0))&lt;&gt;"",INDEX($C$5:$C$336,MATCH(J136,$A$5:$A$336,0)),"Unassigned"))</f>
        <v>Consumer &amp; Retail</v>
      </c>
      <c r="L136" s="7" t="n">
        <f aca="false">IF(C136="",1,0)</f>
        <v>0</v>
      </c>
    </row>
    <row r="137" customFormat="false" ht="15" hidden="false" customHeight="false" outlineLevel="0" collapsed="false">
      <c r="A137" s="16" t="s">
        <v>377</v>
      </c>
      <c r="B137" s="16" t="s">
        <v>2891</v>
      </c>
      <c r="C137" s="16" t="s">
        <v>46</v>
      </c>
      <c r="D137" s="16" t="s">
        <v>2843</v>
      </c>
      <c r="E137" s="16" t="s">
        <v>2615</v>
      </c>
      <c r="F137" s="16" t="s">
        <v>2612</v>
      </c>
      <c r="G137" s="16" t="s">
        <v>831</v>
      </c>
      <c r="H137" s="16" t="s">
        <v>2892</v>
      </c>
      <c r="I137" s="7" t="n">
        <f aca="false">IF(COUNTIF($H$5:$H$336,H137)&gt;1,1,0)</f>
        <v>0</v>
      </c>
      <c r="J137" s="17" t="str">
        <f aca="false">INDEX($A$5:$A$336,MATCH(H137,$H$5:$H$336,0))</f>
        <v>A0133</v>
      </c>
      <c r="K137" s="17" t="str">
        <f aca="false">IF(C137&lt;&gt;"",C137,IF(INDEX($C$5:$C$336,MATCH(J137,$A$5:$A$336,0))&lt;&gt;"",INDEX($C$5:$C$336,MATCH(J137,$A$5:$A$336,0)),"Unassigned"))</f>
        <v>Real Estate &amp; Infrastructure</v>
      </c>
      <c r="L137" s="7" t="n">
        <f aca="false">IF(C137="",1,0)</f>
        <v>0</v>
      </c>
    </row>
    <row r="138" customFormat="false" ht="15" hidden="false" customHeight="false" outlineLevel="0" collapsed="false">
      <c r="A138" s="16" t="s">
        <v>656</v>
      </c>
      <c r="B138" s="16" t="s">
        <v>2893</v>
      </c>
      <c r="C138" s="16"/>
      <c r="D138" s="16" t="s">
        <v>2843</v>
      </c>
      <c r="E138" s="16" t="s">
        <v>2615</v>
      </c>
      <c r="F138" s="16" t="s">
        <v>2612</v>
      </c>
      <c r="G138" s="16" t="s">
        <v>578</v>
      </c>
      <c r="H138" s="16" t="s">
        <v>2894</v>
      </c>
      <c r="I138" s="7" t="n">
        <f aca="false">IF(COUNTIF($H$5:$H$336,H138)&gt;1,1,0)</f>
        <v>0</v>
      </c>
      <c r="J138" s="17" t="str">
        <f aca="false">INDEX($A$5:$A$336,MATCH(H138,$H$5:$H$336,0))</f>
        <v>A0134</v>
      </c>
      <c r="K138" s="17" t="str">
        <f aca="false">IF(C138&lt;&gt;"",C138,IF(INDEX($C$5:$C$336,MATCH(J138,$A$5:$A$336,0))&lt;&gt;"",INDEX($C$5:$C$336,MATCH(J138,$A$5:$A$336,0)),"Unassigned"))</f>
        <v>Unassigned</v>
      </c>
      <c r="L138" s="7" t="n">
        <f aca="false">IF(C138="",1,0)</f>
        <v>1</v>
      </c>
    </row>
    <row r="139" customFormat="false" ht="15" hidden="false" customHeight="false" outlineLevel="0" collapsed="false">
      <c r="A139" s="16" t="s">
        <v>242</v>
      </c>
      <c r="B139" s="16" t="s">
        <v>2895</v>
      </c>
      <c r="C139" s="16" t="s">
        <v>42</v>
      </c>
      <c r="D139" s="16" t="s">
        <v>2843</v>
      </c>
      <c r="E139" s="16" t="s">
        <v>2615</v>
      </c>
      <c r="F139" s="16" t="s">
        <v>2612</v>
      </c>
      <c r="G139" s="16" t="s">
        <v>654</v>
      </c>
      <c r="H139" s="16" t="s">
        <v>2896</v>
      </c>
      <c r="I139" s="7" t="n">
        <f aca="false">IF(COUNTIF($H$5:$H$336,H139)&gt;1,1,0)</f>
        <v>0</v>
      </c>
      <c r="J139" s="17" t="str">
        <f aca="false">INDEX($A$5:$A$336,MATCH(H139,$H$5:$H$336,0))</f>
        <v>A0135</v>
      </c>
      <c r="K139" s="17" t="str">
        <f aca="false">IF(C139&lt;&gt;"",C139,IF(INDEX($C$5:$C$336,MATCH(J139,$A$5:$A$336,0))&lt;&gt;"",INDEX($C$5:$C$336,MATCH(J139,$A$5:$A$336,0)),"Unassigned"))</f>
        <v>Energy &amp; Resources</v>
      </c>
      <c r="L139" s="7" t="n">
        <f aca="false">IF(C139="",1,0)</f>
        <v>0</v>
      </c>
    </row>
    <row r="140" customFormat="false" ht="15" hidden="false" customHeight="false" outlineLevel="0" collapsed="false">
      <c r="A140" s="16" t="s">
        <v>439</v>
      </c>
      <c r="B140" s="16" t="s">
        <v>2897</v>
      </c>
      <c r="C140" s="16"/>
      <c r="D140" s="16" t="s">
        <v>2843</v>
      </c>
      <c r="E140" s="16" t="s">
        <v>2611</v>
      </c>
      <c r="F140" s="16" t="s">
        <v>2612</v>
      </c>
      <c r="G140" s="16" t="s">
        <v>578</v>
      </c>
      <c r="H140" s="16" t="s">
        <v>2898</v>
      </c>
      <c r="I140" s="7" t="n">
        <f aca="false">IF(COUNTIF($H$5:$H$336,H140)&gt;1,1,0)</f>
        <v>0</v>
      </c>
      <c r="J140" s="17" t="str">
        <f aca="false">INDEX($A$5:$A$336,MATCH(H140,$H$5:$H$336,0))</f>
        <v>A0136</v>
      </c>
      <c r="K140" s="17" t="str">
        <f aca="false">IF(C140&lt;&gt;"",C140,IF(INDEX($C$5:$C$336,MATCH(J140,$A$5:$A$336,0))&lt;&gt;"",INDEX($C$5:$C$336,MATCH(J140,$A$5:$A$336,0)),"Unassigned"))</f>
        <v>Unassigned</v>
      </c>
      <c r="L140" s="7" t="n">
        <f aca="false">IF(C140="",1,0)</f>
        <v>1</v>
      </c>
    </row>
    <row r="141" customFormat="false" ht="15" hidden="false" customHeight="false" outlineLevel="0" collapsed="false">
      <c r="A141" s="16" t="s">
        <v>586</v>
      </c>
      <c r="B141" s="16" t="s">
        <v>2899</v>
      </c>
      <c r="C141" s="16" t="s">
        <v>47</v>
      </c>
      <c r="D141" s="16" t="s">
        <v>2843</v>
      </c>
      <c r="E141" s="16" t="s">
        <v>2615</v>
      </c>
      <c r="F141" s="16" t="s">
        <v>2612</v>
      </c>
      <c r="G141" s="16" t="s">
        <v>578</v>
      </c>
      <c r="H141" s="16" t="s">
        <v>2900</v>
      </c>
      <c r="I141" s="7" t="n">
        <f aca="false">IF(COUNTIF($H$5:$H$336,H141)&gt;1,1,0)</f>
        <v>0</v>
      </c>
      <c r="J141" s="17" t="str">
        <f aca="false">INDEX($A$5:$A$336,MATCH(H141,$H$5:$H$336,0))</f>
        <v>A0137</v>
      </c>
      <c r="K141" s="17" t="str">
        <f aca="false">IF(C141&lt;&gt;"",C141,IF(INDEX($C$5:$C$336,MATCH(J141,$A$5:$A$336,0))&lt;&gt;"",INDEX($C$5:$C$336,MATCH(J141,$A$5:$A$336,0)),"Unassigned"))</f>
        <v>Technology, Media &amp; Telecom</v>
      </c>
      <c r="L141" s="7" t="n">
        <f aca="false">IF(C141="",1,0)</f>
        <v>0</v>
      </c>
    </row>
    <row r="142" customFormat="false" ht="15" hidden="false" customHeight="false" outlineLevel="0" collapsed="false">
      <c r="A142" s="16" t="s">
        <v>635</v>
      </c>
      <c r="B142" s="16" t="s">
        <v>2901</v>
      </c>
      <c r="C142" s="16" t="s">
        <v>45</v>
      </c>
      <c r="D142" s="16" t="s">
        <v>2843</v>
      </c>
      <c r="E142" s="16" t="s">
        <v>2611</v>
      </c>
      <c r="F142" s="16" t="s">
        <v>2612</v>
      </c>
      <c r="G142" s="16" t="s">
        <v>637</v>
      </c>
      <c r="H142" s="16" t="s">
        <v>2902</v>
      </c>
      <c r="I142" s="7" t="n">
        <f aca="false">IF(COUNTIF($H$5:$H$336,H142)&gt;1,1,0)</f>
        <v>0</v>
      </c>
      <c r="J142" s="17" t="str">
        <f aca="false">INDEX($A$5:$A$336,MATCH(H142,$H$5:$H$336,0))</f>
        <v>A0138</v>
      </c>
      <c r="K142" s="17" t="str">
        <f aca="false">IF(C142&lt;&gt;"",C142,IF(INDEX($C$5:$C$336,MATCH(J142,$A$5:$A$336,0))&lt;&gt;"",INDEX($C$5:$C$336,MATCH(J142,$A$5:$A$336,0)),"Unassigned"))</f>
        <v>Public Sector &amp; Development</v>
      </c>
      <c r="L142" s="7" t="n">
        <f aca="false">IF(C142="",1,0)</f>
        <v>0</v>
      </c>
    </row>
    <row r="143" customFormat="false" ht="15" hidden="false" customHeight="false" outlineLevel="0" collapsed="false">
      <c r="A143" s="16" t="s">
        <v>1220</v>
      </c>
      <c r="B143" s="16" t="s">
        <v>2903</v>
      </c>
      <c r="C143" s="16" t="s">
        <v>43</v>
      </c>
      <c r="D143" s="16" t="s">
        <v>2843</v>
      </c>
      <c r="E143" s="16" t="s">
        <v>2619</v>
      </c>
      <c r="F143" s="16" t="s">
        <v>2616</v>
      </c>
      <c r="G143" s="16" t="s">
        <v>704</v>
      </c>
      <c r="H143" s="16" t="s">
        <v>2904</v>
      </c>
      <c r="I143" s="7" t="n">
        <f aca="false">IF(COUNTIF($H$5:$H$336,H143)&gt;1,1,0)</f>
        <v>0</v>
      </c>
      <c r="J143" s="17" t="str">
        <f aca="false">INDEX($A$5:$A$336,MATCH(H143,$H$5:$H$336,0))</f>
        <v>A0139</v>
      </c>
      <c r="K143" s="17" t="str">
        <f aca="false">IF(C143&lt;&gt;"",C143,IF(INDEX($C$5:$C$336,MATCH(J143,$A$5:$A$336,0))&lt;&gt;"",INDEX($C$5:$C$336,MATCH(J143,$A$5:$A$336,0)),"Unassigned"))</f>
        <v>Financial Services</v>
      </c>
      <c r="L143" s="7" t="n">
        <f aca="false">IF(C143="",1,0)</f>
        <v>0</v>
      </c>
    </row>
    <row r="144" customFormat="false" ht="15" hidden="false" customHeight="false" outlineLevel="0" collapsed="false">
      <c r="A144" s="16" t="s">
        <v>313</v>
      </c>
      <c r="B144" s="16" t="s">
        <v>2905</v>
      </c>
      <c r="C144" s="16" t="s">
        <v>47</v>
      </c>
      <c r="D144" s="16" t="s">
        <v>2843</v>
      </c>
      <c r="E144" s="16" t="s">
        <v>2622</v>
      </c>
      <c r="F144" s="16" t="s">
        <v>2616</v>
      </c>
      <c r="G144" s="16" t="s">
        <v>685</v>
      </c>
      <c r="H144" s="16" t="s">
        <v>2906</v>
      </c>
      <c r="I144" s="7" t="n">
        <f aca="false">IF(COUNTIF($H$5:$H$336,H144)&gt;1,1,0)</f>
        <v>0</v>
      </c>
      <c r="J144" s="17" t="str">
        <f aca="false">INDEX($A$5:$A$336,MATCH(H144,$H$5:$H$336,0))</f>
        <v>A0140</v>
      </c>
      <c r="K144" s="17" t="str">
        <f aca="false">IF(C144&lt;&gt;"",C144,IF(INDEX($C$5:$C$336,MATCH(J144,$A$5:$A$336,0))&lt;&gt;"",INDEX($C$5:$C$336,MATCH(J144,$A$5:$A$336,0)),"Unassigned"))</f>
        <v>Technology, Media &amp; Telecom</v>
      </c>
      <c r="L144" s="7" t="n">
        <f aca="false">IF(C144="",1,0)</f>
        <v>0</v>
      </c>
    </row>
    <row r="145" customFormat="false" ht="15" hidden="false" customHeight="false" outlineLevel="0" collapsed="false">
      <c r="A145" s="16" t="s">
        <v>384</v>
      </c>
      <c r="B145" s="16" t="s">
        <v>2907</v>
      </c>
      <c r="C145" s="16" t="s">
        <v>46</v>
      </c>
      <c r="D145" s="16" t="s">
        <v>2843</v>
      </c>
      <c r="E145" s="16" t="s">
        <v>2615</v>
      </c>
      <c r="F145" s="16" t="s">
        <v>2612</v>
      </c>
      <c r="G145" s="16" t="s">
        <v>583</v>
      </c>
      <c r="H145" s="16" t="s">
        <v>2908</v>
      </c>
      <c r="I145" s="7" t="n">
        <f aca="false">IF(COUNTIF($H$5:$H$336,H145)&gt;1,1,0)</f>
        <v>0</v>
      </c>
      <c r="J145" s="17" t="str">
        <f aca="false">INDEX($A$5:$A$336,MATCH(H145,$H$5:$H$336,0))</f>
        <v>A0141</v>
      </c>
      <c r="K145" s="17" t="str">
        <f aca="false">IF(C145&lt;&gt;"",C145,IF(INDEX($C$5:$C$336,MATCH(J145,$A$5:$A$336,0))&lt;&gt;"",INDEX($C$5:$C$336,MATCH(J145,$A$5:$A$336,0)),"Unassigned"))</f>
        <v>Real Estate &amp; Infrastructure</v>
      </c>
      <c r="L145" s="7" t="n">
        <f aca="false">IF(C145="",1,0)</f>
        <v>0</v>
      </c>
    </row>
    <row r="146" customFormat="false" ht="15" hidden="false" customHeight="false" outlineLevel="0" collapsed="false">
      <c r="A146" s="16" t="s">
        <v>320</v>
      </c>
      <c r="B146" s="16" t="s">
        <v>2909</v>
      </c>
      <c r="C146" s="16"/>
      <c r="D146" s="16" t="s">
        <v>2843</v>
      </c>
      <c r="E146" s="16" t="s">
        <v>2611</v>
      </c>
      <c r="F146" s="16" t="s">
        <v>2662</v>
      </c>
      <c r="G146" s="16" t="s">
        <v>596</v>
      </c>
      <c r="H146" s="16" t="s">
        <v>2910</v>
      </c>
      <c r="I146" s="7" t="n">
        <f aca="false">IF(COUNTIF($H$5:$H$336,H146)&gt;1,1,0)</f>
        <v>1</v>
      </c>
      <c r="J146" s="17" t="str">
        <f aca="false">INDEX($A$5:$A$336,MATCH(H146,$H$5:$H$336,0))</f>
        <v>A0142</v>
      </c>
      <c r="K146" s="17" t="str">
        <f aca="false">IF(C146&lt;&gt;"",C146,IF(INDEX($C$5:$C$336,MATCH(J146,$A$5:$A$336,0))&lt;&gt;"",INDEX($C$5:$C$336,MATCH(J146,$A$5:$A$336,0)),"Unassigned"))</f>
        <v>Unassigned</v>
      </c>
      <c r="L146" s="7" t="n">
        <f aca="false">IF(C146="",1,0)</f>
        <v>1</v>
      </c>
    </row>
    <row r="147" customFormat="false" ht="15" hidden="false" customHeight="false" outlineLevel="0" collapsed="false">
      <c r="A147" s="16" t="s">
        <v>936</v>
      </c>
      <c r="B147" s="16" t="s">
        <v>2911</v>
      </c>
      <c r="C147" s="16" t="s">
        <v>46</v>
      </c>
      <c r="D147" s="16" t="s">
        <v>2843</v>
      </c>
      <c r="E147" s="16" t="s">
        <v>2615</v>
      </c>
      <c r="F147" s="16" t="s">
        <v>2612</v>
      </c>
      <c r="G147" s="16" t="s">
        <v>600</v>
      </c>
      <c r="H147" s="16" t="s">
        <v>2912</v>
      </c>
      <c r="I147" s="7" t="n">
        <f aca="false">IF(COUNTIF($H$5:$H$336,H147)&gt;1,1,0)</f>
        <v>0</v>
      </c>
      <c r="J147" s="17" t="str">
        <f aca="false">INDEX($A$5:$A$336,MATCH(H147,$H$5:$H$336,0))</f>
        <v>A0143</v>
      </c>
      <c r="K147" s="17" t="str">
        <f aca="false">IF(C147&lt;&gt;"",C147,IF(INDEX($C$5:$C$336,MATCH(J147,$A$5:$A$336,0))&lt;&gt;"",INDEX($C$5:$C$336,MATCH(J147,$A$5:$A$336,0)),"Unassigned"))</f>
        <v>Real Estate &amp; Infrastructure</v>
      </c>
      <c r="L147" s="7" t="n">
        <f aca="false">IF(C147="",1,0)</f>
        <v>0</v>
      </c>
    </row>
    <row r="148" customFormat="false" ht="15" hidden="false" customHeight="false" outlineLevel="0" collapsed="false">
      <c r="A148" s="16" t="s">
        <v>1612</v>
      </c>
      <c r="B148" s="16" t="s">
        <v>2913</v>
      </c>
      <c r="C148" s="16" t="s">
        <v>43</v>
      </c>
      <c r="D148" s="16" t="s">
        <v>2843</v>
      </c>
      <c r="E148" s="16" t="s">
        <v>2611</v>
      </c>
      <c r="F148" s="16" t="s">
        <v>2635</v>
      </c>
      <c r="G148" s="16" t="s">
        <v>640</v>
      </c>
      <c r="H148" s="16" t="s">
        <v>2914</v>
      </c>
      <c r="I148" s="7" t="n">
        <f aca="false">IF(COUNTIF($H$5:$H$336,H148)&gt;1,1,0)</f>
        <v>0</v>
      </c>
      <c r="J148" s="17" t="str">
        <f aca="false">INDEX($A$5:$A$336,MATCH(H148,$H$5:$H$336,0))</f>
        <v>A0144</v>
      </c>
      <c r="K148" s="17" t="str">
        <f aca="false">IF(C148&lt;&gt;"",C148,IF(INDEX($C$5:$C$336,MATCH(J148,$A$5:$A$336,0))&lt;&gt;"",INDEX($C$5:$C$336,MATCH(J148,$A$5:$A$336,0)),"Unassigned"))</f>
        <v>Financial Services</v>
      </c>
      <c r="L148" s="7" t="n">
        <f aca="false">IF(C148="",1,0)</f>
        <v>0</v>
      </c>
    </row>
    <row r="149" customFormat="false" ht="15" hidden="false" customHeight="false" outlineLevel="0" collapsed="false">
      <c r="A149" s="16" t="s">
        <v>2488</v>
      </c>
      <c r="B149" s="16" t="s">
        <v>2915</v>
      </c>
      <c r="C149" s="16" t="s">
        <v>46</v>
      </c>
      <c r="D149" s="16" t="s">
        <v>2843</v>
      </c>
      <c r="E149" s="16" t="s">
        <v>2611</v>
      </c>
      <c r="F149" s="16" t="s">
        <v>2616</v>
      </c>
      <c r="G149" s="16" t="s">
        <v>651</v>
      </c>
      <c r="H149" s="16" t="s">
        <v>2916</v>
      </c>
      <c r="I149" s="7" t="n">
        <f aca="false">IF(COUNTIF($H$5:$H$336,H149)&gt;1,1,0)</f>
        <v>0</v>
      </c>
      <c r="J149" s="17" t="str">
        <f aca="false">INDEX($A$5:$A$336,MATCH(H149,$H$5:$H$336,0))</f>
        <v>A0145</v>
      </c>
      <c r="K149" s="17" t="str">
        <f aca="false">IF(C149&lt;&gt;"",C149,IF(INDEX($C$5:$C$336,MATCH(J149,$A$5:$A$336,0))&lt;&gt;"",INDEX($C$5:$C$336,MATCH(J149,$A$5:$A$336,0)),"Unassigned"))</f>
        <v>Real Estate &amp; Infrastructure</v>
      </c>
      <c r="L149" s="7" t="n">
        <f aca="false">IF(C149="",1,0)</f>
        <v>0</v>
      </c>
    </row>
    <row r="150" customFormat="false" ht="15" hidden="false" customHeight="false" outlineLevel="0" collapsed="false">
      <c r="A150" s="16" t="s">
        <v>1400</v>
      </c>
      <c r="B150" s="16" t="s">
        <v>2917</v>
      </c>
      <c r="C150" s="16" t="s">
        <v>40</v>
      </c>
      <c r="D150" s="16" t="s">
        <v>2843</v>
      </c>
      <c r="E150" s="16" t="s">
        <v>2619</v>
      </c>
      <c r="F150" s="16" t="s">
        <v>2612</v>
      </c>
      <c r="G150" s="16" t="s">
        <v>622</v>
      </c>
      <c r="H150" s="16" t="s">
        <v>2918</v>
      </c>
      <c r="I150" s="7" t="n">
        <f aca="false">IF(COUNTIF($H$5:$H$336,H150)&gt;1,1,0)</f>
        <v>0</v>
      </c>
      <c r="J150" s="17" t="str">
        <f aca="false">INDEX($A$5:$A$336,MATCH(H150,$H$5:$H$336,0))</f>
        <v>A0146</v>
      </c>
      <c r="K150" s="17" t="str">
        <f aca="false">IF(C150&lt;&gt;"",C150,IF(INDEX($C$5:$C$336,MATCH(J150,$A$5:$A$336,0))&lt;&gt;"",INDEX($C$5:$C$336,MATCH(J150,$A$5:$A$336,0)),"Unassigned"))</f>
        <v>Agribusiness</v>
      </c>
      <c r="L150" s="7" t="n">
        <f aca="false">IF(C150="",1,0)</f>
        <v>0</v>
      </c>
    </row>
    <row r="151" customFormat="false" ht="15" hidden="false" customHeight="false" outlineLevel="0" collapsed="false">
      <c r="A151" s="16" t="s">
        <v>1426</v>
      </c>
      <c r="B151" s="16" t="s">
        <v>2919</v>
      </c>
      <c r="C151" s="16" t="s">
        <v>41</v>
      </c>
      <c r="D151" s="16" t="s">
        <v>2843</v>
      </c>
      <c r="E151" s="16" t="s">
        <v>2615</v>
      </c>
      <c r="F151" s="16" t="s">
        <v>2612</v>
      </c>
      <c r="G151" s="16" t="s">
        <v>704</v>
      </c>
      <c r="H151" s="16" t="s">
        <v>2920</v>
      </c>
      <c r="I151" s="7" t="n">
        <f aca="false">IF(COUNTIF($H$5:$H$336,H151)&gt;1,1,0)</f>
        <v>0</v>
      </c>
      <c r="J151" s="17" t="str">
        <f aca="false">INDEX($A$5:$A$336,MATCH(H151,$H$5:$H$336,0))</f>
        <v>A0147</v>
      </c>
      <c r="K151" s="17" t="str">
        <f aca="false">IF(C151&lt;&gt;"",C151,IF(INDEX($C$5:$C$336,MATCH(J151,$A$5:$A$336,0))&lt;&gt;"",INDEX($C$5:$C$336,MATCH(J151,$A$5:$A$336,0)),"Unassigned"))</f>
        <v>Consumer &amp; Retail</v>
      </c>
      <c r="L151" s="7" t="n">
        <f aca="false">IF(C151="",1,0)</f>
        <v>0</v>
      </c>
    </row>
    <row r="152" customFormat="false" ht="15" hidden="false" customHeight="false" outlineLevel="0" collapsed="false">
      <c r="A152" s="16" t="s">
        <v>277</v>
      </c>
      <c r="B152" s="16" t="s">
        <v>2921</v>
      </c>
      <c r="C152" s="16" t="s">
        <v>47</v>
      </c>
      <c r="D152" s="16" t="s">
        <v>2843</v>
      </c>
      <c r="E152" s="16" t="s">
        <v>2622</v>
      </c>
      <c r="F152" s="16" t="s">
        <v>2612</v>
      </c>
      <c r="G152" s="16" t="s">
        <v>578</v>
      </c>
      <c r="H152" s="16" t="s">
        <v>2922</v>
      </c>
      <c r="I152" s="7" t="n">
        <f aca="false">IF(COUNTIF($H$5:$H$336,H152)&gt;1,1,0)</f>
        <v>0</v>
      </c>
      <c r="J152" s="17" t="str">
        <f aca="false">INDEX($A$5:$A$336,MATCH(H152,$H$5:$H$336,0))</f>
        <v>A0148</v>
      </c>
      <c r="K152" s="17" t="str">
        <f aca="false">IF(C152&lt;&gt;"",C152,IF(INDEX($C$5:$C$336,MATCH(J152,$A$5:$A$336,0))&lt;&gt;"",INDEX($C$5:$C$336,MATCH(J152,$A$5:$A$336,0)),"Unassigned"))</f>
        <v>Technology, Media &amp; Telecom</v>
      </c>
      <c r="L152" s="7" t="n">
        <f aca="false">IF(C152="",1,0)</f>
        <v>0</v>
      </c>
    </row>
    <row r="153" customFormat="false" ht="15" hidden="false" customHeight="false" outlineLevel="0" collapsed="false">
      <c r="A153" s="16" t="s">
        <v>454</v>
      </c>
      <c r="B153" s="16" t="s">
        <v>2923</v>
      </c>
      <c r="C153" s="16" t="s">
        <v>46</v>
      </c>
      <c r="D153" s="16" t="s">
        <v>2843</v>
      </c>
      <c r="E153" s="16" t="s">
        <v>2619</v>
      </c>
      <c r="F153" s="16" t="s">
        <v>2616</v>
      </c>
      <c r="G153" s="16" t="s">
        <v>677</v>
      </c>
      <c r="H153" s="16" t="s">
        <v>2924</v>
      </c>
      <c r="I153" s="7" t="n">
        <f aca="false">IF(COUNTIF($H$5:$H$336,H153)&gt;1,1,0)</f>
        <v>0</v>
      </c>
      <c r="J153" s="17" t="str">
        <f aca="false">INDEX($A$5:$A$336,MATCH(H153,$H$5:$H$336,0))</f>
        <v>A0149</v>
      </c>
      <c r="K153" s="17" t="str">
        <f aca="false">IF(C153&lt;&gt;"",C153,IF(INDEX($C$5:$C$336,MATCH(J153,$A$5:$A$336,0))&lt;&gt;"",INDEX($C$5:$C$336,MATCH(J153,$A$5:$A$336,0)),"Unassigned"))</f>
        <v>Real Estate &amp; Infrastructure</v>
      </c>
      <c r="L153" s="7" t="n">
        <f aca="false">IF(C153="",1,0)</f>
        <v>0</v>
      </c>
    </row>
    <row r="154" customFormat="false" ht="15" hidden="false" customHeight="false" outlineLevel="0" collapsed="false">
      <c r="A154" s="16" t="s">
        <v>763</v>
      </c>
      <c r="B154" s="16" t="s">
        <v>2925</v>
      </c>
      <c r="C154" s="16" t="s">
        <v>44</v>
      </c>
      <c r="D154" s="16" t="s">
        <v>2843</v>
      </c>
      <c r="E154" s="16" t="s">
        <v>2611</v>
      </c>
      <c r="F154" s="16" t="s">
        <v>2612</v>
      </c>
      <c r="G154" s="16" t="s">
        <v>666</v>
      </c>
      <c r="H154" s="16" t="s">
        <v>2926</v>
      </c>
      <c r="I154" s="7" t="n">
        <f aca="false">IF(COUNTIF($H$5:$H$336,H154)&gt;1,1,0)</f>
        <v>0</v>
      </c>
      <c r="J154" s="17" t="str">
        <f aca="false">INDEX($A$5:$A$336,MATCH(H154,$H$5:$H$336,0))</f>
        <v>A0150</v>
      </c>
      <c r="K154" s="17" t="str">
        <f aca="false">IF(C154&lt;&gt;"",C154,IF(INDEX($C$5:$C$336,MATCH(J154,$A$5:$A$336,0))&lt;&gt;"",INDEX($C$5:$C$336,MATCH(J154,$A$5:$A$336,0)),"Unassigned"))</f>
        <v>Health</v>
      </c>
      <c r="L154" s="7" t="n">
        <f aca="false">IF(C154="",1,0)</f>
        <v>0</v>
      </c>
    </row>
    <row r="155" customFormat="false" ht="15" hidden="false" customHeight="false" outlineLevel="0" collapsed="false">
      <c r="A155" s="16" t="s">
        <v>332</v>
      </c>
      <c r="B155" s="16" t="s">
        <v>2927</v>
      </c>
      <c r="C155" s="16" t="s">
        <v>46</v>
      </c>
      <c r="D155" s="16" t="s">
        <v>2843</v>
      </c>
      <c r="E155" s="16" t="s">
        <v>2619</v>
      </c>
      <c r="F155" s="16" t="s">
        <v>2612</v>
      </c>
      <c r="G155" s="16" t="s">
        <v>860</v>
      </c>
      <c r="H155" s="16" t="s">
        <v>2928</v>
      </c>
      <c r="I155" s="7" t="n">
        <f aca="false">IF(COUNTIF($H$5:$H$336,H155)&gt;1,1,0)</f>
        <v>0</v>
      </c>
      <c r="J155" s="17" t="str">
        <f aca="false">INDEX($A$5:$A$336,MATCH(H155,$H$5:$H$336,0))</f>
        <v>A0151</v>
      </c>
      <c r="K155" s="17" t="str">
        <f aca="false">IF(C155&lt;&gt;"",C155,IF(INDEX($C$5:$C$336,MATCH(J155,$A$5:$A$336,0))&lt;&gt;"",INDEX($C$5:$C$336,MATCH(J155,$A$5:$A$336,0)),"Unassigned"))</f>
        <v>Real Estate &amp; Infrastructure</v>
      </c>
      <c r="L155" s="7" t="n">
        <f aca="false">IF(C155="",1,0)</f>
        <v>0</v>
      </c>
    </row>
    <row r="156" customFormat="false" ht="15" hidden="false" customHeight="false" outlineLevel="0" collapsed="false">
      <c r="A156" s="16" t="s">
        <v>581</v>
      </c>
      <c r="B156" s="16" t="s">
        <v>2929</v>
      </c>
      <c r="C156" s="16" t="s">
        <v>43</v>
      </c>
      <c r="D156" s="16" t="s">
        <v>2843</v>
      </c>
      <c r="E156" s="16" t="s">
        <v>2615</v>
      </c>
      <c r="F156" s="16" t="s">
        <v>2612</v>
      </c>
      <c r="G156" s="16" t="s">
        <v>567</v>
      </c>
      <c r="H156" s="16" t="s">
        <v>2930</v>
      </c>
      <c r="I156" s="7" t="n">
        <f aca="false">IF(COUNTIF($H$5:$H$336,H156)&gt;1,1,0)</f>
        <v>0</v>
      </c>
      <c r="J156" s="17" t="str">
        <f aca="false">INDEX($A$5:$A$336,MATCH(H156,$H$5:$H$336,0))</f>
        <v>A0152</v>
      </c>
      <c r="K156" s="17" t="str">
        <f aca="false">IF(C156&lt;&gt;"",C156,IF(INDEX($C$5:$C$336,MATCH(J156,$A$5:$A$336,0))&lt;&gt;"",INDEX($C$5:$C$336,MATCH(J156,$A$5:$A$336,0)),"Unassigned"))</f>
        <v>Financial Services</v>
      </c>
      <c r="L156" s="7" t="n">
        <f aca="false">IF(C156="",1,0)</f>
        <v>0</v>
      </c>
    </row>
    <row r="157" customFormat="false" ht="15" hidden="false" customHeight="false" outlineLevel="0" collapsed="false">
      <c r="A157" s="16" t="s">
        <v>1075</v>
      </c>
      <c r="B157" s="16" t="s">
        <v>2931</v>
      </c>
      <c r="C157" s="16" t="s">
        <v>40</v>
      </c>
      <c r="D157" s="16" t="s">
        <v>2843</v>
      </c>
      <c r="E157" s="16" t="s">
        <v>2611</v>
      </c>
      <c r="F157" s="16" t="s">
        <v>2612</v>
      </c>
      <c r="G157" s="16" t="s">
        <v>637</v>
      </c>
      <c r="H157" s="16" t="s">
        <v>2932</v>
      </c>
      <c r="I157" s="7" t="n">
        <f aca="false">IF(COUNTIF($H$5:$H$336,H157)&gt;1,1,0)</f>
        <v>0</v>
      </c>
      <c r="J157" s="17" t="str">
        <f aca="false">INDEX($A$5:$A$336,MATCH(H157,$H$5:$H$336,0))</f>
        <v>A0153</v>
      </c>
      <c r="K157" s="17" t="str">
        <f aca="false">IF(C157&lt;&gt;"",C157,IF(INDEX($C$5:$C$336,MATCH(J157,$A$5:$A$336,0))&lt;&gt;"",INDEX($C$5:$C$336,MATCH(J157,$A$5:$A$336,0)),"Unassigned"))</f>
        <v>Agribusiness</v>
      </c>
      <c r="L157" s="7" t="n">
        <f aca="false">IF(C157="",1,0)</f>
        <v>0</v>
      </c>
    </row>
    <row r="158" customFormat="false" ht="15" hidden="false" customHeight="false" outlineLevel="0" collapsed="false">
      <c r="A158" s="16" t="s">
        <v>1503</v>
      </c>
      <c r="B158" s="16" t="s">
        <v>2933</v>
      </c>
      <c r="C158" s="16" t="s">
        <v>43</v>
      </c>
      <c r="D158" s="16" t="s">
        <v>2843</v>
      </c>
      <c r="E158" s="16" t="s">
        <v>2658</v>
      </c>
      <c r="F158" s="16" t="s">
        <v>2662</v>
      </c>
      <c r="G158" s="16" t="s">
        <v>860</v>
      </c>
      <c r="H158" s="16" t="s">
        <v>2934</v>
      </c>
      <c r="I158" s="7" t="n">
        <f aca="false">IF(COUNTIF($H$5:$H$336,H158)&gt;1,1,0)</f>
        <v>0</v>
      </c>
      <c r="J158" s="17" t="str">
        <f aca="false">INDEX($A$5:$A$336,MATCH(H158,$H$5:$H$336,0))</f>
        <v>A0154</v>
      </c>
      <c r="K158" s="17" t="str">
        <f aca="false">IF(C158&lt;&gt;"",C158,IF(INDEX($C$5:$C$336,MATCH(J158,$A$5:$A$336,0))&lt;&gt;"",INDEX($C$5:$C$336,MATCH(J158,$A$5:$A$336,0)),"Unassigned"))</f>
        <v>Financial Services</v>
      </c>
      <c r="L158" s="7" t="n">
        <f aca="false">IF(C158="",1,0)</f>
        <v>0</v>
      </c>
    </row>
    <row r="159" customFormat="false" ht="15" hidden="false" customHeight="false" outlineLevel="0" collapsed="false">
      <c r="A159" s="16" t="s">
        <v>289</v>
      </c>
      <c r="B159" s="16" t="s">
        <v>2935</v>
      </c>
      <c r="C159" s="16" t="s">
        <v>41</v>
      </c>
      <c r="D159" s="16" t="s">
        <v>2843</v>
      </c>
      <c r="E159" s="16" t="s">
        <v>2658</v>
      </c>
      <c r="F159" s="16" t="s">
        <v>2612</v>
      </c>
      <c r="G159" s="16" t="s">
        <v>704</v>
      </c>
      <c r="H159" s="16" t="s">
        <v>2936</v>
      </c>
      <c r="I159" s="7" t="n">
        <f aca="false">IF(COUNTIF($H$5:$H$336,H159)&gt;1,1,0)</f>
        <v>0</v>
      </c>
      <c r="J159" s="17" t="str">
        <f aca="false">INDEX($A$5:$A$336,MATCH(H159,$H$5:$H$336,0))</f>
        <v>A0155</v>
      </c>
      <c r="K159" s="17" t="str">
        <f aca="false">IF(C159&lt;&gt;"",C159,IF(INDEX($C$5:$C$336,MATCH(J159,$A$5:$A$336,0))&lt;&gt;"",INDEX($C$5:$C$336,MATCH(J159,$A$5:$A$336,0)),"Unassigned"))</f>
        <v>Consumer &amp; Retail</v>
      </c>
      <c r="L159" s="7" t="n">
        <f aca="false">IF(C159="",1,0)</f>
        <v>0</v>
      </c>
    </row>
    <row r="160" customFormat="false" ht="15" hidden="false" customHeight="false" outlineLevel="0" collapsed="false">
      <c r="A160" s="16" t="s">
        <v>1834</v>
      </c>
      <c r="B160" s="16" t="s">
        <v>2937</v>
      </c>
      <c r="C160" s="16" t="s">
        <v>47</v>
      </c>
      <c r="D160" s="16" t="s">
        <v>2843</v>
      </c>
      <c r="E160" s="16" t="s">
        <v>2611</v>
      </c>
      <c r="F160" s="16" t="s">
        <v>2612</v>
      </c>
      <c r="G160" s="16" t="s">
        <v>633</v>
      </c>
      <c r="H160" s="16" t="s">
        <v>2938</v>
      </c>
      <c r="I160" s="7" t="n">
        <f aca="false">IF(COUNTIF($H$5:$H$336,H160)&gt;1,1,0)</f>
        <v>0</v>
      </c>
      <c r="J160" s="17" t="str">
        <f aca="false">INDEX($A$5:$A$336,MATCH(H160,$H$5:$H$336,0))</f>
        <v>A0156</v>
      </c>
      <c r="K160" s="17" t="str">
        <f aca="false">IF(C160&lt;&gt;"",C160,IF(INDEX($C$5:$C$336,MATCH(J160,$A$5:$A$336,0))&lt;&gt;"",INDEX($C$5:$C$336,MATCH(J160,$A$5:$A$336,0)),"Unassigned"))</f>
        <v>Technology, Media &amp; Telecom</v>
      </c>
      <c r="L160" s="7" t="n">
        <f aca="false">IF(C160="",1,0)</f>
        <v>0</v>
      </c>
    </row>
    <row r="161" customFormat="false" ht="15" hidden="false" customHeight="false" outlineLevel="0" collapsed="false">
      <c r="A161" s="16" t="s">
        <v>976</v>
      </c>
      <c r="B161" s="16" t="s">
        <v>2939</v>
      </c>
      <c r="C161" s="16" t="s">
        <v>43</v>
      </c>
      <c r="D161" s="16" t="s">
        <v>2843</v>
      </c>
      <c r="E161" s="16" t="s">
        <v>2615</v>
      </c>
      <c r="F161" s="16" t="s">
        <v>2612</v>
      </c>
      <c r="G161" s="16" t="s">
        <v>677</v>
      </c>
      <c r="H161" s="16" t="s">
        <v>2940</v>
      </c>
      <c r="I161" s="7" t="n">
        <f aca="false">IF(COUNTIF($H$5:$H$336,H161)&gt;1,1,0)</f>
        <v>0</v>
      </c>
      <c r="J161" s="17" t="str">
        <f aca="false">INDEX($A$5:$A$336,MATCH(H161,$H$5:$H$336,0))</f>
        <v>A0157</v>
      </c>
      <c r="K161" s="17" t="str">
        <f aca="false">IF(C161&lt;&gt;"",C161,IF(INDEX($C$5:$C$336,MATCH(J161,$A$5:$A$336,0))&lt;&gt;"",INDEX($C$5:$C$336,MATCH(J161,$A$5:$A$336,0)),"Unassigned"))</f>
        <v>Financial Services</v>
      </c>
      <c r="L161" s="7" t="n">
        <f aca="false">IF(C161="",1,0)</f>
        <v>0</v>
      </c>
    </row>
    <row r="162" customFormat="false" ht="15" hidden="false" customHeight="false" outlineLevel="0" collapsed="false">
      <c r="A162" s="16" t="s">
        <v>799</v>
      </c>
      <c r="B162" s="16" t="s">
        <v>2941</v>
      </c>
      <c r="C162" s="16" t="s">
        <v>47</v>
      </c>
      <c r="D162" s="16" t="s">
        <v>2843</v>
      </c>
      <c r="E162" s="16" t="s">
        <v>2615</v>
      </c>
      <c r="F162" s="16" t="s">
        <v>2612</v>
      </c>
      <c r="G162" s="16" t="s">
        <v>646</v>
      </c>
      <c r="H162" s="16" t="s">
        <v>2942</v>
      </c>
      <c r="I162" s="7" t="n">
        <f aca="false">IF(COUNTIF($H$5:$H$336,H162)&gt;1,1,0)</f>
        <v>0</v>
      </c>
      <c r="J162" s="17" t="str">
        <f aca="false">INDEX($A$5:$A$336,MATCH(H162,$H$5:$H$336,0))</f>
        <v>A0158</v>
      </c>
      <c r="K162" s="17" t="str">
        <f aca="false">IF(C162&lt;&gt;"",C162,IF(INDEX($C$5:$C$336,MATCH(J162,$A$5:$A$336,0))&lt;&gt;"",INDEX($C$5:$C$336,MATCH(J162,$A$5:$A$336,0)),"Unassigned"))</f>
        <v>Technology, Media &amp; Telecom</v>
      </c>
      <c r="L162" s="7" t="n">
        <f aca="false">IF(C162="",1,0)</f>
        <v>0</v>
      </c>
    </row>
    <row r="163" customFormat="false" ht="15" hidden="false" customHeight="false" outlineLevel="0" collapsed="false">
      <c r="A163" s="16" t="s">
        <v>285</v>
      </c>
      <c r="B163" s="16" t="s">
        <v>2943</v>
      </c>
      <c r="C163" s="16" t="s">
        <v>47</v>
      </c>
      <c r="D163" s="16" t="s">
        <v>2843</v>
      </c>
      <c r="E163" s="16" t="s">
        <v>2615</v>
      </c>
      <c r="F163" s="16" t="s">
        <v>2612</v>
      </c>
      <c r="G163" s="16" t="s">
        <v>591</v>
      </c>
      <c r="H163" s="16" t="s">
        <v>2944</v>
      </c>
      <c r="I163" s="7" t="n">
        <f aca="false">IF(COUNTIF($H$5:$H$336,H163)&gt;1,1,0)</f>
        <v>0</v>
      </c>
      <c r="J163" s="17" t="str">
        <f aca="false">INDEX($A$5:$A$336,MATCH(H163,$H$5:$H$336,0))</f>
        <v>A0159</v>
      </c>
      <c r="K163" s="17" t="str">
        <f aca="false">IF(C163&lt;&gt;"",C163,IF(INDEX($C$5:$C$336,MATCH(J163,$A$5:$A$336,0))&lt;&gt;"",INDEX($C$5:$C$336,MATCH(J163,$A$5:$A$336,0)),"Unassigned"))</f>
        <v>Technology, Media &amp; Telecom</v>
      </c>
      <c r="L163" s="7" t="n">
        <f aca="false">IF(C163="",1,0)</f>
        <v>0</v>
      </c>
    </row>
    <row r="164" customFormat="false" ht="15" hidden="false" customHeight="false" outlineLevel="0" collapsed="false">
      <c r="A164" s="16" t="s">
        <v>2279</v>
      </c>
      <c r="B164" s="16" t="s">
        <v>2945</v>
      </c>
      <c r="C164" s="16" t="s">
        <v>46</v>
      </c>
      <c r="D164" s="16" t="s">
        <v>2843</v>
      </c>
      <c r="E164" s="16" t="s">
        <v>2615</v>
      </c>
      <c r="F164" s="16" t="s">
        <v>2662</v>
      </c>
      <c r="G164" s="16" t="s">
        <v>860</v>
      </c>
      <c r="H164" s="16" t="s">
        <v>2946</v>
      </c>
      <c r="I164" s="7" t="n">
        <f aca="false">IF(COUNTIF($H$5:$H$336,H164)&gt;1,1,0)</f>
        <v>0</v>
      </c>
      <c r="J164" s="17" t="str">
        <f aca="false">INDEX($A$5:$A$336,MATCH(H164,$H$5:$H$336,0))</f>
        <v>A0160</v>
      </c>
      <c r="K164" s="17" t="str">
        <f aca="false">IF(C164&lt;&gt;"",C164,IF(INDEX($C$5:$C$336,MATCH(J164,$A$5:$A$336,0))&lt;&gt;"",INDEX($C$5:$C$336,MATCH(J164,$A$5:$A$336,0)),"Unassigned"))</f>
        <v>Real Estate &amp; Infrastructure</v>
      </c>
      <c r="L164" s="7" t="n">
        <f aca="false">IF(C164="",1,0)</f>
        <v>0</v>
      </c>
    </row>
    <row r="165" customFormat="false" ht="15" hidden="false" customHeight="false" outlineLevel="0" collapsed="false">
      <c r="A165" s="16" t="s">
        <v>1336</v>
      </c>
      <c r="B165" s="16" t="s">
        <v>2947</v>
      </c>
      <c r="C165" s="16" t="s">
        <v>44</v>
      </c>
      <c r="D165" s="16" t="s">
        <v>2843</v>
      </c>
      <c r="E165" s="16" t="s">
        <v>2619</v>
      </c>
      <c r="F165" s="16" t="s">
        <v>2616</v>
      </c>
      <c r="G165" s="16" t="s">
        <v>765</v>
      </c>
      <c r="H165" s="16" t="s">
        <v>2948</v>
      </c>
      <c r="I165" s="7" t="n">
        <f aca="false">IF(COUNTIF($H$5:$H$336,H165)&gt;1,1,0)</f>
        <v>0</v>
      </c>
      <c r="J165" s="17" t="str">
        <f aca="false">INDEX($A$5:$A$336,MATCH(H165,$H$5:$H$336,0))</f>
        <v>A0161</v>
      </c>
      <c r="K165" s="17" t="str">
        <f aca="false">IF(C165&lt;&gt;"",C165,IF(INDEX($C$5:$C$336,MATCH(J165,$A$5:$A$336,0))&lt;&gt;"",INDEX($C$5:$C$336,MATCH(J165,$A$5:$A$336,0)),"Unassigned"))</f>
        <v>Health</v>
      </c>
      <c r="L165" s="7" t="n">
        <f aca="false">IF(C165="",1,0)</f>
        <v>0</v>
      </c>
    </row>
    <row r="166" customFormat="false" ht="15" hidden="false" customHeight="false" outlineLevel="0" collapsed="false">
      <c r="A166" s="16" t="s">
        <v>240</v>
      </c>
      <c r="B166" s="16" t="s">
        <v>2949</v>
      </c>
      <c r="C166" s="16" t="s">
        <v>45</v>
      </c>
      <c r="D166" s="16" t="s">
        <v>2843</v>
      </c>
      <c r="E166" s="16" t="s">
        <v>2619</v>
      </c>
      <c r="F166" s="16" t="s">
        <v>2612</v>
      </c>
      <c r="G166" s="16" t="s">
        <v>651</v>
      </c>
      <c r="H166" s="16" t="s">
        <v>2950</v>
      </c>
      <c r="I166" s="7" t="n">
        <f aca="false">IF(COUNTIF($H$5:$H$336,H166)&gt;1,1,0)</f>
        <v>0</v>
      </c>
      <c r="J166" s="17" t="str">
        <f aca="false">INDEX($A$5:$A$336,MATCH(H166,$H$5:$H$336,0))</f>
        <v>A0162</v>
      </c>
      <c r="K166" s="17" t="str">
        <f aca="false">IF(C166&lt;&gt;"",C166,IF(INDEX($C$5:$C$336,MATCH(J166,$A$5:$A$336,0))&lt;&gt;"",INDEX($C$5:$C$336,MATCH(J166,$A$5:$A$336,0)),"Unassigned"))</f>
        <v>Public Sector &amp; Development</v>
      </c>
      <c r="L166" s="7" t="n">
        <f aca="false">IF(C166="",1,0)</f>
        <v>0</v>
      </c>
    </row>
    <row r="167" customFormat="false" ht="15" hidden="false" customHeight="false" outlineLevel="0" collapsed="false">
      <c r="A167" s="16" t="s">
        <v>2309</v>
      </c>
      <c r="B167" s="16" t="s">
        <v>2951</v>
      </c>
      <c r="C167" s="16" t="s">
        <v>43</v>
      </c>
      <c r="D167" s="16" t="s">
        <v>2843</v>
      </c>
      <c r="E167" s="16" t="s">
        <v>2622</v>
      </c>
      <c r="F167" s="16" t="s">
        <v>2635</v>
      </c>
      <c r="G167" s="16" t="s">
        <v>573</v>
      </c>
      <c r="H167" s="16" t="s">
        <v>2952</v>
      </c>
      <c r="I167" s="7" t="n">
        <f aca="false">IF(COUNTIF($H$5:$H$336,H167)&gt;1,1,0)</f>
        <v>0</v>
      </c>
      <c r="J167" s="17" t="str">
        <f aca="false">INDEX($A$5:$A$336,MATCH(H167,$H$5:$H$336,0))</f>
        <v>A0163</v>
      </c>
      <c r="K167" s="17" t="str">
        <f aca="false">IF(C167&lt;&gt;"",C167,IF(INDEX($C$5:$C$336,MATCH(J167,$A$5:$A$336,0))&lt;&gt;"",INDEX($C$5:$C$336,MATCH(J167,$A$5:$A$336,0)),"Unassigned"))</f>
        <v>Financial Services</v>
      </c>
      <c r="L167" s="7" t="n">
        <f aca="false">IF(C167="",1,0)</f>
        <v>0</v>
      </c>
    </row>
    <row r="168" customFormat="false" ht="15" hidden="false" customHeight="false" outlineLevel="0" collapsed="false">
      <c r="A168" s="16" t="s">
        <v>199</v>
      </c>
      <c r="B168" s="16" t="s">
        <v>2953</v>
      </c>
      <c r="C168" s="16" t="s">
        <v>45</v>
      </c>
      <c r="D168" s="16" t="s">
        <v>2843</v>
      </c>
      <c r="E168" s="16" t="s">
        <v>2658</v>
      </c>
      <c r="F168" s="16" t="s">
        <v>2612</v>
      </c>
      <c r="G168" s="16" t="s">
        <v>600</v>
      </c>
      <c r="H168" s="16" t="s">
        <v>2954</v>
      </c>
      <c r="I168" s="7" t="n">
        <f aca="false">IF(COUNTIF($H$5:$H$336,H168)&gt;1,1,0)</f>
        <v>0</v>
      </c>
      <c r="J168" s="17" t="str">
        <f aca="false">INDEX($A$5:$A$336,MATCH(H168,$H$5:$H$336,0))</f>
        <v>A0164</v>
      </c>
      <c r="K168" s="17" t="str">
        <f aca="false">IF(C168&lt;&gt;"",C168,IF(INDEX($C$5:$C$336,MATCH(J168,$A$5:$A$336,0))&lt;&gt;"",INDEX($C$5:$C$336,MATCH(J168,$A$5:$A$336,0)),"Unassigned"))</f>
        <v>Public Sector &amp; Development</v>
      </c>
      <c r="L168" s="7" t="n">
        <f aca="false">IF(C168="",1,0)</f>
        <v>0</v>
      </c>
    </row>
    <row r="169" customFormat="false" ht="15" hidden="false" customHeight="false" outlineLevel="0" collapsed="false">
      <c r="A169" s="16" t="s">
        <v>490</v>
      </c>
      <c r="B169" s="16" t="s">
        <v>2955</v>
      </c>
      <c r="C169" s="16" t="s">
        <v>43</v>
      </c>
      <c r="D169" s="16" t="s">
        <v>2843</v>
      </c>
      <c r="E169" s="16" t="s">
        <v>2615</v>
      </c>
      <c r="F169" s="16" t="s">
        <v>2612</v>
      </c>
      <c r="G169" s="16" t="s">
        <v>567</v>
      </c>
      <c r="H169" s="16" t="s">
        <v>2956</v>
      </c>
      <c r="I169" s="7" t="n">
        <f aca="false">IF(COUNTIF($H$5:$H$336,H169)&gt;1,1,0)</f>
        <v>0</v>
      </c>
      <c r="J169" s="17" t="str">
        <f aca="false">INDEX($A$5:$A$336,MATCH(H169,$H$5:$H$336,0))</f>
        <v>A0165</v>
      </c>
      <c r="K169" s="17" t="str">
        <f aca="false">IF(C169&lt;&gt;"",C169,IF(INDEX($C$5:$C$336,MATCH(J169,$A$5:$A$336,0))&lt;&gt;"",INDEX($C$5:$C$336,MATCH(J169,$A$5:$A$336,0)),"Unassigned"))</f>
        <v>Financial Services</v>
      </c>
      <c r="L169" s="7" t="n">
        <f aca="false">IF(C169="",1,0)</f>
        <v>0</v>
      </c>
    </row>
    <row r="170" customFormat="false" ht="15" hidden="false" customHeight="false" outlineLevel="0" collapsed="false">
      <c r="A170" s="16" t="s">
        <v>480</v>
      </c>
      <c r="B170" s="16" t="s">
        <v>2957</v>
      </c>
      <c r="C170" s="16" t="s">
        <v>45</v>
      </c>
      <c r="D170" s="16" t="s">
        <v>2843</v>
      </c>
      <c r="E170" s="16" t="s">
        <v>2611</v>
      </c>
      <c r="F170" s="16" t="s">
        <v>2635</v>
      </c>
      <c r="G170" s="16" t="s">
        <v>637</v>
      </c>
      <c r="H170" s="16" t="s">
        <v>2958</v>
      </c>
      <c r="I170" s="7" t="n">
        <f aca="false">IF(COUNTIF($H$5:$H$336,H170)&gt;1,1,0)</f>
        <v>0</v>
      </c>
      <c r="J170" s="17" t="str">
        <f aca="false">INDEX($A$5:$A$336,MATCH(H170,$H$5:$H$336,0))</f>
        <v>A0166</v>
      </c>
      <c r="K170" s="17" t="str">
        <f aca="false">IF(C170&lt;&gt;"",C170,IF(INDEX($C$5:$C$336,MATCH(J170,$A$5:$A$336,0))&lt;&gt;"",INDEX($C$5:$C$336,MATCH(J170,$A$5:$A$336,0)),"Unassigned"))</f>
        <v>Public Sector &amp; Development</v>
      </c>
      <c r="L170" s="7" t="n">
        <f aca="false">IF(C170="",1,0)</f>
        <v>0</v>
      </c>
    </row>
    <row r="171" customFormat="false" ht="15" hidden="false" customHeight="false" outlineLevel="0" collapsed="false">
      <c r="A171" s="16" t="s">
        <v>175</v>
      </c>
      <c r="B171" s="16" t="s">
        <v>2959</v>
      </c>
      <c r="C171" s="16" t="s">
        <v>41</v>
      </c>
      <c r="D171" s="16" t="s">
        <v>2843</v>
      </c>
      <c r="E171" s="16" t="s">
        <v>2615</v>
      </c>
      <c r="F171" s="16" t="s">
        <v>2659</v>
      </c>
      <c r="G171" s="16" t="s">
        <v>880</v>
      </c>
      <c r="H171" s="16" t="s">
        <v>2960</v>
      </c>
      <c r="I171" s="7" t="n">
        <f aca="false">IF(COUNTIF($H$5:$H$336,H171)&gt;1,1,0)</f>
        <v>0</v>
      </c>
      <c r="J171" s="17" t="str">
        <f aca="false">INDEX($A$5:$A$336,MATCH(H171,$H$5:$H$336,0))</f>
        <v>A0167</v>
      </c>
      <c r="K171" s="17" t="str">
        <f aca="false">IF(C171&lt;&gt;"",C171,IF(INDEX($C$5:$C$336,MATCH(J171,$A$5:$A$336,0))&lt;&gt;"",INDEX($C$5:$C$336,MATCH(J171,$A$5:$A$336,0)),"Unassigned"))</f>
        <v>Consumer &amp; Retail</v>
      </c>
      <c r="L171" s="7" t="n">
        <f aca="false">IF(C171="",1,0)</f>
        <v>0</v>
      </c>
    </row>
    <row r="172" customFormat="false" ht="15" hidden="false" customHeight="false" outlineLevel="0" collapsed="false">
      <c r="A172" s="16" t="s">
        <v>1003</v>
      </c>
      <c r="B172" s="16" t="s">
        <v>2961</v>
      </c>
      <c r="C172" s="16" t="s">
        <v>40</v>
      </c>
      <c r="D172" s="16" t="s">
        <v>2843</v>
      </c>
      <c r="E172" s="16" t="s">
        <v>2615</v>
      </c>
      <c r="F172" s="16" t="s">
        <v>2612</v>
      </c>
      <c r="G172" s="16" t="s">
        <v>704</v>
      </c>
      <c r="H172" s="16" t="s">
        <v>2962</v>
      </c>
      <c r="I172" s="7" t="n">
        <f aca="false">IF(COUNTIF($H$5:$H$336,H172)&gt;1,1,0)</f>
        <v>0</v>
      </c>
      <c r="J172" s="17" t="str">
        <f aca="false">INDEX($A$5:$A$336,MATCH(H172,$H$5:$H$336,0))</f>
        <v>A0168</v>
      </c>
      <c r="K172" s="17" t="str">
        <f aca="false">IF(C172&lt;&gt;"",C172,IF(INDEX($C$5:$C$336,MATCH(J172,$A$5:$A$336,0))&lt;&gt;"",INDEX($C$5:$C$336,MATCH(J172,$A$5:$A$336,0)),"Unassigned"))</f>
        <v>Agribusiness</v>
      </c>
      <c r="L172" s="7" t="n">
        <f aca="false">IF(C172="",1,0)</f>
        <v>0</v>
      </c>
    </row>
    <row r="173" customFormat="false" ht="15" hidden="false" customHeight="false" outlineLevel="0" collapsed="false">
      <c r="A173" s="16" t="s">
        <v>973</v>
      </c>
      <c r="B173" s="16" t="s">
        <v>2963</v>
      </c>
      <c r="C173" s="16" t="s">
        <v>41</v>
      </c>
      <c r="D173" s="16" t="s">
        <v>2843</v>
      </c>
      <c r="E173" s="16" t="s">
        <v>2615</v>
      </c>
      <c r="F173" s="16" t="s">
        <v>2662</v>
      </c>
      <c r="G173" s="16" t="s">
        <v>654</v>
      </c>
      <c r="H173" s="16" t="s">
        <v>2964</v>
      </c>
      <c r="I173" s="7" t="n">
        <f aca="false">IF(COUNTIF($H$5:$H$336,H173)&gt;1,1,0)</f>
        <v>0</v>
      </c>
      <c r="J173" s="17" t="str">
        <f aca="false">INDEX($A$5:$A$336,MATCH(H173,$H$5:$H$336,0))</f>
        <v>A0169</v>
      </c>
      <c r="K173" s="17" t="str">
        <f aca="false">IF(C173&lt;&gt;"",C173,IF(INDEX($C$5:$C$336,MATCH(J173,$A$5:$A$336,0))&lt;&gt;"",INDEX($C$5:$C$336,MATCH(J173,$A$5:$A$336,0)),"Unassigned"))</f>
        <v>Consumer &amp; Retail</v>
      </c>
      <c r="L173" s="7" t="n">
        <f aca="false">IF(C173="",1,0)</f>
        <v>0</v>
      </c>
    </row>
    <row r="174" customFormat="false" ht="15" hidden="false" customHeight="false" outlineLevel="0" collapsed="false">
      <c r="A174" s="16" t="s">
        <v>2348</v>
      </c>
      <c r="B174" s="16" t="s">
        <v>2965</v>
      </c>
      <c r="C174" s="16" t="s">
        <v>43</v>
      </c>
      <c r="D174" s="16" t="s">
        <v>2843</v>
      </c>
      <c r="E174" s="16" t="s">
        <v>2615</v>
      </c>
      <c r="F174" s="16" t="s">
        <v>2612</v>
      </c>
      <c r="G174" s="16" t="s">
        <v>583</v>
      </c>
      <c r="H174" s="16" t="s">
        <v>2966</v>
      </c>
      <c r="I174" s="7" t="n">
        <f aca="false">IF(COUNTIF($H$5:$H$336,H174)&gt;1,1,0)</f>
        <v>0</v>
      </c>
      <c r="J174" s="17" t="str">
        <f aca="false">INDEX($A$5:$A$336,MATCH(H174,$H$5:$H$336,0))</f>
        <v>A0170</v>
      </c>
      <c r="K174" s="17" t="str">
        <f aca="false">IF(C174&lt;&gt;"",C174,IF(INDEX($C$5:$C$336,MATCH(J174,$A$5:$A$336,0))&lt;&gt;"",INDEX($C$5:$C$336,MATCH(J174,$A$5:$A$336,0)),"Unassigned"))</f>
        <v>Financial Services</v>
      </c>
      <c r="L174" s="7" t="n">
        <f aca="false">IF(C174="",1,0)</f>
        <v>0</v>
      </c>
    </row>
    <row r="175" customFormat="false" ht="15" hidden="false" customHeight="false" outlineLevel="0" collapsed="false">
      <c r="A175" s="16" t="s">
        <v>2038</v>
      </c>
      <c r="B175" s="16" t="s">
        <v>2967</v>
      </c>
      <c r="C175" s="16" t="s">
        <v>40</v>
      </c>
      <c r="D175" s="16" t="s">
        <v>2843</v>
      </c>
      <c r="E175" s="16" t="s">
        <v>2615</v>
      </c>
      <c r="F175" s="16" t="s">
        <v>2612</v>
      </c>
      <c r="G175" s="16" t="s">
        <v>717</v>
      </c>
      <c r="H175" s="16" t="s">
        <v>2968</v>
      </c>
      <c r="I175" s="7" t="n">
        <f aca="false">IF(COUNTIF($H$5:$H$336,H175)&gt;1,1,0)</f>
        <v>0</v>
      </c>
      <c r="J175" s="17" t="str">
        <f aca="false">INDEX($A$5:$A$336,MATCH(H175,$H$5:$H$336,0))</f>
        <v>A0171</v>
      </c>
      <c r="K175" s="17" t="str">
        <f aca="false">IF(C175&lt;&gt;"",C175,IF(INDEX($C$5:$C$336,MATCH(J175,$A$5:$A$336,0))&lt;&gt;"",INDEX($C$5:$C$336,MATCH(J175,$A$5:$A$336,0)),"Unassigned"))</f>
        <v>Agribusiness</v>
      </c>
      <c r="L175" s="7" t="n">
        <f aca="false">IF(C175="",1,0)</f>
        <v>0</v>
      </c>
    </row>
    <row r="176" customFormat="false" ht="15" hidden="false" customHeight="false" outlineLevel="0" collapsed="false">
      <c r="A176" s="16" t="s">
        <v>2969</v>
      </c>
      <c r="B176" s="16" t="s">
        <v>2970</v>
      </c>
      <c r="C176" s="16" t="s">
        <v>42</v>
      </c>
      <c r="D176" s="16" t="s">
        <v>2843</v>
      </c>
      <c r="E176" s="16" t="s">
        <v>2658</v>
      </c>
      <c r="F176" s="16" t="s">
        <v>2612</v>
      </c>
      <c r="G176" s="16" t="s">
        <v>622</v>
      </c>
      <c r="H176" s="16" t="s">
        <v>2971</v>
      </c>
      <c r="I176" s="7" t="n">
        <f aca="false">IF(COUNTIF($H$5:$H$336,H176)&gt;1,1,0)</f>
        <v>0</v>
      </c>
      <c r="J176" s="17" t="str">
        <f aca="false">INDEX($A$5:$A$336,MATCH(H176,$H$5:$H$336,0))</f>
        <v>A0172</v>
      </c>
      <c r="K176" s="17" t="str">
        <f aca="false">IF(C176&lt;&gt;"",C176,IF(INDEX($C$5:$C$336,MATCH(J176,$A$5:$A$336,0))&lt;&gt;"",INDEX($C$5:$C$336,MATCH(J176,$A$5:$A$336,0)),"Unassigned"))</f>
        <v>Energy &amp; Resources</v>
      </c>
      <c r="L176" s="7" t="n">
        <f aca="false">IF(C176="",1,0)</f>
        <v>0</v>
      </c>
    </row>
    <row r="177" customFormat="false" ht="15" hidden="false" customHeight="false" outlineLevel="0" collapsed="false">
      <c r="A177" s="16" t="s">
        <v>847</v>
      </c>
      <c r="B177" s="16" t="s">
        <v>2972</v>
      </c>
      <c r="C177" s="16" t="s">
        <v>45</v>
      </c>
      <c r="D177" s="16" t="s">
        <v>2843</v>
      </c>
      <c r="E177" s="16" t="s">
        <v>2619</v>
      </c>
      <c r="F177" s="16" t="s">
        <v>2662</v>
      </c>
      <c r="G177" s="16" t="s">
        <v>633</v>
      </c>
      <c r="H177" s="16" t="s">
        <v>2973</v>
      </c>
      <c r="I177" s="7" t="n">
        <f aca="false">IF(COUNTIF($H$5:$H$336,H177)&gt;1,1,0)</f>
        <v>0</v>
      </c>
      <c r="J177" s="17" t="str">
        <f aca="false">INDEX($A$5:$A$336,MATCH(H177,$H$5:$H$336,0))</f>
        <v>A0173</v>
      </c>
      <c r="K177" s="17" t="str">
        <f aca="false">IF(C177&lt;&gt;"",C177,IF(INDEX($C$5:$C$336,MATCH(J177,$A$5:$A$336,0))&lt;&gt;"",INDEX($C$5:$C$336,MATCH(J177,$A$5:$A$336,0)),"Unassigned"))</f>
        <v>Public Sector &amp; Development</v>
      </c>
      <c r="L177" s="7" t="n">
        <f aca="false">IF(C177="",1,0)</f>
        <v>0</v>
      </c>
    </row>
    <row r="178" customFormat="false" ht="15" hidden="false" customHeight="false" outlineLevel="0" collapsed="false">
      <c r="A178" s="16" t="s">
        <v>2974</v>
      </c>
      <c r="B178" s="16" t="s">
        <v>2975</v>
      </c>
      <c r="C178" s="16" t="s">
        <v>47</v>
      </c>
      <c r="D178" s="16" t="s">
        <v>2843</v>
      </c>
      <c r="E178" s="16" t="s">
        <v>2611</v>
      </c>
      <c r="F178" s="16" t="s">
        <v>2612</v>
      </c>
      <c r="G178" s="16" t="s">
        <v>654</v>
      </c>
      <c r="H178" s="16" t="s">
        <v>2976</v>
      </c>
      <c r="I178" s="7" t="n">
        <f aca="false">IF(COUNTIF($H$5:$H$336,H178)&gt;1,1,0)</f>
        <v>0</v>
      </c>
      <c r="J178" s="17" t="str">
        <f aca="false">INDEX($A$5:$A$336,MATCH(H178,$H$5:$H$336,0))</f>
        <v>A0174</v>
      </c>
      <c r="K178" s="17" t="str">
        <f aca="false">IF(C178&lt;&gt;"",C178,IF(INDEX($C$5:$C$336,MATCH(J178,$A$5:$A$336,0))&lt;&gt;"",INDEX($C$5:$C$336,MATCH(J178,$A$5:$A$336,0)),"Unassigned"))</f>
        <v>Technology, Media &amp; Telecom</v>
      </c>
      <c r="L178" s="7" t="n">
        <f aca="false">IF(C178="",1,0)</f>
        <v>0</v>
      </c>
    </row>
    <row r="179" customFormat="false" ht="15" hidden="false" customHeight="false" outlineLevel="0" collapsed="false">
      <c r="A179" s="16" t="s">
        <v>2172</v>
      </c>
      <c r="B179" s="16" t="s">
        <v>2977</v>
      </c>
      <c r="C179" s="16" t="s">
        <v>45</v>
      </c>
      <c r="D179" s="16" t="s">
        <v>2843</v>
      </c>
      <c r="E179" s="16" t="s">
        <v>2622</v>
      </c>
      <c r="F179" s="16" t="s">
        <v>2635</v>
      </c>
      <c r="G179" s="16" t="s">
        <v>637</v>
      </c>
      <c r="H179" s="16" t="s">
        <v>2978</v>
      </c>
      <c r="I179" s="7" t="n">
        <f aca="false">IF(COUNTIF($H$5:$H$336,H179)&gt;1,1,0)</f>
        <v>0</v>
      </c>
      <c r="J179" s="17" t="str">
        <f aca="false">INDEX($A$5:$A$336,MATCH(H179,$H$5:$H$336,0))</f>
        <v>A0175</v>
      </c>
      <c r="K179" s="17" t="str">
        <f aca="false">IF(C179&lt;&gt;"",C179,IF(INDEX($C$5:$C$336,MATCH(J179,$A$5:$A$336,0))&lt;&gt;"",INDEX($C$5:$C$336,MATCH(J179,$A$5:$A$336,0)),"Unassigned"))</f>
        <v>Public Sector &amp; Development</v>
      </c>
      <c r="L179" s="7" t="n">
        <f aca="false">IF(C179="",1,0)</f>
        <v>0</v>
      </c>
    </row>
    <row r="180" customFormat="false" ht="15" hidden="false" customHeight="false" outlineLevel="0" collapsed="false">
      <c r="A180" s="16" t="s">
        <v>429</v>
      </c>
      <c r="B180" s="16" t="s">
        <v>2979</v>
      </c>
      <c r="C180" s="16" t="s">
        <v>43</v>
      </c>
      <c r="D180" s="16" t="s">
        <v>2843</v>
      </c>
      <c r="E180" s="16" t="s">
        <v>2622</v>
      </c>
      <c r="F180" s="16" t="s">
        <v>2659</v>
      </c>
      <c r="G180" s="16" t="s">
        <v>591</v>
      </c>
      <c r="H180" s="16" t="s">
        <v>2980</v>
      </c>
      <c r="I180" s="7" t="n">
        <f aca="false">IF(COUNTIF($H$5:$H$336,H180)&gt;1,1,0)</f>
        <v>0</v>
      </c>
      <c r="J180" s="17" t="str">
        <f aca="false">INDEX($A$5:$A$336,MATCH(H180,$H$5:$H$336,0))</f>
        <v>A0176</v>
      </c>
      <c r="K180" s="17" t="str">
        <f aca="false">IF(C180&lt;&gt;"",C180,IF(INDEX($C$5:$C$336,MATCH(J180,$A$5:$A$336,0))&lt;&gt;"",INDEX($C$5:$C$336,MATCH(J180,$A$5:$A$336,0)),"Unassigned"))</f>
        <v>Financial Services</v>
      </c>
      <c r="L180" s="7" t="n">
        <f aca="false">IF(C180="",1,0)</f>
        <v>0</v>
      </c>
    </row>
    <row r="181" customFormat="false" ht="15" hidden="false" customHeight="false" outlineLevel="0" collapsed="false">
      <c r="A181" s="16" t="s">
        <v>1387</v>
      </c>
      <c r="B181" s="16" t="s">
        <v>2981</v>
      </c>
      <c r="C181" s="16" t="s">
        <v>40</v>
      </c>
      <c r="D181" s="16" t="s">
        <v>2843</v>
      </c>
      <c r="E181" s="16" t="s">
        <v>2611</v>
      </c>
      <c r="F181" s="16" t="s">
        <v>2612</v>
      </c>
      <c r="G181" s="16" t="s">
        <v>591</v>
      </c>
      <c r="H181" s="16" t="s">
        <v>2982</v>
      </c>
      <c r="I181" s="7" t="n">
        <f aca="false">IF(COUNTIF($H$5:$H$336,H181)&gt;1,1,0)</f>
        <v>0</v>
      </c>
      <c r="J181" s="17" t="str">
        <f aca="false">INDEX($A$5:$A$336,MATCH(H181,$H$5:$H$336,0))</f>
        <v>A0177</v>
      </c>
      <c r="K181" s="17" t="str">
        <f aca="false">IF(C181&lt;&gt;"",C181,IF(INDEX($C$5:$C$336,MATCH(J181,$A$5:$A$336,0))&lt;&gt;"",INDEX($C$5:$C$336,MATCH(J181,$A$5:$A$336,0)),"Unassigned"))</f>
        <v>Agribusiness</v>
      </c>
      <c r="L181" s="7" t="n">
        <f aca="false">IF(C181="",1,0)</f>
        <v>0</v>
      </c>
    </row>
    <row r="182" customFormat="false" ht="15" hidden="false" customHeight="false" outlineLevel="0" collapsed="false">
      <c r="A182" s="16" t="s">
        <v>340</v>
      </c>
      <c r="B182" s="16" t="s">
        <v>2983</v>
      </c>
      <c r="C182" s="16" t="s">
        <v>45</v>
      </c>
      <c r="D182" s="16" t="s">
        <v>2843</v>
      </c>
      <c r="E182" s="16" t="s">
        <v>2658</v>
      </c>
      <c r="F182" s="16" t="s">
        <v>2612</v>
      </c>
      <c r="G182" s="16" t="s">
        <v>640</v>
      </c>
      <c r="H182" s="16" t="s">
        <v>2984</v>
      </c>
      <c r="I182" s="7" t="n">
        <f aca="false">IF(COUNTIF($H$5:$H$336,H182)&gt;1,1,0)</f>
        <v>0</v>
      </c>
      <c r="J182" s="17" t="str">
        <f aca="false">INDEX($A$5:$A$336,MATCH(H182,$H$5:$H$336,0))</f>
        <v>A0178</v>
      </c>
      <c r="K182" s="17" t="str">
        <f aca="false">IF(C182&lt;&gt;"",C182,IF(INDEX($C$5:$C$336,MATCH(J182,$A$5:$A$336,0))&lt;&gt;"",INDEX($C$5:$C$336,MATCH(J182,$A$5:$A$336,0)),"Unassigned"))</f>
        <v>Public Sector &amp; Development</v>
      </c>
      <c r="L182" s="7" t="n">
        <f aca="false">IF(C182="",1,0)</f>
        <v>0</v>
      </c>
    </row>
    <row r="183" customFormat="false" ht="15" hidden="false" customHeight="false" outlineLevel="0" collapsed="false">
      <c r="A183" s="16" t="s">
        <v>1152</v>
      </c>
      <c r="B183" s="16" t="s">
        <v>2985</v>
      </c>
      <c r="C183" s="16" t="s">
        <v>45</v>
      </c>
      <c r="D183" s="16" t="s">
        <v>2843</v>
      </c>
      <c r="E183" s="16" t="s">
        <v>2615</v>
      </c>
      <c r="F183" s="16" t="s">
        <v>2612</v>
      </c>
      <c r="G183" s="16" t="s">
        <v>604</v>
      </c>
      <c r="H183" s="16" t="s">
        <v>2986</v>
      </c>
      <c r="I183" s="7" t="n">
        <f aca="false">IF(COUNTIF($H$5:$H$336,H183)&gt;1,1,0)</f>
        <v>0</v>
      </c>
      <c r="J183" s="17" t="str">
        <f aca="false">INDEX($A$5:$A$336,MATCH(H183,$H$5:$H$336,0))</f>
        <v>A0179</v>
      </c>
      <c r="K183" s="17" t="str">
        <f aca="false">IF(C183&lt;&gt;"",C183,IF(INDEX($C$5:$C$336,MATCH(J183,$A$5:$A$336,0))&lt;&gt;"",INDEX($C$5:$C$336,MATCH(J183,$A$5:$A$336,0)),"Unassigned"))</f>
        <v>Public Sector &amp; Development</v>
      </c>
      <c r="L183" s="7" t="n">
        <f aca="false">IF(C183="",1,0)</f>
        <v>0</v>
      </c>
    </row>
    <row r="184" customFormat="false" ht="15" hidden="false" customHeight="false" outlineLevel="0" collapsed="false">
      <c r="A184" s="16" t="s">
        <v>281</v>
      </c>
      <c r="B184" s="16" t="s">
        <v>2987</v>
      </c>
      <c r="C184" s="16" t="s">
        <v>45</v>
      </c>
      <c r="D184" s="16" t="s">
        <v>2843</v>
      </c>
      <c r="E184" s="16" t="s">
        <v>2622</v>
      </c>
      <c r="F184" s="16" t="s">
        <v>2612</v>
      </c>
      <c r="G184" s="16" t="s">
        <v>663</v>
      </c>
      <c r="H184" s="16" t="s">
        <v>2988</v>
      </c>
      <c r="I184" s="7" t="n">
        <f aca="false">IF(COUNTIF($H$5:$H$336,H184)&gt;1,1,0)</f>
        <v>0</v>
      </c>
      <c r="J184" s="17" t="str">
        <f aca="false">INDEX($A$5:$A$336,MATCH(H184,$H$5:$H$336,0))</f>
        <v>A0180</v>
      </c>
      <c r="K184" s="17" t="str">
        <f aca="false">IF(C184&lt;&gt;"",C184,IF(INDEX($C$5:$C$336,MATCH(J184,$A$5:$A$336,0))&lt;&gt;"",INDEX($C$5:$C$336,MATCH(J184,$A$5:$A$336,0)),"Unassigned"))</f>
        <v>Public Sector &amp; Development</v>
      </c>
      <c r="L184" s="7" t="n">
        <f aca="false">IF(C184="",1,0)</f>
        <v>0</v>
      </c>
    </row>
    <row r="185" customFormat="false" ht="15" hidden="false" customHeight="false" outlineLevel="0" collapsed="false">
      <c r="A185" s="16" t="s">
        <v>2539</v>
      </c>
      <c r="B185" s="16" t="s">
        <v>2989</v>
      </c>
      <c r="C185" s="16" t="s">
        <v>43</v>
      </c>
      <c r="D185" s="16" t="s">
        <v>2843</v>
      </c>
      <c r="E185" s="16" t="s">
        <v>2615</v>
      </c>
      <c r="F185" s="16" t="s">
        <v>2616</v>
      </c>
      <c r="G185" s="16" t="s">
        <v>588</v>
      </c>
      <c r="H185" s="16" t="s">
        <v>2990</v>
      </c>
      <c r="I185" s="7" t="n">
        <f aca="false">IF(COUNTIF($H$5:$H$336,H185)&gt;1,1,0)</f>
        <v>0</v>
      </c>
      <c r="J185" s="17" t="str">
        <f aca="false">INDEX($A$5:$A$336,MATCH(H185,$H$5:$H$336,0))</f>
        <v>A0181</v>
      </c>
      <c r="K185" s="17" t="str">
        <f aca="false">IF(C185&lt;&gt;"",C185,IF(INDEX($C$5:$C$336,MATCH(J185,$A$5:$A$336,0))&lt;&gt;"",INDEX($C$5:$C$336,MATCH(J185,$A$5:$A$336,0)),"Unassigned"))</f>
        <v>Financial Services</v>
      </c>
      <c r="L185" s="7" t="n">
        <f aca="false">IF(C185="",1,0)</f>
        <v>0</v>
      </c>
    </row>
    <row r="186" customFormat="false" ht="15" hidden="false" customHeight="false" outlineLevel="0" collapsed="false">
      <c r="A186" s="16" t="s">
        <v>1719</v>
      </c>
      <c r="B186" s="16" t="s">
        <v>2991</v>
      </c>
      <c r="C186" s="16" t="s">
        <v>41</v>
      </c>
      <c r="D186" s="16" t="s">
        <v>2843</v>
      </c>
      <c r="E186" s="16" t="s">
        <v>2622</v>
      </c>
      <c r="F186" s="16" t="s">
        <v>2612</v>
      </c>
      <c r="G186" s="16" t="s">
        <v>578</v>
      </c>
      <c r="H186" s="16" t="s">
        <v>2992</v>
      </c>
      <c r="I186" s="7" t="n">
        <f aca="false">IF(COUNTIF($H$5:$H$336,H186)&gt;1,1,0)</f>
        <v>0</v>
      </c>
      <c r="J186" s="17" t="str">
        <f aca="false">INDEX($A$5:$A$336,MATCH(H186,$H$5:$H$336,0))</f>
        <v>A0182</v>
      </c>
      <c r="K186" s="17" t="str">
        <f aca="false">IF(C186&lt;&gt;"",C186,IF(INDEX($C$5:$C$336,MATCH(J186,$A$5:$A$336,0))&lt;&gt;"",INDEX($C$5:$C$336,MATCH(J186,$A$5:$A$336,0)),"Unassigned"))</f>
        <v>Consumer &amp; Retail</v>
      </c>
      <c r="L186" s="7" t="n">
        <f aca="false">IF(C186="",1,0)</f>
        <v>0</v>
      </c>
    </row>
    <row r="187" customFormat="false" ht="15" hidden="false" customHeight="false" outlineLevel="0" collapsed="false">
      <c r="A187" s="16" t="s">
        <v>753</v>
      </c>
      <c r="B187" s="16" t="s">
        <v>2993</v>
      </c>
      <c r="C187" s="16" t="s">
        <v>45</v>
      </c>
      <c r="D187" s="16" t="s">
        <v>2843</v>
      </c>
      <c r="E187" s="16" t="s">
        <v>2622</v>
      </c>
      <c r="F187" s="16" t="s">
        <v>2612</v>
      </c>
      <c r="G187" s="16" t="s">
        <v>654</v>
      </c>
      <c r="H187" s="16" t="s">
        <v>2994</v>
      </c>
      <c r="I187" s="7" t="n">
        <f aca="false">IF(COUNTIF($H$5:$H$336,H187)&gt;1,1,0)</f>
        <v>0</v>
      </c>
      <c r="J187" s="17" t="str">
        <f aca="false">INDEX($A$5:$A$336,MATCH(H187,$H$5:$H$336,0))</f>
        <v>A0183</v>
      </c>
      <c r="K187" s="17" t="str">
        <f aca="false">IF(C187&lt;&gt;"",C187,IF(INDEX($C$5:$C$336,MATCH(J187,$A$5:$A$336,0))&lt;&gt;"",INDEX($C$5:$C$336,MATCH(J187,$A$5:$A$336,0)),"Unassigned"))</f>
        <v>Public Sector &amp; Development</v>
      </c>
      <c r="L187" s="7" t="n">
        <f aca="false">IF(C187="",1,0)</f>
        <v>0</v>
      </c>
    </row>
    <row r="188" customFormat="false" ht="15" hidden="false" customHeight="false" outlineLevel="0" collapsed="false">
      <c r="A188" s="16" t="s">
        <v>367</v>
      </c>
      <c r="B188" s="16" t="s">
        <v>2995</v>
      </c>
      <c r="C188" s="16" t="s">
        <v>40</v>
      </c>
      <c r="D188" s="16" t="s">
        <v>2843</v>
      </c>
      <c r="E188" s="16" t="s">
        <v>2611</v>
      </c>
      <c r="F188" s="16" t="s">
        <v>2612</v>
      </c>
      <c r="G188" s="16" t="s">
        <v>654</v>
      </c>
      <c r="H188" s="16" t="s">
        <v>2996</v>
      </c>
      <c r="I188" s="7" t="n">
        <f aca="false">IF(COUNTIF($H$5:$H$336,H188)&gt;1,1,0)</f>
        <v>0</v>
      </c>
      <c r="J188" s="17" t="str">
        <f aca="false">INDEX($A$5:$A$336,MATCH(H188,$H$5:$H$336,0))</f>
        <v>A0184</v>
      </c>
      <c r="K188" s="17" t="str">
        <f aca="false">IF(C188&lt;&gt;"",C188,IF(INDEX($C$5:$C$336,MATCH(J188,$A$5:$A$336,0))&lt;&gt;"",INDEX($C$5:$C$336,MATCH(J188,$A$5:$A$336,0)),"Unassigned"))</f>
        <v>Agribusiness</v>
      </c>
      <c r="L188" s="7" t="n">
        <f aca="false">IF(C188="",1,0)</f>
        <v>0</v>
      </c>
    </row>
    <row r="189" customFormat="false" ht="15" hidden="false" customHeight="false" outlineLevel="0" collapsed="false">
      <c r="A189" s="16" t="s">
        <v>1159</v>
      </c>
      <c r="B189" s="16" t="s">
        <v>2997</v>
      </c>
      <c r="C189" s="16" t="s">
        <v>41</v>
      </c>
      <c r="D189" s="16" t="s">
        <v>2843</v>
      </c>
      <c r="E189" s="16" t="s">
        <v>2611</v>
      </c>
      <c r="F189" s="16" t="s">
        <v>2612</v>
      </c>
      <c r="G189" s="16" t="s">
        <v>831</v>
      </c>
      <c r="H189" s="16" t="s">
        <v>2998</v>
      </c>
      <c r="I189" s="7" t="n">
        <f aca="false">IF(COUNTIF($H$5:$H$336,H189)&gt;1,1,0)</f>
        <v>0</v>
      </c>
      <c r="J189" s="17" t="str">
        <f aca="false">INDEX($A$5:$A$336,MATCH(H189,$H$5:$H$336,0))</f>
        <v>A0185</v>
      </c>
      <c r="K189" s="17" t="str">
        <f aca="false">IF(C189&lt;&gt;"",C189,IF(INDEX($C$5:$C$336,MATCH(J189,$A$5:$A$336,0))&lt;&gt;"",INDEX($C$5:$C$336,MATCH(J189,$A$5:$A$336,0)),"Unassigned"))</f>
        <v>Consumer &amp; Retail</v>
      </c>
      <c r="L189" s="7" t="n">
        <f aca="false">IF(C189="",1,0)</f>
        <v>0</v>
      </c>
    </row>
    <row r="190" customFormat="false" ht="15" hidden="false" customHeight="false" outlineLevel="0" collapsed="false">
      <c r="A190" s="16" t="s">
        <v>264</v>
      </c>
      <c r="B190" s="16" t="s">
        <v>2999</v>
      </c>
      <c r="C190" s="16" t="s">
        <v>41</v>
      </c>
      <c r="D190" s="16" t="s">
        <v>2843</v>
      </c>
      <c r="E190" s="16" t="s">
        <v>2619</v>
      </c>
      <c r="F190" s="16" t="s">
        <v>2612</v>
      </c>
      <c r="G190" s="16" t="s">
        <v>604</v>
      </c>
      <c r="H190" s="16" t="s">
        <v>3000</v>
      </c>
      <c r="I190" s="7" t="n">
        <f aca="false">IF(COUNTIF($H$5:$H$336,H190)&gt;1,1,0)</f>
        <v>0</v>
      </c>
      <c r="J190" s="17" t="str">
        <f aca="false">INDEX($A$5:$A$336,MATCH(H190,$H$5:$H$336,0))</f>
        <v>A0186</v>
      </c>
      <c r="K190" s="17" t="str">
        <f aca="false">IF(C190&lt;&gt;"",C190,IF(INDEX($C$5:$C$336,MATCH(J190,$A$5:$A$336,0))&lt;&gt;"",INDEX($C$5:$C$336,MATCH(J190,$A$5:$A$336,0)),"Unassigned"))</f>
        <v>Consumer &amp; Retail</v>
      </c>
      <c r="L190" s="7" t="n">
        <f aca="false">IF(C190="",1,0)</f>
        <v>0</v>
      </c>
    </row>
    <row r="191" customFormat="false" ht="15" hidden="false" customHeight="false" outlineLevel="0" collapsed="false">
      <c r="A191" s="16" t="s">
        <v>1031</v>
      </c>
      <c r="B191" s="16" t="s">
        <v>3001</v>
      </c>
      <c r="C191" s="16" t="s">
        <v>42</v>
      </c>
      <c r="D191" s="16" t="s">
        <v>2843</v>
      </c>
      <c r="E191" s="16" t="s">
        <v>2658</v>
      </c>
      <c r="F191" s="16" t="s">
        <v>2612</v>
      </c>
      <c r="G191" s="16" t="s">
        <v>860</v>
      </c>
      <c r="H191" s="16" t="s">
        <v>3002</v>
      </c>
      <c r="I191" s="7" t="n">
        <f aca="false">IF(COUNTIF($H$5:$H$336,H191)&gt;1,1,0)</f>
        <v>0</v>
      </c>
      <c r="J191" s="17" t="str">
        <f aca="false">INDEX($A$5:$A$336,MATCH(H191,$H$5:$H$336,0))</f>
        <v>A0187</v>
      </c>
      <c r="K191" s="17" t="str">
        <f aca="false">IF(C191&lt;&gt;"",C191,IF(INDEX($C$5:$C$336,MATCH(J191,$A$5:$A$336,0))&lt;&gt;"",INDEX($C$5:$C$336,MATCH(J191,$A$5:$A$336,0)),"Unassigned"))</f>
        <v>Energy &amp; Resources</v>
      </c>
      <c r="L191" s="7" t="n">
        <f aca="false">IF(C191="",1,0)</f>
        <v>0</v>
      </c>
    </row>
    <row r="192" customFormat="false" ht="15" hidden="false" customHeight="false" outlineLevel="0" collapsed="false">
      <c r="A192" s="16" t="s">
        <v>311</v>
      </c>
      <c r="B192" s="16" t="s">
        <v>3003</v>
      </c>
      <c r="C192" s="16" t="s">
        <v>41</v>
      </c>
      <c r="D192" s="16" t="s">
        <v>2843</v>
      </c>
      <c r="E192" s="16" t="s">
        <v>2622</v>
      </c>
      <c r="F192" s="16" t="s">
        <v>2612</v>
      </c>
      <c r="G192" s="16" t="s">
        <v>604</v>
      </c>
      <c r="H192" s="16" t="s">
        <v>3004</v>
      </c>
      <c r="I192" s="7" t="n">
        <f aca="false">IF(COUNTIF($H$5:$H$336,H192)&gt;1,1,0)</f>
        <v>0</v>
      </c>
      <c r="J192" s="17" t="str">
        <f aca="false">INDEX($A$5:$A$336,MATCH(H192,$H$5:$H$336,0))</f>
        <v>A0188</v>
      </c>
      <c r="K192" s="17" t="str">
        <f aca="false">IF(C192&lt;&gt;"",C192,IF(INDEX($C$5:$C$336,MATCH(J192,$A$5:$A$336,0))&lt;&gt;"",INDEX($C$5:$C$336,MATCH(J192,$A$5:$A$336,0)),"Unassigned"))</f>
        <v>Consumer &amp; Retail</v>
      </c>
      <c r="L192" s="7" t="n">
        <f aca="false">IF(C192="",1,0)</f>
        <v>0</v>
      </c>
    </row>
    <row r="193" customFormat="false" ht="15" hidden="false" customHeight="false" outlineLevel="0" collapsed="false">
      <c r="A193" s="16" t="s">
        <v>942</v>
      </c>
      <c r="B193" s="16" t="s">
        <v>3005</v>
      </c>
      <c r="C193" s="16" t="s">
        <v>42</v>
      </c>
      <c r="D193" s="16" t="s">
        <v>2843</v>
      </c>
      <c r="E193" s="16" t="s">
        <v>2658</v>
      </c>
      <c r="F193" s="16" t="s">
        <v>2612</v>
      </c>
      <c r="G193" s="16" t="s">
        <v>567</v>
      </c>
      <c r="H193" s="16" t="s">
        <v>3006</v>
      </c>
      <c r="I193" s="7" t="n">
        <f aca="false">IF(COUNTIF($H$5:$H$336,H193)&gt;1,1,0)</f>
        <v>0</v>
      </c>
      <c r="J193" s="17" t="str">
        <f aca="false">INDEX($A$5:$A$336,MATCH(H193,$H$5:$H$336,0))</f>
        <v>A0189</v>
      </c>
      <c r="K193" s="17" t="str">
        <f aca="false">IF(C193&lt;&gt;"",C193,IF(INDEX($C$5:$C$336,MATCH(J193,$A$5:$A$336,0))&lt;&gt;"",INDEX($C$5:$C$336,MATCH(J193,$A$5:$A$336,0)),"Unassigned"))</f>
        <v>Energy &amp; Resources</v>
      </c>
      <c r="L193" s="7" t="n">
        <f aca="false">IF(C193="",1,0)</f>
        <v>0</v>
      </c>
    </row>
    <row r="194" customFormat="false" ht="15" hidden="false" customHeight="false" outlineLevel="0" collapsed="false">
      <c r="A194" s="16" t="s">
        <v>1339</v>
      </c>
      <c r="B194" s="16" t="s">
        <v>3007</v>
      </c>
      <c r="C194" s="16" t="s">
        <v>45</v>
      </c>
      <c r="D194" s="16" t="s">
        <v>2843</v>
      </c>
      <c r="E194" s="16" t="s">
        <v>2611</v>
      </c>
      <c r="F194" s="16" t="s">
        <v>2612</v>
      </c>
      <c r="G194" s="16" t="s">
        <v>654</v>
      </c>
      <c r="H194" s="16" t="s">
        <v>3008</v>
      </c>
      <c r="I194" s="7" t="n">
        <f aca="false">IF(COUNTIF($H$5:$H$336,H194)&gt;1,1,0)</f>
        <v>0</v>
      </c>
      <c r="J194" s="17" t="str">
        <f aca="false">INDEX($A$5:$A$336,MATCH(H194,$H$5:$H$336,0))</f>
        <v>A0190</v>
      </c>
      <c r="K194" s="17" t="str">
        <f aca="false">IF(C194&lt;&gt;"",C194,IF(INDEX($C$5:$C$336,MATCH(J194,$A$5:$A$336,0))&lt;&gt;"",INDEX($C$5:$C$336,MATCH(J194,$A$5:$A$336,0)),"Unassigned"))</f>
        <v>Public Sector &amp; Development</v>
      </c>
      <c r="L194" s="7" t="n">
        <f aca="false">IF(C194="",1,0)</f>
        <v>0</v>
      </c>
    </row>
    <row r="195" customFormat="false" ht="15" hidden="false" customHeight="false" outlineLevel="0" collapsed="false">
      <c r="A195" s="16" t="s">
        <v>389</v>
      </c>
      <c r="B195" s="16" t="s">
        <v>3009</v>
      </c>
      <c r="C195" s="16" t="s">
        <v>44</v>
      </c>
      <c r="D195" s="16" t="s">
        <v>2843</v>
      </c>
      <c r="E195" s="16" t="s">
        <v>2615</v>
      </c>
      <c r="F195" s="16" t="s">
        <v>2612</v>
      </c>
      <c r="G195" s="16" t="s">
        <v>604</v>
      </c>
      <c r="H195" s="16" t="s">
        <v>3010</v>
      </c>
      <c r="I195" s="7" t="n">
        <f aca="false">IF(COUNTIF($H$5:$H$336,H195)&gt;1,1,0)</f>
        <v>0</v>
      </c>
      <c r="J195" s="17" t="str">
        <f aca="false">INDEX($A$5:$A$336,MATCH(H195,$H$5:$H$336,0))</f>
        <v>A0191</v>
      </c>
      <c r="K195" s="17" t="str">
        <f aca="false">IF(C195&lt;&gt;"",C195,IF(INDEX($C$5:$C$336,MATCH(J195,$A$5:$A$336,0))&lt;&gt;"",INDEX($C$5:$C$336,MATCH(J195,$A$5:$A$336,0)),"Unassigned"))</f>
        <v>Health</v>
      </c>
      <c r="L195" s="7" t="n">
        <f aca="false">IF(C195="",1,0)</f>
        <v>0</v>
      </c>
    </row>
    <row r="196" customFormat="false" ht="15" hidden="false" customHeight="false" outlineLevel="0" collapsed="false">
      <c r="A196" s="16" t="s">
        <v>2106</v>
      </c>
      <c r="B196" s="16" t="s">
        <v>3011</v>
      </c>
      <c r="C196" s="16" t="s">
        <v>47</v>
      </c>
      <c r="D196" s="16" t="s">
        <v>2843</v>
      </c>
      <c r="E196" s="16" t="s">
        <v>2619</v>
      </c>
      <c r="F196" s="16" t="s">
        <v>2612</v>
      </c>
      <c r="G196" s="16" t="s">
        <v>646</v>
      </c>
      <c r="H196" s="16" t="s">
        <v>3012</v>
      </c>
      <c r="I196" s="7" t="n">
        <f aca="false">IF(COUNTIF($H$5:$H$336,H196)&gt;1,1,0)</f>
        <v>0</v>
      </c>
      <c r="J196" s="17" t="str">
        <f aca="false">INDEX($A$5:$A$336,MATCH(H196,$H$5:$H$336,0))</f>
        <v>A0192</v>
      </c>
      <c r="K196" s="17" t="str">
        <f aca="false">IF(C196&lt;&gt;"",C196,IF(INDEX($C$5:$C$336,MATCH(J196,$A$5:$A$336,0))&lt;&gt;"",INDEX($C$5:$C$336,MATCH(J196,$A$5:$A$336,0)),"Unassigned"))</f>
        <v>Technology, Media &amp; Telecom</v>
      </c>
      <c r="L196" s="7" t="n">
        <f aca="false">IF(C196="",1,0)</f>
        <v>0</v>
      </c>
    </row>
    <row r="197" customFormat="false" ht="15" hidden="false" customHeight="false" outlineLevel="0" collapsed="false">
      <c r="A197" s="16" t="s">
        <v>466</v>
      </c>
      <c r="B197" s="16" t="s">
        <v>3013</v>
      </c>
      <c r="C197" s="16" t="s">
        <v>41</v>
      </c>
      <c r="D197" s="16" t="s">
        <v>2843</v>
      </c>
      <c r="E197" s="16" t="s">
        <v>2658</v>
      </c>
      <c r="F197" s="16" t="s">
        <v>2612</v>
      </c>
      <c r="G197" s="16" t="s">
        <v>666</v>
      </c>
      <c r="H197" s="16" t="s">
        <v>3014</v>
      </c>
      <c r="I197" s="7" t="n">
        <f aca="false">IF(COUNTIF($H$5:$H$336,H197)&gt;1,1,0)</f>
        <v>0</v>
      </c>
      <c r="J197" s="17" t="str">
        <f aca="false">INDEX($A$5:$A$336,MATCH(H197,$H$5:$H$336,0))</f>
        <v>A0193</v>
      </c>
      <c r="K197" s="17" t="str">
        <f aca="false">IF(C197&lt;&gt;"",C197,IF(INDEX($C$5:$C$336,MATCH(J197,$A$5:$A$336,0))&lt;&gt;"",INDEX($C$5:$C$336,MATCH(J197,$A$5:$A$336,0)),"Unassigned"))</f>
        <v>Consumer &amp; Retail</v>
      </c>
      <c r="L197" s="7" t="n">
        <f aca="false">IF(C197="",1,0)</f>
        <v>0</v>
      </c>
    </row>
    <row r="198" customFormat="false" ht="15" hidden="false" customHeight="false" outlineLevel="0" collapsed="false">
      <c r="A198" s="16" t="s">
        <v>283</v>
      </c>
      <c r="B198" s="16" t="s">
        <v>3015</v>
      </c>
      <c r="C198" s="16" t="s">
        <v>46</v>
      </c>
      <c r="D198" s="16" t="s">
        <v>2843</v>
      </c>
      <c r="E198" s="16" t="s">
        <v>2615</v>
      </c>
      <c r="F198" s="16" t="s">
        <v>2616</v>
      </c>
      <c r="G198" s="16" t="s">
        <v>729</v>
      </c>
      <c r="H198" s="16" t="s">
        <v>3016</v>
      </c>
      <c r="I198" s="7" t="n">
        <f aca="false">IF(COUNTIF($H$5:$H$336,H198)&gt;1,1,0)</f>
        <v>0</v>
      </c>
      <c r="J198" s="17" t="str">
        <f aca="false">INDEX($A$5:$A$336,MATCH(H198,$H$5:$H$336,0))</f>
        <v>A0194</v>
      </c>
      <c r="K198" s="17" t="str">
        <f aca="false">IF(C198&lt;&gt;"",C198,IF(INDEX($C$5:$C$336,MATCH(J198,$A$5:$A$336,0))&lt;&gt;"",INDEX($C$5:$C$336,MATCH(J198,$A$5:$A$336,0)),"Unassigned"))</f>
        <v>Real Estate &amp; Infrastructure</v>
      </c>
      <c r="L198" s="7" t="n">
        <f aca="false">IF(C198="",1,0)</f>
        <v>0</v>
      </c>
    </row>
    <row r="199" customFormat="false" ht="15" hidden="false" customHeight="false" outlineLevel="0" collapsed="false">
      <c r="A199" s="16" t="s">
        <v>886</v>
      </c>
      <c r="B199" s="16" t="s">
        <v>3017</v>
      </c>
      <c r="C199" s="16" t="s">
        <v>40</v>
      </c>
      <c r="D199" s="16" t="s">
        <v>2843</v>
      </c>
      <c r="E199" s="16" t="s">
        <v>2615</v>
      </c>
      <c r="F199" s="16" t="s">
        <v>2612</v>
      </c>
      <c r="G199" s="16" t="s">
        <v>637</v>
      </c>
      <c r="H199" s="16" t="s">
        <v>3018</v>
      </c>
      <c r="I199" s="7" t="n">
        <f aca="false">IF(COUNTIF($H$5:$H$336,H199)&gt;1,1,0)</f>
        <v>0</v>
      </c>
      <c r="J199" s="17" t="str">
        <f aca="false">INDEX($A$5:$A$336,MATCH(H199,$H$5:$H$336,0))</f>
        <v>A0195</v>
      </c>
      <c r="K199" s="17" t="str">
        <f aca="false">IF(C199&lt;&gt;"",C199,IF(INDEX($C$5:$C$336,MATCH(J199,$A$5:$A$336,0))&lt;&gt;"",INDEX($C$5:$C$336,MATCH(J199,$A$5:$A$336,0)),"Unassigned"))</f>
        <v>Agribusiness</v>
      </c>
      <c r="L199" s="7" t="n">
        <f aca="false">IF(C199="",1,0)</f>
        <v>0</v>
      </c>
    </row>
    <row r="200" customFormat="false" ht="15" hidden="false" customHeight="false" outlineLevel="0" collapsed="false">
      <c r="A200" s="16" t="s">
        <v>472</v>
      </c>
      <c r="B200" s="16" t="s">
        <v>3019</v>
      </c>
      <c r="C200" s="16" t="s">
        <v>44</v>
      </c>
      <c r="D200" s="16" t="s">
        <v>2843</v>
      </c>
      <c r="E200" s="16" t="s">
        <v>2615</v>
      </c>
      <c r="F200" s="16" t="s">
        <v>2635</v>
      </c>
      <c r="G200" s="16" t="s">
        <v>666</v>
      </c>
      <c r="H200" s="16" t="s">
        <v>3020</v>
      </c>
      <c r="I200" s="7" t="n">
        <f aca="false">IF(COUNTIF($H$5:$H$336,H200)&gt;1,1,0)</f>
        <v>0</v>
      </c>
      <c r="J200" s="17" t="str">
        <f aca="false">INDEX($A$5:$A$336,MATCH(H200,$H$5:$H$336,0))</f>
        <v>A0196</v>
      </c>
      <c r="K200" s="17" t="str">
        <f aca="false">IF(C200&lt;&gt;"",C200,IF(INDEX($C$5:$C$336,MATCH(J200,$A$5:$A$336,0))&lt;&gt;"",INDEX($C$5:$C$336,MATCH(J200,$A$5:$A$336,0)),"Unassigned"))</f>
        <v>Health</v>
      </c>
      <c r="L200" s="7" t="n">
        <f aca="false">IF(C200="",1,0)</f>
        <v>0</v>
      </c>
    </row>
    <row r="201" customFormat="false" ht="15" hidden="false" customHeight="false" outlineLevel="0" collapsed="false">
      <c r="A201" s="16" t="s">
        <v>1092</v>
      </c>
      <c r="B201" s="16" t="s">
        <v>3021</v>
      </c>
      <c r="C201" s="16" t="s">
        <v>44</v>
      </c>
      <c r="D201" s="16" t="s">
        <v>2843</v>
      </c>
      <c r="E201" s="16" t="s">
        <v>2619</v>
      </c>
      <c r="F201" s="16" t="s">
        <v>2612</v>
      </c>
      <c r="G201" s="16" t="s">
        <v>651</v>
      </c>
      <c r="H201" s="16" t="s">
        <v>3022</v>
      </c>
      <c r="I201" s="7" t="n">
        <f aca="false">IF(COUNTIF($H$5:$H$336,H201)&gt;1,1,0)</f>
        <v>0</v>
      </c>
      <c r="J201" s="17" t="str">
        <f aca="false">INDEX($A$5:$A$336,MATCH(H201,$H$5:$H$336,0))</f>
        <v>A0197</v>
      </c>
      <c r="K201" s="17" t="str">
        <f aca="false">IF(C201&lt;&gt;"",C201,IF(INDEX($C$5:$C$336,MATCH(J201,$A$5:$A$336,0))&lt;&gt;"",INDEX($C$5:$C$336,MATCH(J201,$A$5:$A$336,0)),"Unassigned"))</f>
        <v>Health</v>
      </c>
      <c r="L201" s="7" t="n">
        <f aca="false">IF(C201="",1,0)</f>
        <v>0</v>
      </c>
    </row>
    <row r="202" customFormat="false" ht="15" hidden="false" customHeight="false" outlineLevel="0" collapsed="false">
      <c r="A202" s="16" t="s">
        <v>413</v>
      </c>
      <c r="B202" s="16" t="s">
        <v>3023</v>
      </c>
      <c r="C202" s="16" t="s">
        <v>45</v>
      </c>
      <c r="D202" s="16" t="s">
        <v>2843</v>
      </c>
      <c r="E202" s="16" t="s">
        <v>2619</v>
      </c>
      <c r="F202" s="16" t="s">
        <v>2662</v>
      </c>
      <c r="G202" s="16" t="s">
        <v>567</v>
      </c>
      <c r="H202" s="16" t="s">
        <v>3024</v>
      </c>
      <c r="I202" s="7" t="n">
        <f aca="false">IF(COUNTIF($H$5:$H$336,H202)&gt;1,1,0)</f>
        <v>0</v>
      </c>
      <c r="J202" s="17" t="str">
        <f aca="false">INDEX($A$5:$A$336,MATCH(H202,$H$5:$H$336,0))</f>
        <v>A0198</v>
      </c>
      <c r="K202" s="17" t="str">
        <f aca="false">IF(C202&lt;&gt;"",C202,IF(INDEX($C$5:$C$336,MATCH(J202,$A$5:$A$336,0))&lt;&gt;"",INDEX($C$5:$C$336,MATCH(J202,$A$5:$A$336,0)),"Unassigned"))</f>
        <v>Public Sector &amp; Development</v>
      </c>
      <c r="L202" s="7" t="n">
        <f aca="false">IF(C202="",1,0)</f>
        <v>0</v>
      </c>
    </row>
    <row r="203" customFormat="false" ht="15" hidden="false" customHeight="false" outlineLevel="0" collapsed="false">
      <c r="A203" s="16" t="s">
        <v>294</v>
      </c>
      <c r="B203" s="16" t="s">
        <v>3025</v>
      </c>
      <c r="C203" s="16" t="s">
        <v>45</v>
      </c>
      <c r="D203" s="16" t="s">
        <v>2843</v>
      </c>
      <c r="E203" s="16" t="s">
        <v>2622</v>
      </c>
      <c r="F203" s="16" t="s">
        <v>2612</v>
      </c>
      <c r="G203" s="16" t="s">
        <v>604</v>
      </c>
      <c r="H203" s="16" t="s">
        <v>3026</v>
      </c>
      <c r="I203" s="7" t="n">
        <f aca="false">IF(COUNTIF($H$5:$H$336,H203)&gt;1,1,0)</f>
        <v>0</v>
      </c>
      <c r="J203" s="17" t="str">
        <f aca="false">INDEX($A$5:$A$336,MATCH(H203,$H$5:$H$336,0))</f>
        <v>A0199</v>
      </c>
      <c r="K203" s="17" t="str">
        <f aca="false">IF(C203&lt;&gt;"",C203,IF(INDEX($C$5:$C$336,MATCH(J203,$A$5:$A$336,0))&lt;&gt;"",INDEX($C$5:$C$336,MATCH(J203,$A$5:$A$336,0)),"Unassigned"))</f>
        <v>Public Sector &amp; Development</v>
      </c>
      <c r="L203" s="7" t="n">
        <f aca="false">IF(C203="",1,0)</f>
        <v>0</v>
      </c>
    </row>
    <row r="204" customFormat="false" ht="15" hidden="false" customHeight="false" outlineLevel="0" collapsed="false">
      <c r="A204" s="16" t="s">
        <v>1686</v>
      </c>
      <c r="B204" s="16" t="s">
        <v>3027</v>
      </c>
      <c r="C204" s="16" t="s">
        <v>43</v>
      </c>
      <c r="D204" s="16" t="s">
        <v>2843</v>
      </c>
      <c r="E204" s="16" t="s">
        <v>2615</v>
      </c>
      <c r="F204" s="16" t="s">
        <v>2612</v>
      </c>
      <c r="G204" s="16" t="s">
        <v>765</v>
      </c>
      <c r="H204" s="16" t="s">
        <v>3028</v>
      </c>
      <c r="I204" s="7" t="n">
        <f aca="false">IF(COUNTIF($H$5:$H$336,H204)&gt;1,1,0)</f>
        <v>0</v>
      </c>
      <c r="J204" s="17" t="str">
        <f aca="false">INDEX($A$5:$A$336,MATCH(H204,$H$5:$H$336,0))</f>
        <v>A0200</v>
      </c>
      <c r="K204" s="17" t="str">
        <f aca="false">IF(C204&lt;&gt;"",C204,IF(INDEX($C$5:$C$336,MATCH(J204,$A$5:$A$336,0))&lt;&gt;"",INDEX($C$5:$C$336,MATCH(J204,$A$5:$A$336,0)),"Unassigned"))</f>
        <v>Financial Services</v>
      </c>
      <c r="L204" s="7" t="n">
        <f aca="false">IF(C204="",1,0)</f>
        <v>0</v>
      </c>
    </row>
    <row r="205" customFormat="false" ht="15" hidden="false" customHeight="false" outlineLevel="0" collapsed="false">
      <c r="A205" s="16" t="s">
        <v>262</v>
      </c>
      <c r="B205" s="16" t="s">
        <v>3029</v>
      </c>
      <c r="C205" s="16" t="s">
        <v>41</v>
      </c>
      <c r="D205" s="16" t="s">
        <v>2843</v>
      </c>
      <c r="E205" s="16" t="s">
        <v>2658</v>
      </c>
      <c r="F205" s="16" t="s">
        <v>2612</v>
      </c>
      <c r="G205" s="16" t="s">
        <v>666</v>
      </c>
      <c r="H205" s="16" t="s">
        <v>3030</v>
      </c>
      <c r="I205" s="7" t="n">
        <f aca="false">IF(COUNTIF($H$5:$H$336,H205)&gt;1,1,0)</f>
        <v>0</v>
      </c>
      <c r="J205" s="17" t="str">
        <f aca="false">INDEX($A$5:$A$336,MATCH(H205,$H$5:$H$336,0))</f>
        <v>A0201</v>
      </c>
      <c r="K205" s="17" t="str">
        <f aca="false">IF(C205&lt;&gt;"",C205,IF(INDEX($C$5:$C$336,MATCH(J205,$A$5:$A$336,0))&lt;&gt;"",INDEX($C$5:$C$336,MATCH(J205,$A$5:$A$336,0)),"Unassigned"))</f>
        <v>Consumer &amp; Retail</v>
      </c>
      <c r="L205" s="7" t="n">
        <f aca="false">IF(C205="",1,0)</f>
        <v>0</v>
      </c>
    </row>
    <row r="206" customFormat="false" ht="15" hidden="false" customHeight="false" outlineLevel="0" collapsed="false">
      <c r="A206" s="16" t="s">
        <v>347</v>
      </c>
      <c r="B206" s="16" t="s">
        <v>3031</v>
      </c>
      <c r="C206" s="16" t="s">
        <v>46</v>
      </c>
      <c r="D206" s="16" t="s">
        <v>2843</v>
      </c>
      <c r="E206" s="16" t="s">
        <v>2622</v>
      </c>
      <c r="F206" s="16" t="s">
        <v>2612</v>
      </c>
      <c r="G206" s="16" t="s">
        <v>567</v>
      </c>
      <c r="H206" s="16" t="s">
        <v>3032</v>
      </c>
      <c r="I206" s="7" t="n">
        <f aca="false">IF(COUNTIF($H$5:$H$336,H206)&gt;1,1,0)</f>
        <v>0</v>
      </c>
      <c r="J206" s="17" t="str">
        <f aca="false">INDEX($A$5:$A$336,MATCH(H206,$H$5:$H$336,0))</f>
        <v>A0202</v>
      </c>
      <c r="K206" s="17" t="str">
        <f aca="false">IF(C206&lt;&gt;"",C206,IF(INDEX($C$5:$C$336,MATCH(J206,$A$5:$A$336,0))&lt;&gt;"",INDEX($C$5:$C$336,MATCH(J206,$A$5:$A$336,0)),"Unassigned"))</f>
        <v>Real Estate &amp; Infrastructure</v>
      </c>
      <c r="L206" s="7" t="n">
        <f aca="false">IF(C206="",1,0)</f>
        <v>0</v>
      </c>
    </row>
    <row r="207" customFormat="false" ht="15" hidden="false" customHeight="false" outlineLevel="0" collapsed="false">
      <c r="A207" s="16" t="s">
        <v>699</v>
      </c>
      <c r="B207" s="16" t="s">
        <v>3033</v>
      </c>
      <c r="C207" s="16" t="s">
        <v>43</v>
      </c>
      <c r="D207" s="16" t="s">
        <v>2843</v>
      </c>
      <c r="E207" s="16" t="s">
        <v>2658</v>
      </c>
      <c r="F207" s="16" t="s">
        <v>2612</v>
      </c>
      <c r="G207" s="16" t="s">
        <v>583</v>
      </c>
      <c r="H207" s="16" t="s">
        <v>3034</v>
      </c>
      <c r="I207" s="7" t="n">
        <f aca="false">IF(COUNTIF($H$5:$H$336,H207)&gt;1,1,0)</f>
        <v>0</v>
      </c>
      <c r="J207" s="17" t="str">
        <f aca="false">INDEX($A$5:$A$336,MATCH(H207,$H$5:$H$336,0))</f>
        <v>A0203</v>
      </c>
      <c r="K207" s="17" t="str">
        <f aca="false">IF(C207&lt;&gt;"",C207,IF(INDEX($C$5:$C$336,MATCH(J207,$A$5:$A$336,0))&lt;&gt;"",INDEX($C$5:$C$336,MATCH(J207,$A$5:$A$336,0)),"Unassigned"))</f>
        <v>Financial Services</v>
      </c>
      <c r="L207" s="7" t="n">
        <f aca="false">IF(C207="",1,0)</f>
        <v>0</v>
      </c>
    </row>
    <row r="208" customFormat="false" ht="15" hidden="false" customHeight="false" outlineLevel="0" collapsed="false">
      <c r="A208" s="16" t="s">
        <v>287</v>
      </c>
      <c r="B208" s="16" t="s">
        <v>3035</v>
      </c>
      <c r="C208" s="16" t="s">
        <v>42</v>
      </c>
      <c r="D208" s="16" t="s">
        <v>2843</v>
      </c>
      <c r="E208" s="16" t="s">
        <v>2615</v>
      </c>
      <c r="F208" s="16" t="s">
        <v>2612</v>
      </c>
      <c r="G208" s="16" t="s">
        <v>567</v>
      </c>
      <c r="H208" s="16" t="s">
        <v>3036</v>
      </c>
      <c r="I208" s="7" t="n">
        <f aca="false">IF(COUNTIF($H$5:$H$336,H208)&gt;1,1,0)</f>
        <v>0</v>
      </c>
      <c r="J208" s="17" t="str">
        <f aca="false">INDEX($A$5:$A$336,MATCH(H208,$H$5:$H$336,0))</f>
        <v>A0204</v>
      </c>
      <c r="K208" s="17" t="str">
        <f aca="false">IF(C208&lt;&gt;"",C208,IF(INDEX($C$5:$C$336,MATCH(J208,$A$5:$A$336,0))&lt;&gt;"",INDEX($C$5:$C$336,MATCH(J208,$A$5:$A$336,0)),"Unassigned"))</f>
        <v>Energy &amp; Resources</v>
      </c>
      <c r="L208" s="7" t="n">
        <f aca="false">IF(C208="",1,0)</f>
        <v>0</v>
      </c>
    </row>
    <row r="209" customFormat="false" ht="15" hidden="false" customHeight="false" outlineLevel="0" collapsed="false">
      <c r="A209" s="16" t="s">
        <v>1082</v>
      </c>
      <c r="B209" s="16" t="s">
        <v>3037</v>
      </c>
      <c r="C209" s="16" t="s">
        <v>43</v>
      </c>
      <c r="D209" s="16" t="s">
        <v>2843</v>
      </c>
      <c r="E209" s="16" t="s">
        <v>2615</v>
      </c>
      <c r="F209" s="16" t="s">
        <v>2616</v>
      </c>
      <c r="G209" s="16" t="s">
        <v>765</v>
      </c>
      <c r="H209" s="16" t="s">
        <v>3038</v>
      </c>
      <c r="I209" s="7" t="n">
        <f aca="false">IF(COUNTIF($H$5:$H$336,H209)&gt;1,1,0)</f>
        <v>0</v>
      </c>
      <c r="J209" s="17" t="str">
        <f aca="false">INDEX($A$5:$A$336,MATCH(H209,$H$5:$H$336,0))</f>
        <v>A0205</v>
      </c>
      <c r="K209" s="17" t="str">
        <f aca="false">IF(C209&lt;&gt;"",C209,IF(INDEX($C$5:$C$336,MATCH(J209,$A$5:$A$336,0))&lt;&gt;"",INDEX($C$5:$C$336,MATCH(J209,$A$5:$A$336,0)),"Unassigned"))</f>
        <v>Financial Services</v>
      </c>
      <c r="L209" s="7" t="n">
        <f aca="false">IF(C209="",1,0)</f>
        <v>0</v>
      </c>
    </row>
    <row r="210" customFormat="false" ht="15" hidden="false" customHeight="false" outlineLevel="0" collapsed="false">
      <c r="A210" s="16" t="s">
        <v>1933</v>
      </c>
      <c r="B210" s="16" t="s">
        <v>3039</v>
      </c>
      <c r="C210" s="16" t="s">
        <v>46</v>
      </c>
      <c r="D210" s="16" t="s">
        <v>2843</v>
      </c>
      <c r="E210" s="16" t="s">
        <v>2611</v>
      </c>
      <c r="F210" s="16" t="s">
        <v>2612</v>
      </c>
      <c r="G210" s="16" t="s">
        <v>622</v>
      </c>
      <c r="H210" s="16" t="s">
        <v>3040</v>
      </c>
      <c r="I210" s="7" t="n">
        <f aca="false">IF(COUNTIF($H$5:$H$336,H210)&gt;1,1,0)</f>
        <v>0</v>
      </c>
      <c r="J210" s="17" t="str">
        <f aca="false">INDEX($A$5:$A$336,MATCH(H210,$H$5:$H$336,0))</f>
        <v>A0206</v>
      </c>
      <c r="K210" s="17" t="str">
        <f aca="false">IF(C210&lt;&gt;"",C210,IF(INDEX($C$5:$C$336,MATCH(J210,$A$5:$A$336,0))&lt;&gt;"",INDEX($C$5:$C$336,MATCH(J210,$A$5:$A$336,0)),"Unassigned"))</f>
        <v>Real Estate &amp; Infrastructure</v>
      </c>
      <c r="L210" s="7" t="n">
        <f aca="false">IF(C210="",1,0)</f>
        <v>0</v>
      </c>
    </row>
    <row r="211" customFormat="false" ht="15" hidden="false" customHeight="false" outlineLevel="0" collapsed="false">
      <c r="A211" s="16" t="s">
        <v>833</v>
      </c>
      <c r="B211" s="16" t="s">
        <v>3041</v>
      </c>
      <c r="C211" s="16" t="s">
        <v>40</v>
      </c>
      <c r="D211" s="16" t="s">
        <v>2843</v>
      </c>
      <c r="E211" s="16" t="s">
        <v>2611</v>
      </c>
      <c r="F211" s="16" t="s">
        <v>2612</v>
      </c>
      <c r="G211" s="16" t="s">
        <v>717</v>
      </c>
      <c r="H211" s="16" t="s">
        <v>3042</v>
      </c>
      <c r="I211" s="7" t="n">
        <f aca="false">IF(COUNTIF($H$5:$H$336,H211)&gt;1,1,0)</f>
        <v>0</v>
      </c>
      <c r="J211" s="17" t="str">
        <f aca="false">INDEX($A$5:$A$336,MATCH(H211,$H$5:$H$336,0))</f>
        <v>A0207</v>
      </c>
      <c r="K211" s="17" t="str">
        <f aca="false">IF(C211&lt;&gt;"",C211,IF(INDEX($C$5:$C$336,MATCH(J211,$A$5:$A$336,0))&lt;&gt;"",INDEX($C$5:$C$336,MATCH(J211,$A$5:$A$336,0)),"Unassigned"))</f>
        <v>Agribusiness</v>
      </c>
      <c r="L211" s="7" t="n">
        <f aca="false">IF(C211="",1,0)</f>
        <v>0</v>
      </c>
    </row>
    <row r="212" customFormat="false" ht="15" hidden="false" customHeight="false" outlineLevel="0" collapsed="false">
      <c r="A212" s="16" t="s">
        <v>218</v>
      </c>
      <c r="B212" s="16" t="s">
        <v>3043</v>
      </c>
      <c r="C212" s="16" t="s">
        <v>40</v>
      </c>
      <c r="D212" s="16" t="s">
        <v>2843</v>
      </c>
      <c r="E212" s="16" t="s">
        <v>2615</v>
      </c>
      <c r="F212" s="16" t="s">
        <v>2612</v>
      </c>
      <c r="G212" s="16" t="s">
        <v>600</v>
      </c>
      <c r="H212" s="16" t="s">
        <v>3044</v>
      </c>
      <c r="I212" s="7" t="n">
        <f aca="false">IF(COUNTIF($H$5:$H$336,H212)&gt;1,1,0)</f>
        <v>0</v>
      </c>
      <c r="J212" s="17" t="str">
        <f aca="false">INDEX($A$5:$A$336,MATCH(H212,$H$5:$H$336,0))</f>
        <v>A0208</v>
      </c>
      <c r="K212" s="17" t="str">
        <f aca="false">IF(C212&lt;&gt;"",C212,IF(INDEX($C$5:$C$336,MATCH(J212,$A$5:$A$336,0))&lt;&gt;"",INDEX($C$5:$C$336,MATCH(J212,$A$5:$A$336,0)),"Unassigned"))</f>
        <v>Agribusiness</v>
      </c>
      <c r="L212" s="7" t="n">
        <f aca="false">IF(C212="",1,0)</f>
        <v>0</v>
      </c>
    </row>
    <row r="213" customFormat="false" ht="15" hidden="false" customHeight="false" outlineLevel="0" collapsed="false">
      <c r="A213" s="16" t="s">
        <v>446</v>
      </c>
      <c r="B213" s="16" t="s">
        <v>3045</v>
      </c>
      <c r="C213" s="16" t="s">
        <v>45</v>
      </c>
      <c r="D213" s="16" t="s">
        <v>2843</v>
      </c>
      <c r="E213" s="16" t="s">
        <v>2611</v>
      </c>
      <c r="F213" s="16" t="s">
        <v>2612</v>
      </c>
      <c r="G213" s="16" t="s">
        <v>600</v>
      </c>
      <c r="H213" s="16" t="s">
        <v>3046</v>
      </c>
      <c r="I213" s="7" t="n">
        <f aca="false">IF(COUNTIF($H$5:$H$336,H213)&gt;1,1,0)</f>
        <v>0</v>
      </c>
      <c r="J213" s="17" t="str">
        <f aca="false">INDEX($A$5:$A$336,MATCH(H213,$H$5:$H$336,0))</f>
        <v>A0209</v>
      </c>
      <c r="K213" s="17" t="str">
        <f aca="false">IF(C213&lt;&gt;"",C213,IF(INDEX($C$5:$C$336,MATCH(J213,$A$5:$A$336,0))&lt;&gt;"",INDEX($C$5:$C$336,MATCH(J213,$A$5:$A$336,0)),"Unassigned"))</f>
        <v>Public Sector &amp; Development</v>
      </c>
      <c r="L213" s="7" t="n">
        <f aca="false">IF(C213="",1,0)</f>
        <v>0</v>
      </c>
    </row>
    <row r="214" customFormat="false" ht="15" hidden="false" customHeight="false" outlineLevel="0" collapsed="false">
      <c r="A214" s="16" t="s">
        <v>304</v>
      </c>
      <c r="B214" s="16" t="s">
        <v>3047</v>
      </c>
      <c r="C214" s="16" t="s">
        <v>47</v>
      </c>
      <c r="D214" s="16" t="s">
        <v>2843</v>
      </c>
      <c r="E214" s="16" t="s">
        <v>2615</v>
      </c>
      <c r="F214" s="16" t="s">
        <v>2612</v>
      </c>
      <c r="G214" s="16" t="s">
        <v>600</v>
      </c>
      <c r="H214" s="16" t="s">
        <v>3048</v>
      </c>
      <c r="I214" s="7" t="n">
        <f aca="false">IF(COUNTIF($H$5:$H$336,H214)&gt;1,1,0)</f>
        <v>0</v>
      </c>
      <c r="J214" s="17" t="str">
        <f aca="false">INDEX($A$5:$A$336,MATCH(H214,$H$5:$H$336,0))</f>
        <v>A0210</v>
      </c>
      <c r="K214" s="17" t="str">
        <f aca="false">IF(C214&lt;&gt;"",C214,IF(INDEX($C$5:$C$336,MATCH(J214,$A$5:$A$336,0))&lt;&gt;"",INDEX($C$5:$C$336,MATCH(J214,$A$5:$A$336,0)),"Unassigned"))</f>
        <v>Technology, Media &amp; Telecom</v>
      </c>
      <c r="L214" s="7" t="n">
        <f aca="false">IF(C214="",1,0)</f>
        <v>0</v>
      </c>
    </row>
    <row r="215" customFormat="false" ht="15" hidden="false" customHeight="false" outlineLevel="0" collapsed="false">
      <c r="A215" s="16" t="s">
        <v>1191</v>
      </c>
      <c r="B215" s="16" t="s">
        <v>3049</v>
      </c>
      <c r="C215" s="16" t="s">
        <v>43</v>
      </c>
      <c r="D215" s="16" t="s">
        <v>2843</v>
      </c>
      <c r="E215" s="16" t="s">
        <v>2619</v>
      </c>
      <c r="F215" s="16" t="s">
        <v>2635</v>
      </c>
      <c r="G215" s="16" t="s">
        <v>578</v>
      </c>
      <c r="H215" s="16" t="s">
        <v>3050</v>
      </c>
      <c r="I215" s="7" t="n">
        <f aca="false">IF(COUNTIF($H$5:$H$336,H215)&gt;1,1,0)</f>
        <v>0</v>
      </c>
      <c r="J215" s="17" t="str">
        <f aca="false">INDEX($A$5:$A$336,MATCH(H215,$H$5:$H$336,0))</f>
        <v>A0211</v>
      </c>
      <c r="K215" s="17" t="str">
        <f aca="false">IF(C215&lt;&gt;"",C215,IF(INDEX($C$5:$C$336,MATCH(J215,$A$5:$A$336,0))&lt;&gt;"",INDEX($C$5:$C$336,MATCH(J215,$A$5:$A$336,0)),"Unassigned"))</f>
        <v>Financial Services</v>
      </c>
      <c r="L215" s="7" t="n">
        <f aca="false">IF(C215="",1,0)</f>
        <v>0</v>
      </c>
    </row>
    <row r="216" customFormat="false" ht="15" hidden="false" customHeight="false" outlineLevel="0" collapsed="false">
      <c r="A216" s="16" t="s">
        <v>1280</v>
      </c>
      <c r="B216" s="16" t="s">
        <v>3051</v>
      </c>
      <c r="C216" s="16" t="s">
        <v>40</v>
      </c>
      <c r="D216" s="16" t="s">
        <v>2843</v>
      </c>
      <c r="E216" s="16" t="s">
        <v>2658</v>
      </c>
      <c r="F216" s="16" t="s">
        <v>2612</v>
      </c>
      <c r="G216" s="16" t="s">
        <v>640</v>
      </c>
      <c r="H216" s="16" t="s">
        <v>3052</v>
      </c>
      <c r="I216" s="7" t="n">
        <f aca="false">IF(COUNTIF($H$5:$H$336,H216)&gt;1,1,0)</f>
        <v>0</v>
      </c>
      <c r="J216" s="17" t="str">
        <f aca="false">INDEX($A$5:$A$336,MATCH(H216,$H$5:$H$336,0))</f>
        <v>A0212</v>
      </c>
      <c r="K216" s="17" t="str">
        <f aca="false">IF(C216&lt;&gt;"",C216,IF(INDEX($C$5:$C$336,MATCH(J216,$A$5:$A$336,0))&lt;&gt;"",INDEX($C$5:$C$336,MATCH(J216,$A$5:$A$336,0)),"Unassigned"))</f>
        <v>Agribusiness</v>
      </c>
      <c r="L216" s="7" t="n">
        <f aca="false">IF(C216="",1,0)</f>
        <v>0</v>
      </c>
    </row>
    <row r="217" customFormat="false" ht="15" hidden="false" customHeight="false" outlineLevel="0" collapsed="false">
      <c r="A217" s="16" t="s">
        <v>2301</v>
      </c>
      <c r="B217" s="16" t="s">
        <v>3053</v>
      </c>
      <c r="C217" s="16" t="s">
        <v>47</v>
      </c>
      <c r="D217" s="16" t="s">
        <v>2843</v>
      </c>
      <c r="E217" s="16" t="s">
        <v>2622</v>
      </c>
      <c r="F217" s="16" t="s">
        <v>2612</v>
      </c>
      <c r="G217" s="16" t="s">
        <v>604</v>
      </c>
      <c r="H217" s="16" t="s">
        <v>3054</v>
      </c>
      <c r="I217" s="7" t="n">
        <f aca="false">IF(COUNTIF($H$5:$H$336,H217)&gt;1,1,0)</f>
        <v>0</v>
      </c>
      <c r="J217" s="17" t="str">
        <f aca="false">INDEX($A$5:$A$336,MATCH(H217,$H$5:$H$336,0))</f>
        <v>A0213</v>
      </c>
      <c r="K217" s="17" t="str">
        <f aca="false">IF(C217&lt;&gt;"",C217,IF(INDEX($C$5:$C$336,MATCH(J217,$A$5:$A$336,0))&lt;&gt;"",INDEX($C$5:$C$336,MATCH(J217,$A$5:$A$336,0)),"Unassigned"))</f>
        <v>Technology, Media &amp; Telecom</v>
      </c>
      <c r="L217" s="7" t="n">
        <f aca="false">IF(C217="",1,0)</f>
        <v>0</v>
      </c>
    </row>
    <row r="218" customFormat="false" ht="15" hidden="false" customHeight="false" outlineLevel="0" collapsed="false">
      <c r="A218" s="16" t="s">
        <v>1348</v>
      </c>
      <c r="B218" s="16" t="s">
        <v>3055</v>
      </c>
      <c r="C218" s="16" t="s">
        <v>45</v>
      </c>
      <c r="D218" s="16" t="s">
        <v>2843</v>
      </c>
      <c r="E218" s="16" t="s">
        <v>2658</v>
      </c>
      <c r="F218" s="16" t="s">
        <v>2616</v>
      </c>
      <c r="G218" s="16" t="s">
        <v>765</v>
      </c>
      <c r="H218" s="16" t="s">
        <v>3056</v>
      </c>
      <c r="I218" s="7" t="n">
        <f aca="false">IF(COUNTIF($H$5:$H$336,H218)&gt;1,1,0)</f>
        <v>0</v>
      </c>
      <c r="J218" s="17" t="str">
        <f aca="false">INDEX($A$5:$A$336,MATCH(H218,$H$5:$H$336,0))</f>
        <v>A0214</v>
      </c>
      <c r="K218" s="17" t="str">
        <f aca="false">IF(C218&lt;&gt;"",C218,IF(INDEX($C$5:$C$336,MATCH(J218,$A$5:$A$336,0))&lt;&gt;"",INDEX($C$5:$C$336,MATCH(J218,$A$5:$A$336,0)),"Unassigned"))</f>
        <v>Public Sector &amp; Development</v>
      </c>
      <c r="L218" s="7" t="n">
        <f aca="false">IF(C218="",1,0)</f>
        <v>0</v>
      </c>
    </row>
    <row r="219" customFormat="false" ht="15" hidden="false" customHeight="false" outlineLevel="0" collapsed="false">
      <c r="A219" s="16" t="s">
        <v>3057</v>
      </c>
      <c r="B219" s="16" t="s">
        <v>3058</v>
      </c>
      <c r="C219" s="16"/>
      <c r="D219" s="16" t="s">
        <v>2843</v>
      </c>
      <c r="E219" s="16" t="s">
        <v>2611</v>
      </c>
      <c r="F219" s="16" t="s">
        <v>2612</v>
      </c>
      <c r="G219" s="16" t="s">
        <v>729</v>
      </c>
      <c r="H219" s="16" t="s">
        <v>3059</v>
      </c>
      <c r="I219" s="7" t="n">
        <f aca="false">IF(COUNTIF($H$5:$H$336,H219)&gt;1,1,0)</f>
        <v>0</v>
      </c>
      <c r="J219" s="17" t="str">
        <f aca="false">INDEX($A$5:$A$336,MATCH(H219,$H$5:$H$336,0))</f>
        <v>A0215</v>
      </c>
      <c r="K219" s="17" t="str">
        <f aca="false">IF(C219&lt;&gt;"",C219,IF(INDEX($C$5:$C$336,MATCH(J219,$A$5:$A$336,0))&lt;&gt;"",INDEX($C$5:$C$336,MATCH(J219,$A$5:$A$336,0)),"Unassigned"))</f>
        <v>Unassigned</v>
      </c>
      <c r="L219" s="7" t="n">
        <f aca="false">IF(C219="",1,0)</f>
        <v>1</v>
      </c>
    </row>
    <row r="220" customFormat="false" ht="15" hidden="false" customHeight="false" outlineLevel="0" collapsed="false">
      <c r="A220" s="16" t="s">
        <v>185</v>
      </c>
      <c r="B220" s="16" t="s">
        <v>3060</v>
      </c>
      <c r="C220" s="16" t="s">
        <v>41</v>
      </c>
      <c r="D220" s="16" t="s">
        <v>2843</v>
      </c>
      <c r="E220" s="16" t="s">
        <v>2611</v>
      </c>
      <c r="F220" s="16" t="s">
        <v>2612</v>
      </c>
      <c r="G220" s="16" t="s">
        <v>604</v>
      </c>
      <c r="H220" s="16" t="s">
        <v>3061</v>
      </c>
      <c r="I220" s="7" t="n">
        <f aca="false">IF(COUNTIF($H$5:$H$336,H220)&gt;1,1,0)</f>
        <v>0</v>
      </c>
      <c r="J220" s="17" t="str">
        <f aca="false">INDEX($A$5:$A$336,MATCH(H220,$H$5:$H$336,0))</f>
        <v>A0216</v>
      </c>
      <c r="K220" s="17" t="str">
        <f aca="false">IF(C220&lt;&gt;"",C220,IF(INDEX($C$5:$C$336,MATCH(J220,$A$5:$A$336,0))&lt;&gt;"",INDEX($C$5:$C$336,MATCH(J220,$A$5:$A$336,0)),"Unassigned"))</f>
        <v>Consumer &amp; Retail</v>
      </c>
      <c r="L220" s="7" t="n">
        <f aca="false">IF(C220="",1,0)</f>
        <v>0</v>
      </c>
    </row>
    <row r="221" customFormat="false" ht="15" hidden="false" customHeight="false" outlineLevel="0" collapsed="false">
      <c r="A221" s="16" t="s">
        <v>1664</v>
      </c>
      <c r="B221" s="16" t="s">
        <v>3062</v>
      </c>
      <c r="C221" s="16" t="s">
        <v>45</v>
      </c>
      <c r="D221" s="16" t="s">
        <v>2843</v>
      </c>
      <c r="E221" s="16" t="s">
        <v>2615</v>
      </c>
      <c r="F221" s="16" t="s">
        <v>2612</v>
      </c>
      <c r="G221" s="16" t="s">
        <v>663</v>
      </c>
      <c r="H221" s="16" t="s">
        <v>3063</v>
      </c>
      <c r="I221" s="7" t="n">
        <f aca="false">IF(COUNTIF($H$5:$H$336,H221)&gt;1,1,0)</f>
        <v>0</v>
      </c>
      <c r="J221" s="17" t="str">
        <f aca="false">INDEX($A$5:$A$336,MATCH(H221,$H$5:$H$336,0))</f>
        <v>A0217</v>
      </c>
      <c r="K221" s="17" t="str">
        <f aca="false">IF(C221&lt;&gt;"",C221,IF(INDEX($C$5:$C$336,MATCH(J221,$A$5:$A$336,0))&lt;&gt;"",INDEX($C$5:$C$336,MATCH(J221,$A$5:$A$336,0)),"Unassigned"))</f>
        <v>Public Sector &amp; Development</v>
      </c>
      <c r="L221" s="7" t="n">
        <f aca="false">IF(C221="",1,0)</f>
        <v>0</v>
      </c>
    </row>
    <row r="222" customFormat="false" ht="15" hidden="false" customHeight="false" outlineLevel="0" collapsed="false">
      <c r="A222" s="16" t="s">
        <v>3064</v>
      </c>
      <c r="B222" s="16" t="s">
        <v>3065</v>
      </c>
      <c r="C222" s="16" t="s">
        <v>40</v>
      </c>
      <c r="D222" s="16" t="s">
        <v>2843</v>
      </c>
      <c r="E222" s="16" t="s">
        <v>2615</v>
      </c>
      <c r="F222" s="16" t="s">
        <v>2616</v>
      </c>
      <c r="G222" s="16" t="s">
        <v>573</v>
      </c>
      <c r="H222" s="16" t="s">
        <v>3066</v>
      </c>
      <c r="I222" s="7" t="n">
        <f aca="false">IF(COUNTIF($H$5:$H$336,H222)&gt;1,1,0)</f>
        <v>0</v>
      </c>
      <c r="J222" s="17" t="str">
        <f aca="false">INDEX($A$5:$A$336,MATCH(H222,$H$5:$H$336,0))</f>
        <v>A0218</v>
      </c>
      <c r="K222" s="17" t="str">
        <f aca="false">IF(C222&lt;&gt;"",C222,IF(INDEX($C$5:$C$336,MATCH(J222,$A$5:$A$336,0))&lt;&gt;"",INDEX($C$5:$C$336,MATCH(J222,$A$5:$A$336,0)),"Unassigned"))</f>
        <v>Agribusiness</v>
      </c>
      <c r="L222" s="7" t="n">
        <f aca="false">IF(C222="",1,0)</f>
        <v>0</v>
      </c>
    </row>
    <row r="223" customFormat="false" ht="15" hidden="false" customHeight="false" outlineLevel="0" collapsed="false">
      <c r="A223" s="16" t="s">
        <v>296</v>
      </c>
      <c r="B223" s="16" t="s">
        <v>3067</v>
      </c>
      <c r="C223" s="16" t="s">
        <v>44</v>
      </c>
      <c r="D223" s="16" t="s">
        <v>2843</v>
      </c>
      <c r="E223" s="16" t="s">
        <v>2622</v>
      </c>
      <c r="F223" s="16" t="s">
        <v>2616</v>
      </c>
      <c r="G223" s="16" t="s">
        <v>651</v>
      </c>
      <c r="H223" s="16" t="s">
        <v>3068</v>
      </c>
      <c r="I223" s="7" t="n">
        <f aca="false">IF(COUNTIF($H$5:$H$336,H223)&gt;1,1,0)</f>
        <v>0</v>
      </c>
      <c r="J223" s="17" t="str">
        <f aca="false">INDEX($A$5:$A$336,MATCH(H223,$H$5:$H$336,0))</f>
        <v>A0219</v>
      </c>
      <c r="K223" s="17" t="str">
        <f aca="false">IF(C223&lt;&gt;"",C223,IF(INDEX($C$5:$C$336,MATCH(J223,$A$5:$A$336,0))&lt;&gt;"",INDEX($C$5:$C$336,MATCH(J223,$A$5:$A$336,0)),"Unassigned"))</f>
        <v>Health</v>
      </c>
      <c r="L223" s="7" t="n">
        <f aca="false">IF(C223="",1,0)</f>
        <v>0</v>
      </c>
    </row>
    <row r="224" customFormat="false" ht="15" hidden="false" customHeight="false" outlineLevel="0" collapsed="false">
      <c r="A224" s="16" t="s">
        <v>224</v>
      </c>
      <c r="B224" s="16" t="s">
        <v>3069</v>
      </c>
      <c r="C224" s="16" t="s">
        <v>42</v>
      </c>
      <c r="D224" s="16" t="s">
        <v>2843</v>
      </c>
      <c r="E224" s="16" t="s">
        <v>2658</v>
      </c>
      <c r="F224" s="16" t="s">
        <v>2635</v>
      </c>
      <c r="G224" s="16" t="s">
        <v>685</v>
      </c>
      <c r="H224" s="16" t="s">
        <v>3070</v>
      </c>
      <c r="I224" s="7" t="n">
        <f aca="false">IF(COUNTIF($H$5:$H$336,H224)&gt;1,1,0)</f>
        <v>0</v>
      </c>
      <c r="J224" s="17" t="str">
        <f aca="false">INDEX($A$5:$A$336,MATCH(H224,$H$5:$H$336,0))</f>
        <v>A0220</v>
      </c>
      <c r="K224" s="17" t="str">
        <f aca="false">IF(C224&lt;&gt;"",C224,IF(INDEX($C$5:$C$336,MATCH(J224,$A$5:$A$336,0))&lt;&gt;"",INDEX($C$5:$C$336,MATCH(J224,$A$5:$A$336,0)),"Unassigned"))</f>
        <v>Energy &amp; Resources</v>
      </c>
      <c r="L224" s="7" t="n">
        <f aca="false">IF(C224="",1,0)</f>
        <v>0</v>
      </c>
    </row>
    <row r="225" customFormat="false" ht="15" hidden="false" customHeight="false" outlineLevel="0" collapsed="false">
      <c r="A225" s="16" t="s">
        <v>1512</v>
      </c>
      <c r="B225" s="16" t="s">
        <v>3071</v>
      </c>
      <c r="C225" s="16" t="s">
        <v>43</v>
      </c>
      <c r="D225" s="16" t="s">
        <v>2843</v>
      </c>
      <c r="E225" s="16" t="s">
        <v>2615</v>
      </c>
      <c r="F225" s="16" t="s">
        <v>2616</v>
      </c>
      <c r="G225" s="16" t="s">
        <v>646</v>
      </c>
      <c r="H225" s="16" t="s">
        <v>3072</v>
      </c>
      <c r="I225" s="7" t="n">
        <f aca="false">IF(COUNTIF($H$5:$H$336,H225)&gt;1,1,0)</f>
        <v>0</v>
      </c>
      <c r="J225" s="17" t="str">
        <f aca="false">INDEX($A$5:$A$336,MATCH(H225,$H$5:$H$336,0))</f>
        <v>A0221</v>
      </c>
      <c r="K225" s="17" t="str">
        <f aca="false">IF(C225&lt;&gt;"",C225,IF(INDEX($C$5:$C$336,MATCH(J225,$A$5:$A$336,0))&lt;&gt;"",INDEX($C$5:$C$336,MATCH(J225,$A$5:$A$336,0)),"Unassigned"))</f>
        <v>Financial Services</v>
      </c>
      <c r="L225" s="7" t="n">
        <f aca="false">IF(C225="",1,0)</f>
        <v>0</v>
      </c>
    </row>
    <row r="226" customFormat="false" ht="15" hidden="false" customHeight="false" outlineLevel="0" collapsed="false">
      <c r="A226" s="16" t="s">
        <v>2101</v>
      </c>
      <c r="B226" s="16" t="s">
        <v>3073</v>
      </c>
      <c r="C226" s="16" t="s">
        <v>45</v>
      </c>
      <c r="D226" s="16" t="s">
        <v>2843</v>
      </c>
      <c r="E226" s="16" t="s">
        <v>2615</v>
      </c>
      <c r="F226" s="16" t="s">
        <v>2635</v>
      </c>
      <c r="G226" s="16" t="s">
        <v>717</v>
      </c>
      <c r="H226" s="16" t="s">
        <v>3074</v>
      </c>
      <c r="I226" s="7" t="n">
        <f aca="false">IF(COUNTIF($H$5:$H$336,H226)&gt;1,1,0)</f>
        <v>0</v>
      </c>
      <c r="J226" s="17" t="str">
        <f aca="false">INDEX($A$5:$A$336,MATCH(H226,$H$5:$H$336,0))</f>
        <v>A0222</v>
      </c>
      <c r="K226" s="17" t="str">
        <f aca="false">IF(C226&lt;&gt;"",C226,IF(INDEX($C$5:$C$336,MATCH(J226,$A$5:$A$336,0))&lt;&gt;"",INDEX($C$5:$C$336,MATCH(J226,$A$5:$A$336,0)),"Unassigned"))</f>
        <v>Public Sector &amp; Development</v>
      </c>
      <c r="L226" s="7" t="n">
        <f aca="false">IF(C226="",1,0)</f>
        <v>0</v>
      </c>
    </row>
    <row r="227" customFormat="false" ht="15" hidden="false" customHeight="false" outlineLevel="0" collapsed="false">
      <c r="A227" s="16" t="s">
        <v>2288</v>
      </c>
      <c r="B227" s="16" t="s">
        <v>3075</v>
      </c>
      <c r="C227" s="16" t="s">
        <v>46</v>
      </c>
      <c r="D227" s="16" t="s">
        <v>2843</v>
      </c>
      <c r="E227" s="16" t="s">
        <v>2622</v>
      </c>
      <c r="F227" s="16" t="s">
        <v>2612</v>
      </c>
      <c r="G227" s="16" t="s">
        <v>717</v>
      </c>
      <c r="H227" s="16" t="s">
        <v>3076</v>
      </c>
      <c r="I227" s="7" t="n">
        <f aca="false">IF(COUNTIF($H$5:$H$336,H227)&gt;1,1,0)</f>
        <v>0</v>
      </c>
      <c r="J227" s="17" t="str">
        <f aca="false">INDEX($A$5:$A$336,MATCH(H227,$H$5:$H$336,0))</f>
        <v>A0223</v>
      </c>
      <c r="K227" s="17" t="str">
        <f aca="false">IF(C227&lt;&gt;"",C227,IF(INDEX($C$5:$C$336,MATCH(J227,$A$5:$A$336,0))&lt;&gt;"",INDEX($C$5:$C$336,MATCH(J227,$A$5:$A$336,0)),"Unassigned"))</f>
        <v>Real Estate &amp; Infrastructure</v>
      </c>
      <c r="L227" s="7" t="n">
        <f aca="false">IF(C227="",1,0)</f>
        <v>0</v>
      </c>
    </row>
    <row r="228" customFormat="false" ht="15" hidden="false" customHeight="false" outlineLevel="0" collapsed="false">
      <c r="A228" s="16" t="s">
        <v>3077</v>
      </c>
      <c r="B228" s="16" t="s">
        <v>3078</v>
      </c>
      <c r="C228" s="16" t="s">
        <v>42</v>
      </c>
      <c r="D228" s="16" t="s">
        <v>2843</v>
      </c>
      <c r="E228" s="16" t="s">
        <v>2615</v>
      </c>
      <c r="F228" s="16" t="s">
        <v>2612</v>
      </c>
      <c r="G228" s="16" t="s">
        <v>646</v>
      </c>
      <c r="H228" s="16" t="s">
        <v>3079</v>
      </c>
      <c r="I228" s="7" t="n">
        <f aca="false">IF(COUNTIF($H$5:$H$336,H228)&gt;1,1,0)</f>
        <v>0</v>
      </c>
      <c r="J228" s="17" t="str">
        <f aca="false">INDEX($A$5:$A$336,MATCH(H228,$H$5:$H$336,0))</f>
        <v>A0224</v>
      </c>
      <c r="K228" s="17" t="str">
        <f aca="false">IF(C228&lt;&gt;"",C228,IF(INDEX($C$5:$C$336,MATCH(J228,$A$5:$A$336,0))&lt;&gt;"",INDEX($C$5:$C$336,MATCH(J228,$A$5:$A$336,0)),"Unassigned"))</f>
        <v>Energy &amp; Resources</v>
      </c>
      <c r="L228" s="7" t="n">
        <f aca="false">IF(C228="",1,0)</f>
        <v>0</v>
      </c>
    </row>
    <row r="229" customFormat="false" ht="15" hidden="false" customHeight="false" outlineLevel="0" collapsed="false">
      <c r="A229" s="16" t="s">
        <v>1170</v>
      </c>
      <c r="B229" s="16" t="s">
        <v>3080</v>
      </c>
      <c r="C229" s="16" t="s">
        <v>43</v>
      </c>
      <c r="D229" s="16" t="s">
        <v>2843</v>
      </c>
      <c r="E229" s="16" t="s">
        <v>2615</v>
      </c>
      <c r="F229" s="16" t="s">
        <v>2635</v>
      </c>
      <c r="G229" s="16" t="s">
        <v>677</v>
      </c>
      <c r="H229" s="16" t="s">
        <v>3081</v>
      </c>
      <c r="I229" s="7" t="n">
        <f aca="false">IF(COUNTIF($H$5:$H$336,H229)&gt;1,1,0)</f>
        <v>0</v>
      </c>
      <c r="J229" s="17" t="str">
        <f aca="false">INDEX($A$5:$A$336,MATCH(H229,$H$5:$H$336,0))</f>
        <v>A0225</v>
      </c>
      <c r="K229" s="17" t="str">
        <f aca="false">IF(C229&lt;&gt;"",C229,IF(INDEX($C$5:$C$336,MATCH(J229,$A$5:$A$336,0))&lt;&gt;"",INDEX($C$5:$C$336,MATCH(J229,$A$5:$A$336,0)),"Unassigned"))</f>
        <v>Financial Services</v>
      </c>
      <c r="L229" s="7" t="n">
        <f aca="false">IF(C229="",1,0)</f>
        <v>0</v>
      </c>
    </row>
    <row r="230" customFormat="false" ht="15" hidden="false" customHeight="false" outlineLevel="0" collapsed="false">
      <c r="A230" s="16" t="s">
        <v>231</v>
      </c>
      <c r="B230" s="16" t="s">
        <v>3082</v>
      </c>
      <c r="C230" s="16" t="s">
        <v>44</v>
      </c>
      <c r="D230" s="16" t="s">
        <v>2843</v>
      </c>
      <c r="E230" s="16" t="s">
        <v>2615</v>
      </c>
      <c r="F230" s="16" t="s">
        <v>2612</v>
      </c>
      <c r="G230" s="16" t="s">
        <v>591</v>
      </c>
      <c r="H230" s="16" t="s">
        <v>3083</v>
      </c>
      <c r="I230" s="7" t="n">
        <f aca="false">IF(COUNTIF($H$5:$H$336,H230)&gt;1,1,0)</f>
        <v>0</v>
      </c>
      <c r="J230" s="17" t="str">
        <f aca="false">INDEX($A$5:$A$336,MATCH(H230,$H$5:$H$336,0))</f>
        <v>A0226</v>
      </c>
      <c r="K230" s="17" t="str">
        <f aca="false">IF(C230&lt;&gt;"",C230,IF(INDEX($C$5:$C$336,MATCH(J230,$A$5:$A$336,0))&lt;&gt;"",INDEX($C$5:$C$336,MATCH(J230,$A$5:$A$336,0)),"Unassigned"))</f>
        <v>Health</v>
      </c>
      <c r="L230" s="7" t="n">
        <f aca="false">IF(C230="",1,0)</f>
        <v>0</v>
      </c>
    </row>
    <row r="231" customFormat="false" ht="15" hidden="false" customHeight="false" outlineLevel="0" collapsed="false">
      <c r="A231" s="16" t="s">
        <v>1944</v>
      </c>
      <c r="B231" s="16" t="s">
        <v>3084</v>
      </c>
      <c r="C231" s="16" t="s">
        <v>47</v>
      </c>
      <c r="D231" s="16" t="s">
        <v>2843</v>
      </c>
      <c r="E231" s="16" t="s">
        <v>2658</v>
      </c>
      <c r="F231" s="16" t="s">
        <v>2612</v>
      </c>
      <c r="G231" s="16" t="s">
        <v>596</v>
      </c>
      <c r="H231" s="16" t="s">
        <v>3085</v>
      </c>
      <c r="I231" s="7" t="n">
        <f aca="false">IF(COUNTIF($H$5:$H$336,H231)&gt;1,1,0)</f>
        <v>0</v>
      </c>
      <c r="J231" s="17" t="str">
        <f aca="false">INDEX($A$5:$A$336,MATCH(H231,$H$5:$H$336,0))</f>
        <v>A0227</v>
      </c>
      <c r="K231" s="17" t="str">
        <f aca="false">IF(C231&lt;&gt;"",C231,IF(INDEX($C$5:$C$336,MATCH(J231,$A$5:$A$336,0))&lt;&gt;"",INDEX($C$5:$C$336,MATCH(J231,$A$5:$A$336,0)),"Unassigned"))</f>
        <v>Technology, Media &amp; Telecom</v>
      </c>
      <c r="L231" s="7" t="n">
        <f aca="false">IF(C231="",1,0)</f>
        <v>0</v>
      </c>
    </row>
    <row r="232" customFormat="false" ht="15" hidden="false" customHeight="false" outlineLevel="0" collapsed="false">
      <c r="A232" s="16" t="s">
        <v>1147</v>
      </c>
      <c r="B232" s="16" t="s">
        <v>3086</v>
      </c>
      <c r="C232" s="16" t="s">
        <v>43</v>
      </c>
      <c r="D232" s="16" t="s">
        <v>2843</v>
      </c>
      <c r="E232" s="16" t="s">
        <v>2619</v>
      </c>
      <c r="F232" s="16" t="s">
        <v>2616</v>
      </c>
      <c r="G232" s="16" t="s">
        <v>604</v>
      </c>
      <c r="H232" s="16" t="s">
        <v>3087</v>
      </c>
      <c r="I232" s="7" t="n">
        <f aca="false">IF(COUNTIF($H$5:$H$336,H232)&gt;1,1,0)</f>
        <v>0</v>
      </c>
      <c r="J232" s="17" t="str">
        <f aca="false">INDEX($A$5:$A$336,MATCH(H232,$H$5:$H$336,0))</f>
        <v>A0228</v>
      </c>
      <c r="K232" s="17" t="str">
        <f aca="false">IF(C232&lt;&gt;"",C232,IF(INDEX($C$5:$C$336,MATCH(J232,$A$5:$A$336,0))&lt;&gt;"",INDEX($C$5:$C$336,MATCH(J232,$A$5:$A$336,0)),"Unassigned"))</f>
        <v>Financial Services</v>
      </c>
      <c r="L232" s="7" t="n">
        <f aca="false">IF(C232="",1,0)</f>
        <v>0</v>
      </c>
    </row>
    <row r="233" customFormat="false" ht="15" hidden="false" customHeight="false" outlineLevel="0" collapsed="false">
      <c r="A233" s="16" t="s">
        <v>190</v>
      </c>
      <c r="B233" s="16" t="s">
        <v>3088</v>
      </c>
      <c r="C233" s="16" t="s">
        <v>45</v>
      </c>
      <c r="D233" s="16" t="s">
        <v>2843</v>
      </c>
      <c r="E233" s="16" t="s">
        <v>2611</v>
      </c>
      <c r="F233" s="16" t="s">
        <v>2612</v>
      </c>
      <c r="G233" s="16" t="s">
        <v>646</v>
      </c>
      <c r="H233" s="16" t="s">
        <v>3089</v>
      </c>
      <c r="I233" s="7" t="n">
        <f aca="false">IF(COUNTIF($H$5:$H$336,H233)&gt;1,1,0)</f>
        <v>0</v>
      </c>
      <c r="J233" s="17" t="str">
        <f aca="false">INDEX($A$5:$A$336,MATCH(H233,$H$5:$H$336,0))</f>
        <v>A0229</v>
      </c>
      <c r="K233" s="17" t="str">
        <f aca="false">IF(C233&lt;&gt;"",C233,IF(INDEX($C$5:$C$336,MATCH(J233,$A$5:$A$336,0))&lt;&gt;"",INDEX($C$5:$C$336,MATCH(J233,$A$5:$A$336,0)),"Unassigned"))</f>
        <v>Public Sector &amp; Development</v>
      </c>
      <c r="L233" s="7" t="n">
        <f aca="false">IF(C233="",1,0)</f>
        <v>0</v>
      </c>
    </row>
    <row r="234" customFormat="false" ht="15" hidden="false" customHeight="false" outlineLevel="0" collapsed="false">
      <c r="A234" s="16" t="s">
        <v>2134</v>
      </c>
      <c r="B234" s="16" t="s">
        <v>3090</v>
      </c>
      <c r="C234" s="16" t="s">
        <v>46</v>
      </c>
      <c r="D234" s="16" t="s">
        <v>2843</v>
      </c>
      <c r="E234" s="16" t="s">
        <v>2615</v>
      </c>
      <c r="F234" s="16" t="s">
        <v>2612</v>
      </c>
      <c r="G234" s="16" t="s">
        <v>591</v>
      </c>
      <c r="H234" s="16" t="s">
        <v>3091</v>
      </c>
      <c r="I234" s="7" t="n">
        <f aca="false">IF(COUNTIF($H$5:$H$336,H234)&gt;1,1,0)</f>
        <v>0</v>
      </c>
      <c r="J234" s="17" t="str">
        <f aca="false">INDEX($A$5:$A$336,MATCH(H234,$H$5:$H$336,0))</f>
        <v>A0230</v>
      </c>
      <c r="K234" s="17" t="str">
        <f aca="false">IF(C234&lt;&gt;"",C234,IF(INDEX($C$5:$C$336,MATCH(J234,$A$5:$A$336,0))&lt;&gt;"",INDEX($C$5:$C$336,MATCH(J234,$A$5:$A$336,0)),"Unassigned"))</f>
        <v>Real Estate &amp; Infrastructure</v>
      </c>
      <c r="L234" s="7" t="n">
        <f aca="false">IF(C234="",1,0)</f>
        <v>0</v>
      </c>
    </row>
    <row r="235" customFormat="false" ht="15" hidden="false" customHeight="false" outlineLevel="0" collapsed="false">
      <c r="A235" s="16" t="s">
        <v>488</v>
      </c>
      <c r="B235" s="16" t="s">
        <v>3092</v>
      </c>
      <c r="C235" s="16" t="s">
        <v>45</v>
      </c>
      <c r="D235" s="16" t="s">
        <v>2843</v>
      </c>
      <c r="E235" s="16" t="s">
        <v>2622</v>
      </c>
      <c r="F235" s="16" t="s">
        <v>2612</v>
      </c>
      <c r="G235" s="16" t="s">
        <v>578</v>
      </c>
      <c r="H235" s="16" t="s">
        <v>3093</v>
      </c>
      <c r="I235" s="7" t="n">
        <f aca="false">IF(COUNTIF($H$5:$H$336,H235)&gt;1,1,0)</f>
        <v>0</v>
      </c>
      <c r="J235" s="17" t="str">
        <f aca="false">INDEX($A$5:$A$336,MATCH(H235,$H$5:$H$336,0))</f>
        <v>A0231</v>
      </c>
      <c r="K235" s="17" t="str">
        <f aca="false">IF(C235&lt;&gt;"",C235,IF(INDEX($C$5:$C$336,MATCH(J235,$A$5:$A$336,0))&lt;&gt;"",INDEX($C$5:$C$336,MATCH(J235,$A$5:$A$336,0)),"Unassigned"))</f>
        <v>Public Sector &amp; Development</v>
      </c>
      <c r="L235" s="7" t="n">
        <f aca="false">IF(C235="",1,0)</f>
        <v>0</v>
      </c>
    </row>
    <row r="236" customFormat="false" ht="15" hidden="false" customHeight="false" outlineLevel="0" collapsed="false">
      <c r="A236" s="16" t="s">
        <v>478</v>
      </c>
      <c r="B236" s="16" t="s">
        <v>3094</v>
      </c>
      <c r="C236" s="16" t="s">
        <v>41</v>
      </c>
      <c r="D236" s="16" t="s">
        <v>2843</v>
      </c>
      <c r="E236" s="16" t="s">
        <v>2611</v>
      </c>
      <c r="F236" s="16" t="s">
        <v>2616</v>
      </c>
      <c r="G236" s="16" t="s">
        <v>600</v>
      </c>
      <c r="H236" s="16" t="s">
        <v>3095</v>
      </c>
      <c r="I236" s="7" t="n">
        <f aca="false">IF(COUNTIF($H$5:$H$336,H236)&gt;1,1,0)</f>
        <v>0</v>
      </c>
      <c r="J236" s="17" t="str">
        <f aca="false">INDEX($A$5:$A$336,MATCH(H236,$H$5:$H$336,0))</f>
        <v>A0232</v>
      </c>
      <c r="K236" s="17" t="str">
        <f aca="false">IF(C236&lt;&gt;"",C236,IF(INDEX($C$5:$C$336,MATCH(J236,$A$5:$A$336,0))&lt;&gt;"",INDEX($C$5:$C$336,MATCH(J236,$A$5:$A$336,0)),"Unassigned"))</f>
        <v>Consumer &amp; Retail</v>
      </c>
      <c r="L236" s="7" t="n">
        <f aca="false">IF(C236="",1,0)</f>
        <v>0</v>
      </c>
    </row>
    <row r="237" customFormat="false" ht="15" hidden="false" customHeight="false" outlineLevel="0" collapsed="false">
      <c r="A237" s="16" t="s">
        <v>435</v>
      </c>
      <c r="B237" s="16" t="s">
        <v>3096</v>
      </c>
      <c r="C237" s="16" t="s">
        <v>41</v>
      </c>
      <c r="D237" s="16" t="s">
        <v>2843</v>
      </c>
      <c r="E237" s="16" t="s">
        <v>2619</v>
      </c>
      <c r="F237" s="16" t="s">
        <v>2612</v>
      </c>
      <c r="G237" s="16" t="s">
        <v>567</v>
      </c>
      <c r="H237" s="16" t="s">
        <v>3097</v>
      </c>
      <c r="I237" s="7" t="n">
        <f aca="false">IF(COUNTIF($H$5:$H$336,H237)&gt;1,1,0)</f>
        <v>0</v>
      </c>
      <c r="J237" s="17" t="str">
        <f aca="false">INDEX($A$5:$A$336,MATCH(H237,$H$5:$H$336,0))</f>
        <v>A0233</v>
      </c>
      <c r="K237" s="17" t="str">
        <f aca="false">IF(C237&lt;&gt;"",C237,IF(INDEX($C$5:$C$336,MATCH(J237,$A$5:$A$336,0))&lt;&gt;"",INDEX($C$5:$C$336,MATCH(J237,$A$5:$A$336,0)),"Unassigned"))</f>
        <v>Consumer &amp; Retail</v>
      </c>
      <c r="L237" s="7" t="n">
        <f aca="false">IF(C237="",1,0)</f>
        <v>0</v>
      </c>
    </row>
    <row r="238" customFormat="false" ht="15" hidden="false" customHeight="false" outlineLevel="0" collapsed="false">
      <c r="A238" s="16" t="s">
        <v>2459</v>
      </c>
      <c r="B238" s="16" t="s">
        <v>3098</v>
      </c>
      <c r="C238" s="16" t="s">
        <v>46</v>
      </c>
      <c r="D238" s="16" t="s">
        <v>2843</v>
      </c>
      <c r="E238" s="16" t="s">
        <v>2611</v>
      </c>
      <c r="F238" s="16" t="s">
        <v>2612</v>
      </c>
      <c r="G238" s="16" t="s">
        <v>596</v>
      </c>
      <c r="H238" s="16" t="s">
        <v>3099</v>
      </c>
      <c r="I238" s="7" t="n">
        <f aca="false">IF(COUNTIF($H$5:$H$336,H238)&gt;1,1,0)</f>
        <v>0</v>
      </c>
      <c r="J238" s="17" t="str">
        <f aca="false">INDEX($A$5:$A$336,MATCH(H238,$H$5:$H$336,0))</f>
        <v>A0234</v>
      </c>
      <c r="K238" s="17" t="str">
        <f aca="false">IF(C238&lt;&gt;"",C238,IF(INDEX($C$5:$C$336,MATCH(J238,$A$5:$A$336,0))&lt;&gt;"",INDEX($C$5:$C$336,MATCH(J238,$A$5:$A$336,0)),"Unassigned"))</f>
        <v>Real Estate &amp; Infrastructure</v>
      </c>
      <c r="L238" s="7" t="n">
        <f aca="false">IF(C238="",1,0)</f>
        <v>0</v>
      </c>
    </row>
    <row r="239" customFormat="false" ht="15" hidden="false" customHeight="false" outlineLevel="0" collapsed="false">
      <c r="A239" s="16" t="s">
        <v>493</v>
      </c>
      <c r="B239" s="16" t="s">
        <v>3100</v>
      </c>
      <c r="C239" s="16" t="s">
        <v>47</v>
      </c>
      <c r="D239" s="16" t="s">
        <v>2843</v>
      </c>
      <c r="E239" s="16" t="s">
        <v>2619</v>
      </c>
      <c r="F239" s="16" t="s">
        <v>2612</v>
      </c>
      <c r="G239" s="16" t="s">
        <v>578</v>
      </c>
      <c r="H239" s="16" t="s">
        <v>3101</v>
      </c>
      <c r="I239" s="7" t="n">
        <f aca="false">IF(COUNTIF($H$5:$H$336,H239)&gt;1,1,0)</f>
        <v>0</v>
      </c>
      <c r="J239" s="17" t="str">
        <f aca="false">INDEX($A$5:$A$336,MATCH(H239,$H$5:$H$336,0))</f>
        <v>A0235</v>
      </c>
      <c r="K239" s="17" t="str">
        <f aca="false">IF(C239&lt;&gt;"",C239,IF(INDEX($C$5:$C$336,MATCH(J239,$A$5:$A$336,0))&lt;&gt;"",INDEX($C$5:$C$336,MATCH(J239,$A$5:$A$336,0)),"Unassigned"))</f>
        <v>Technology, Media &amp; Telecom</v>
      </c>
      <c r="L239" s="7" t="n">
        <f aca="false">IF(C239="",1,0)</f>
        <v>0</v>
      </c>
    </row>
    <row r="240" customFormat="false" ht="15" hidden="false" customHeight="false" outlineLevel="0" collapsed="false">
      <c r="A240" s="16" t="s">
        <v>306</v>
      </c>
      <c r="B240" s="16" t="s">
        <v>3102</v>
      </c>
      <c r="C240" s="16" t="s">
        <v>45</v>
      </c>
      <c r="D240" s="16" t="s">
        <v>2843</v>
      </c>
      <c r="E240" s="16" t="s">
        <v>2611</v>
      </c>
      <c r="F240" s="16" t="s">
        <v>2612</v>
      </c>
      <c r="G240" s="16" t="s">
        <v>578</v>
      </c>
      <c r="H240" s="16" t="s">
        <v>3103</v>
      </c>
      <c r="I240" s="7" t="n">
        <f aca="false">IF(COUNTIF($H$5:$H$336,H240)&gt;1,1,0)</f>
        <v>0</v>
      </c>
      <c r="J240" s="17" t="str">
        <f aca="false">INDEX($A$5:$A$336,MATCH(H240,$H$5:$H$336,0))</f>
        <v>A0236</v>
      </c>
      <c r="K240" s="17" t="str">
        <f aca="false">IF(C240&lt;&gt;"",C240,IF(INDEX($C$5:$C$336,MATCH(J240,$A$5:$A$336,0))&lt;&gt;"",INDEX($C$5:$C$336,MATCH(J240,$A$5:$A$336,0)),"Unassigned"))</f>
        <v>Public Sector &amp; Development</v>
      </c>
      <c r="L240" s="7" t="n">
        <f aca="false">IF(C240="",1,0)</f>
        <v>0</v>
      </c>
    </row>
    <row r="241" customFormat="false" ht="15" hidden="false" customHeight="false" outlineLevel="0" collapsed="false">
      <c r="A241" s="16" t="s">
        <v>1692</v>
      </c>
      <c r="B241" s="16" t="s">
        <v>3104</v>
      </c>
      <c r="C241" s="16" t="s">
        <v>43</v>
      </c>
      <c r="D241" s="16" t="s">
        <v>2843</v>
      </c>
      <c r="E241" s="16" t="s">
        <v>2619</v>
      </c>
      <c r="F241" s="16" t="s">
        <v>2612</v>
      </c>
      <c r="G241" s="16" t="s">
        <v>717</v>
      </c>
      <c r="H241" s="16" t="s">
        <v>3105</v>
      </c>
      <c r="I241" s="7" t="n">
        <f aca="false">IF(COUNTIF($H$5:$H$336,H241)&gt;1,1,0)</f>
        <v>0</v>
      </c>
      <c r="J241" s="17" t="str">
        <f aca="false">INDEX($A$5:$A$336,MATCH(H241,$H$5:$H$336,0))</f>
        <v>A0237</v>
      </c>
      <c r="K241" s="17" t="str">
        <f aca="false">IF(C241&lt;&gt;"",C241,IF(INDEX($C$5:$C$336,MATCH(J241,$A$5:$A$336,0))&lt;&gt;"",INDEX($C$5:$C$336,MATCH(J241,$A$5:$A$336,0)),"Unassigned"))</f>
        <v>Financial Services</v>
      </c>
      <c r="L241" s="7" t="n">
        <f aca="false">IF(C241="",1,0)</f>
        <v>0</v>
      </c>
    </row>
    <row r="242" customFormat="false" ht="15" hidden="false" customHeight="false" outlineLevel="0" collapsed="false">
      <c r="A242" s="16" t="s">
        <v>3106</v>
      </c>
      <c r="B242" s="16" t="s">
        <v>3107</v>
      </c>
      <c r="C242" s="16" t="s">
        <v>45</v>
      </c>
      <c r="D242" s="16" t="s">
        <v>2843</v>
      </c>
      <c r="E242" s="16" t="s">
        <v>2658</v>
      </c>
      <c r="F242" s="16" t="s">
        <v>2612</v>
      </c>
      <c r="G242" s="16" t="s">
        <v>691</v>
      </c>
      <c r="H242" s="16" t="s">
        <v>3108</v>
      </c>
      <c r="I242" s="7" t="n">
        <f aca="false">IF(COUNTIF($H$5:$H$336,H242)&gt;1,1,0)</f>
        <v>0</v>
      </c>
      <c r="J242" s="17" t="str">
        <f aca="false">INDEX($A$5:$A$336,MATCH(H242,$H$5:$H$336,0))</f>
        <v>A0238</v>
      </c>
      <c r="K242" s="17" t="str">
        <f aca="false">IF(C242&lt;&gt;"",C242,IF(INDEX($C$5:$C$336,MATCH(J242,$A$5:$A$336,0))&lt;&gt;"",INDEX($C$5:$C$336,MATCH(J242,$A$5:$A$336,0)),"Unassigned"))</f>
        <v>Public Sector &amp; Development</v>
      </c>
      <c r="L242" s="7" t="n">
        <f aca="false">IF(C242="",1,0)</f>
        <v>0</v>
      </c>
    </row>
    <row r="243" customFormat="false" ht="15" hidden="false" customHeight="false" outlineLevel="0" collapsed="false">
      <c r="A243" s="16" t="s">
        <v>256</v>
      </c>
      <c r="B243" s="16" t="s">
        <v>3109</v>
      </c>
      <c r="C243" s="16" t="s">
        <v>46</v>
      </c>
      <c r="D243" s="16" t="s">
        <v>2843</v>
      </c>
      <c r="E243" s="16" t="s">
        <v>2658</v>
      </c>
      <c r="F243" s="16" t="s">
        <v>2662</v>
      </c>
      <c r="G243" s="16" t="s">
        <v>588</v>
      </c>
      <c r="H243" s="16" t="s">
        <v>3110</v>
      </c>
      <c r="I243" s="7" t="n">
        <f aca="false">IF(COUNTIF($H$5:$H$336,H243)&gt;1,1,0)</f>
        <v>0</v>
      </c>
      <c r="J243" s="17" t="str">
        <f aca="false">INDEX($A$5:$A$336,MATCH(H243,$H$5:$H$336,0))</f>
        <v>A0239</v>
      </c>
      <c r="K243" s="17" t="str">
        <f aca="false">IF(C243&lt;&gt;"",C243,IF(INDEX($C$5:$C$336,MATCH(J243,$A$5:$A$336,0))&lt;&gt;"",INDEX($C$5:$C$336,MATCH(J243,$A$5:$A$336,0)),"Unassigned"))</f>
        <v>Real Estate &amp; Infrastructure</v>
      </c>
      <c r="L243" s="7" t="n">
        <f aca="false">IF(C243="",1,0)</f>
        <v>0</v>
      </c>
    </row>
    <row r="244" customFormat="false" ht="15" hidden="false" customHeight="false" outlineLevel="0" collapsed="false">
      <c r="A244" s="16" t="s">
        <v>3111</v>
      </c>
      <c r="B244" s="16" t="s">
        <v>3112</v>
      </c>
      <c r="C244" s="16" t="s">
        <v>47</v>
      </c>
      <c r="D244" s="16" t="s">
        <v>2843</v>
      </c>
      <c r="E244" s="16" t="s">
        <v>2615</v>
      </c>
      <c r="F244" s="16" t="s">
        <v>2662</v>
      </c>
      <c r="G244" s="16" t="s">
        <v>567</v>
      </c>
      <c r="H244" s="16" t="s">
        <v>3113</v>
      </c>
      <c r="I244" s="7" t="n">
        <f aca="false">IF(COUNTIF($H$5:$H$336,H244)&gt;1,1,0)</f>
        <v>0</v>
      </c>
      <c r="J244" s="17" t="str">
        <f aca="false">INDEX($A$5:$A$336,MATCH(H244,$H$5:$H$336,0))</f>
        <v>A0240</v>
      </c>
      <c r="K244" s="17" t="str">
        <f aca="false">IF(C244&lt;&gt;"",C244,IF(INDEX($C$5:$C$336,MATCH(J244,$A$5:$A$336,0))&lt;&gt;"",INDEX($C$5:$C$336,MATCH(J244,$A$5:$A$336,0)),"Unassigned"))</f>
        <v>Technology, Media &amp; Telecom</v>
      </c>
      <c r="L244" s="7" t="n">
        <f aca="false">IF(C244="",1,0)</f>
        <v>0</v>
      </c>
    </row>
    <row r="245" customFormat="false" ht="15" hidden="false" customHeight="false" outlineLevel="0" collapsed="false">
      <c r="A245" s="16" t="s">
        <v>345</v>
      </c>
      <c r="B245" s="16" t="s">
        <v>3114</v>
      </c>
      <c r="C245" s="16" t="s">
        <v>43</v>
      </c>
      <c r="D245" s="16" t="s">
        <v>2843</v>
      </c>
      <c r="E245" s="16" t="s">
        <v>2658</v>
      </c>
      <c r="F245" s="16" t="s">
        <v>2612</v>
      </c>
      <c r="G245" s="16" t="s">
        <v>677</v>
      </c>
      <c r="H245" s="16" t="s">
        <v>3115</v>
      </c>
      <c r="I245" s="7" t="n">
        <f aca="false">IF(COUNTIF($H$5:$H$336,H245)&gt;1,1,0)</f>
        <v>0</v>
      </c>
      <c r="J245" s="17" t="str">
        <f aca="false">INDEX($A$5:$A$336,MATCH(H245,$H$5:$H$336,0))</f>
        <v>A0241</v>
      </c>
      <c r="K245" s="17" t="str">
        <f aca="false">IF(C245&lt;&gt;"",C245,IF(INDEX($C$5:$C$336,MATCH(J245,$A$5:$A$336,0))&lt;&gt;"",INDEX($C$5:$C$336,MATCH(J245,$A$5:$A$336,0)),"Unassigned"))</f>
        <v>Financial Services</v>
      </c>
      <c r="L245" s="7" t="n">
        <f aca="false">IF(C245="",1,0)</f>
        <v>0</v>
      </c>
    </row>
    <row r="246" customFormat="false" ht="15" hidden="false" customHeight="false" outlineLevel="0" collapsed="false">
      <c r="A246" s="16" t="s">
        <v>852</v>
      </c>
      <c r="B246" s="16" t="s">
        <v>3116</v>
      </c>
      <c r="C246" s="16" t="s">
        <v>42</v>
      </c>
      <c r="D246" s="16" t="s">
        <v>2843</v>
      </c>
      <c r="E246" s="16" t="s">
        <v>2615</v>
      </c>
      <c r="F246" s="16" t="s">
        <v>2612</v>
      </c>
      <c r="G246" s="16" t="s">
        <v>637</v>
      </c>
      <c r="H246" s="16" t="s">
        <v>3117</v>
      </c>
      <c r="I246" s="7" t="n">
        <f aca="false">IF(COUNTIF($H$5:$H$336,H246)&gt;1,1,0)</f>
        <v>0</v>
      </c>
      <c r="J246" s="17" t="str">
        <f aca="false">INDEX($A$5:$A$336,MATCH(H246,$H$5:$H$336,0))</f>
        <v>A0242</v>
      </c>
      <c r="K246" s="17" t="str">
        <f aca="false">IF(C246&lt;&gt;"",C246,IF(INDEX($C$5:$C$336,MATCH(J246,$A$5:$A$336,0))&lt;&gt;"",INDEX($C$5:$C$336,MATCH(J246,$A$5:$A$336,0)),"Unassigned"))</f>
        <v>Energy &amp; Resources</v>
      </c>
      <c r="L246" s="7" t="n">
        <f aca="false">IF(C246="",1,0)</f>
        <v>0</v>
      </c>
    </row>
    <row r="247" customFormat="false" ht="15" hidden="false" customHeight="false" outlineLevel="0" collapsed="false">
      <c r="A247" s="16" t="s">
        <v>1448</v>
      </c>
      <c r="B247" s="16" t="s">
        <v>3118</v>
      </c>
      <c r="C247" s="16" t="s">
        <v>41</v>
      </c>
      <c r="D247" s="16" t="s">
        <v>2843</v>
      </c>
      <c r="E247" s="16" t="s">
        <v>2615</v>
      </c>
      <c r="F247" s="16" t="s">
        <v>2612</v>
      </c>
      <c r="G247" s="16" t="s">
        <v>860</v>
      </c>
      <c r="H247" s="16" t="s">
        <v>3119</v>
      </c>
      <c r="I247" s="7" t="n">
        <f aca="false">IF(COUNTIF($H$5:$H$336,H247)&gt;1,1,0)</f>
        <v>0</v>
      </c>
      <c r="J247" s="17" t="str">
        <f aca="false">INDEX($A$5:$A$336,MATCH(H247,$H$5:$H$336,0))</f>
        <v>A0243</v>
      </c>
      <c r="K247" s="17" t="str">
        <f aca="false">IF(C247&lt;&gt;"",C247,IF(INDEX($C$5:$C$336,MATCH(J247,$A$5:$A$336,0))&lt;&gt;"",INDEX($C$5:$C$336,MATCH(J247,$A$5:$A$336,0)),"Unassigned"))</f>
        <v>Consumer &amp; Retail</v>
      </c>
      <c r="L247" s="7" t="n">
        <f aca="false">IF(C247="",1,0)</f>
        <v>0</v>
      </c>
    </row>
    <row r="248" customFormat="false" ht="15" hidden="false" customHeight="false" outlineLevel="0" collapsed="false">
      <c r="A248" s="16" t="s">
        <v>236</v>
      </c>
      <c r="B248" s="16" t="s">
        <v>3120</v>
      </c>
      <c r="C248" s="16" t="s">
        <v>47</v>
      </c>
      <c r="D248" s="16" t="s">
        <v>2843</v>
      </c>
      <c r="E248" s="16" t="s">
        <v>2658</v>
      </c>
      <c r="F248" s="16" t="s">
        <v>2662</v>
      </c>
      <c r="G248" s="16" t="s">
        <v>704</v>
      </c>
      <c r="H248" s="16" t="s">
        <v>3121</v>
      </c>
      <c r="I248" s="7" t="n">
        <f aca="false">IF(COUNTIF($H$5:$H$336,H248)&gt;1,1,0)</f>
        <v>0</v>
      </c>
      <c r="J248" s="17" t="str">
        <f aca="false">INDEX($A$5:$A$336,MATCH(H248,$H$5:$H$336,0))</f>
        <v>A0244</v>
      </c>
      <c r="K248" s="17" t="str">
        <f aca="false">IF(C248&lt;&gt;"",C248,IF(INDEX($C$5:$C$336,MATCH(J248,$A$5:$A$336,0))&lt;&gt;"",INDEX($C$5:$C$336,MATCH(J248,$A$5:$A$336,0)),"Unassigned"))</f>
        <v>Technology, Media &amp; Telecom</v>
      </c>
      <c r="L248" s="7" t="n">
        <f aca="false">IF(C248="",1,0)</f>
        <v>0</v>
      </c>
    </row>
    <row r="249" customFormat="false" ht="15" hidden="false" customHeight="false" outlineLevel="0" collapsed="false">
      <c r="A249" s="16" t="s">
        <v>791</v>
      </c>
      <c r="B249" s="16" t="s">
        <v>3122</v>
      </c>
      <c r="C249" s="16" t="s">
        <v>41</v>
      </c>
      <c r="D249" s="16" t="s">
        <v>2843</v>
      </c>
      <c r="E249" s="16" t="s">
        <v>2619</v>
      </c>
      <c r="F249" s="16" t="s">
        <v>2616</v>
      </c>
      <c r="G249" s="16" t="s">
        <v>588</v>
      </c>
      <c r="H249" s="16" t="s">
        <v>3123</v>
      </c>
      <c r="I249" s="7" t="n">
        <f aca="false">IF(COUNTIF($H$5:$H$336,H249)&gt;1,1,0)</f>
        <v>0</v>
      </c>
      <c r="J249" s="17" t="str">
        <f aca="false">INDEX($A$5:$A$336,MATCH(H249,$H$5:$H$336,0))</f>
        <v>A0245</v>
      </c>
      <c r="K249" s="17" t="str">
        <f aca="false">IF(C249&lt;&gt;"",C249,IF(INDEX($C$5:$C$336,MATCH(J249,$A$5:$A$336,0))&lt;&gt;"",INDEX($C$5:$C$336,MATCH(J249,$A$5:$A$336,0)),"Unassigned"))</f>
        <v>Consumer &amp; Retail</v>
      </c>
      <c r="L249" s="7" t="n">
        <f aca="false">IF(C249="",1,0)</f>
        <v>0</v>
      </c>
    </row>
    <row r="250" customFormat="false" ht="15" hidden="false" customHeight="false" outlineLevel="0" collapsed="false">
      <c r="A250" s="16" t="s">
        <v>343</v>
      </c>
      <c r="B250" s="16" t="s">
        <v>3124</v>
      </c>
      <c r="C250" s="16" t="s">
        <v>43</v>
      </c>
      <c r="D250" s="16" t="s">
        <v>2843</v>
      </c>
      <c r="E250" s="16" t="s">
        <v>2619</v>
      </c>
      <c r="F250" s="16" t="s">
        <v>2612</v>
      </c>
      <c r="G250" s="16" t="s">
        <v>588</v>
      </c>
      <c r="H250" s="16" t="s">
        <v>3125</v>
      </c>
      <c r="I250" s="7" t="n">
        <f aca="false">IF(COUNTIF($H$5:$H$336,H250)&gt;1,1,0)</f>
        <v>0</v>
      </c>
      <c r="J250" s="17" t="str">
        <f aca="false">INDEX($A$5:$A$336,MATCH(H250,$H$5:$H$336,0))</f>
        <v>A0246</v>
      </c>
      <c r="K250" s="17" t="str">
        <f aca="false">IF(C250&lt;&gt;"",C250,IF(INDEX($C$5:$C$336,MATCH(J250,$A$5:$A$336,0))&lt;&gt;"",INDEX($C$5:$C$336,MATCH(J250,$A$5:$A$336,0)),"Unassigned"))</f>
        <v>Financial Services</v>
      </c>
      <c r="L250" s="7" t="n">
        <f aca="false">IF(C250="",1,0)</f>
        <v>0</v>
      </c>
    </row>
    <row r="251" customFormat="false" ht="15" hidden="false" customHeight="false" outlineLevel="0" collapsed="false">
      <c r="A251" s="16" t="s">
        <v>3126</v>
      </c>
      <c r="B251" s="16" t="s">
        <v>3127</v>
      </c>
      <c r="C251" s="16" t="s">
        <v>43</v>
      </c>
      <c r="D251" s="16" t="s">
        <v>2843</v>
      </c>
      <c r="E251" s="16" t="s">
        <v>2619</v>
      </c>
      <c r="F251" s="16" t="s">
        <v>2612</v>
      </c>
      <c r="G251" s="16" t="s">
        <v>583</v>
      </c>
      <c r="H251" s="16" t="s">
        <v>3128</v>
      </c>
      <c r="I251" s="7" t="n">
        <f aca="false">IF(COUNTIF($H$5:$H$336,H251)&gt;1,1,0)</f>
        <v>0</v>
      </c>
      <c r="J251" s="17" t="str">
        <f aca="false">INDEX($A$5:$A$336,MATCH(H251,$H$5:$H$336,0))</f>
        <v>A0247</v>
      </c>
      <c r="K251" s="17" t="str">
        <f aca="false">IF(C251&lt;&gt;"",C251,IF(INDEX($C$5:$C$336,MATCH(J251,$A$5:$A$336,0))&lt;&gt;"",INDEX($C$5:$C$336,MATCH(J251,$A$5:$A$336,0)),"Unassigned"))</f>
        <v>Financial Services</v>
      </c>
      <c r="L251" s="7" t="n">
        <f aca="false">IF(C251="",1,0)</f>
        <v>0</v>
      </c>
    </row>
    <row r="252" customFormat="false" ht="15" hidden="false" customHeight="false" outlineLevel="0" collapsed="false">
      <c r="A252" s="16" t="s">
        <v>1060</v>
      </c>
      <c r="B252" s="16" t="s">
        <v>3129</v>
      </c>
      <c r="C252" s="16" t="s">
        <v>41</v>
      </c>
      <c r="D252" s="16" t="s">
        <v>2843</v>
      </c>
      <c r="E252" s="16" t="s">
        <v>2615</v>
      </c>
      <c r="F252" s="16" t="s">
        <v>2612</v>
      </c>
      <c r="G252" s="16" t="s">
        <v>880</v>
      </c>
      <c r="H252" s="16" t="s">
        <v>3130</v>
      </c>
      <c r="I252" s="7" t="n">
        <f aca="false">IF(COUNTIF($H$5:$H$336,H252)&gt;1,1,0)</f>
        <v>0</v>
      </c>
      <c r="J252" s="17" t="str">
        <f aca="false">INDEX($A$5:$A$336,MATCH(H252,$H$5:$H$336,0))</f>
        <v>A0248</v>
      </c>
      <c r="K252" s="17" t="str">
        <f aca="false">IF(C252&lt;&gt;"",C252,IF(INDEX($C$5:$C$336,MATCH(J252,$A$5:$A$336,0))&lt;&gt;"",INDEX($C$5:$C$336,MATCH(J252,$A$5:$A$336,0)),"Unassigned"))</f>
        <v>Consumer &amp; Retail</v>
      </c>
      <c r="L252" s="7" t="n">
        <f aca="false">IF(C252="",1,0)</f>
        <v>0</v>
      </c>
    </row>
    <row r="253" customFormat="false" ht="15" hidden="false" customHeight="false" outlineLevel="0" collapsed="false">
      <c r="A253" s="16" t="s">
        <v>615</v>
      </c>
      <c r="B253" s="16" t="s">
        <v>3131</v>
      </c>
      <c r="C253" s="16" t="s">
        <v>42</v>
      </c>
      <c r="D253" s="16" t="s">
        <v>2843</v>
      </c>
      <c r="E253" s="16" t="s">
        <v>2615</v>
      </c>
      <c r="F253" s="16" t="s">
        <v>2612</v>
      </c>
      <c r="G253" s="16" t="s">
        <v>880</v>
      </c>
      <c r="H253" s="16" t="s">
        <v>3132</v>
      </c>
      <c r="I253" s="7" t="n">
        <f aca="false">IF(COUNTIF($H$5:$H$336,H253)&gt;1,1,0)</f>
        <v>0</v>
      </c>
      <c r="J253" s="17" t="str">
        <f aca="false">INDEX($A$5:$A$336,MATCH(H253,$H$5:$H$336,0))</f>
        <v>A0249</v>
      </c>
      <c r="K253" s="17" t="str">
        <f aca="false">IF(C253&lt;&gt;"",C253,IF(INDEX($C$5:$C$336,MATCH(J253,$A$5:$A$336,0))&lt;&gt;"",INDEX($C$5:$C$336,MATCH(J253,$A$5:$A$336,0)),"Unassigned"))</f>
        <v>Energy &amp; Resources</v>
      </c>
      <c r="L253" s="7" t="n">
        <f aca="false">IF(C253="",1,0)</f>
        <v>0</v>
      </c>
    </row>
    <row r="254" customFormat="false" ht="15" hidden="false" customHeight="false" outlineLevel="0" collapsed="false">
      <c r="A254" s="16" t="s">
        <v>450</v>
      </c>
      <c r="B254" s="16" t="s">
        <v>3133</v>
      </c>
      <c r="C254" s="16" t="s">
        <v>47</v>
      </c>
      <c r="D254" s="16" t="s">
        <v>2843</v>
      </c>
      <c r="E254" s="16" t="s">
        <v>2619</v>
      </c>
      <c r="F254" s="16" t="s">
        <v>2612</v>
      </c>
      <c r="G254" s="16" t="s">
        <v>831</v>
      </c>
      <c r="H254" s="16" t="s">
        <v>3134</v>
      </c>
      <c r="I254" s="7" t="n">
        <f aca="false">IF(COUNTIF($H$5:$H$336,H254)&gt;1,1,0)</f>
        <v>0</v>
      </c>
      <c r="J254" s="17" t="str">
        <f aca="false">INDEX($A$5:$A$336,MATCH(H254,$H$5:$H$336,0))</f>
        <v>A0250</v>
      </c>
      <c r="K254" s="17" t="str">
        <f aca="false">IF(C254&lt;&gt;"",C254,IF(INDEX($C$5:$C$336,MATCH(J254,$A$5:$A$336,0))&lt;&gt;"",INDEX($C$5:$C$336,MATCH(J254,$A$5:$A$336,0)),"Unassigned"))</f>
        <v>Technology, Media &amp; Telecom</v>
      </c>
      <c r="L254" s="7" t="n">
        <f aca="false">IF(C254="",1,0)</f>
        <v>0</v>
      </c>
    </row>
    <row r="255" customFormat="false" ht="15" hidden="false" customHeight="false" outlineLevel="0" collapsed="false">
      <c r="A255" s="16" t="s">
        <v>427</v>
      </c>
      <c r="B255" s="16" t="s">
        <v>3135</v>
      </c>
      <c r="C255" s="16" t="s">
        <v>43</v>
      </c>
      <c r="D255" s="16" t="s">
        <v>2843</v>
      </c>
      <c r="E255" s="16" t="s">
        <v>2615</v>
      </c>
      <c r="F255" s="16" t="s">
        <v>2635</v>
      </c>
      <c r="G255" s="16" t="s">
        <v>666</v>
      </c>
      <c r="H255" s="16" t="s">
        <v>3136</v>
      </c>
      <c r="I255" s="7" t="n">
        <f aca="false">IF(COUNTIF($H$5:$H$336,H255)&gt;1,1,0)</f>
        <v>0</v>
      </c>
      <c r="J255" s="17" t="str">
        <f aca="false">INDEX($A$5:$A$336,MATCH(H255,$H$5:$H$336,0))</f>
        <v>A0251</v>
      </c>
      <c r="K255" s="17" t="str">
        <f aca="false">IF(C255&lt;&gt;"",C255,IF(INDEX($C$5:$C$336,MATCH(J255,$A$5:$A$336,0))&lt;&gt;"",INDEX($C$5:$C$336,MATCH(J255,$A$5:$A$336,0)),"Unassigned"))</f>
        <v>Financial Services</v>
      </c>
      <c r="L255" s="7" t="n">
        <f aca="false">IF(C255="",1,0)</f>
        <v>0</v>
      </c>
    </row>
    <row r="256" customFormat="false" ht="15" hidden="false" customHeight="false" outlineLevel="0" collapsed="false">
      <c r="A256" s="16" t="s">
        <v>1489</v>
      </c>
      <c r="B256" s="16" t="s">
        <v>3137</v>
      </c>
      <c r="C256" s="16" t="s">
        <v>47</v>
      </c>
      <c r="D256" s="16" t="s">
        <v>2843</v>
      </c>
      <c r="E256" s="16" t="s">
        <v>2611</v>
      </c>
      <c r="F256" s="16" t="s">
        <v>2612</v>
      </c>
      <c r="G256" s="16" t="s">
        <v>654</v>
      </c>
      <c r="H256" s="16" t="s">
        <v>3138</v>
      </c>
      <c r="I256" s="7" t="n">
        <f aca="false">IF(COUNTIF($H$5:$H$336,H256)&gt;1,1,0)</f>
        <v>0</v>
      </c>
      <c r="J256" s="17" t="str">
        <f aca="false">INDEX($A$5:$A$336,MATCH(H256,$H$5:$H$336,0))</f>
        <v>A0252</v>
      </c>
      <c r="K256" s="17" t="str">
        <f aca="false">IF(C256&lt;&gt;"",C256,IF(INDEX($C$5:$C$336,MATCH(J256,$A$5:$A$336,0))&lt;&gt;"",INDEX($C$5:$C$336,MATCH(J256,$A$5:$A$336,0)),"Unassigned"))</f>
        <v>Technology, Media &amp; Telecom</v>
      </c>
      <c r="L256" s="7" t="n">
        <f aca="false">IF(C256="",1,0)</f>
        <v>0</v>
      </c>
    </row>
    <row r="257" customFormat="false" ht="15" hidden="false" customHeight="false" outlineLevel="0" collapsed="false">
      <c r="A257" s="16" t="s">
        <v>955</v>
      </c>
      <c r="B257" s="16" t="s">
        <v>3139</v>
      </c>
      <c r="C257" s="16" t="s">
        <v>47</v>
      </c>
      <c r="D257" s="16" t="s">
        <v>2843</v>
      </c>
      <c r="E257" s="16" t="s">
        <v>2611</v>
      </c>
      <c r="F257" s="16" t="s">
        <v>2612</v>
      </c>
      <c r="G257" s="16" t="s">
        <v>654</v>
      </c>
      <c r="H257" s="16" t="s">
        <v>3140</v>
      </c>
      <c r="I257" s="7" t="n">
        <f aca="false">IF(COUNTIF($H$5:$H$336,H257)&gt;1,1,0)</f>
        <v>0</v>
      </c>
      <c r="J257" s="17" t="str">
        <f aca="false">INDEX($A$5:$A$336,MATCH(H257,$H$5:$H$336,0))</f>
        <v>A0253</v>
      </c>
      <c r="K257" s="17" t="str">
        <f aca="false">IF(C257&lt;&gt;"",C257,IF(INDEX($C$5:$C$336,MATCH(J257,$A$5:$A$336,0))&lt;&gt;"",INDEX($C$5:$C$336,MATCH(J257,$A$5:$A$336,0)),"Unassigned"))</f>
        <v>Technology, Media &amp; Telecom</v>
      </c>
      <c r="L257" s="7" t="n">
        <f aca="false">IF(C257="",1,0)</f>
        <v>0</v>
      </c>
    </row>
    <row r="258" customFormat="false" ht="15" hidden="false" customHeight="false" outlineLevel="0" collapsed="false">
      <c r="A258" s="16" t="s">
        <v>3141</v>
      </c>
      <c r="B258" s="16" t="s">
        <v>3142</v>
      </c>
      <c r="C258" s="16" t="s">
        <v>44</v>
      </c>
      <c r="D258" s="16" t="s">
        <v>2843</v>
      </c>
      <c r="E258" s="16" t="s">
        <v>2615</v>
      </c>
      <c r="F258" s="16" t="s">
        <v>2662</v>
      </c>
      <c r="G258" s="16" t="s">
        <v>622</v>
      </c>
      <c r="H258" s="16" t="s">
        <v>3143</v>
      </c>
      <c r="I258" s="7" t="n">
        <f aca="false">IF(COUNTIF($H$5:$H$336,H258)&gt;1,1,0)</f>
        <v>0</v>
      </c>
      <c r="J258" s="17" t="str">
        <f aca="false">INDEX($A$5:$A$336,MATCH(H258,$H$5:$H$336,0))</f>
        <v>A0254</v>
      </c>
      <c r="K258" s="17" t="str">
        <f aca="false">IF(C258&lt;&gt;"",C258,IF(INDEX($C$5:$C$336,MATCH(J258,$A$5:$A$336,0))&lt;&gt;"",INDEX($C$5:$C$336,MATCH(J258,$A$5:$A$336,0)),"Unassigned"))</f>
        <v>Health</v>
      </c>
      <c r="L258" s="7" t="n">
        <f aca="false">IF(C258="",1,0)</f>
        <v>0</v>
      </c>
    </row>
    <row r="259" customFormat="false" ht="15" hidden="false" customHeight="false" outlineLevel="0" collapsed="false">
      <c r="A259" s="16" t="s">
        <v>715</v>
      </c>
      <c r="B259" s="16" t="s">
        <v>3144</v>
      </c>
      <c r="C259" s="16"/>
      <c r="D259" s="16" t="s">
        <v>2843</v>
      </c>
      <c r="E259" s="16" t="s">
        <v>2622</v>
      </c>
      <c r="F259" s="16" t="s">
        <v>2659</v>
      </c>
      <c r="G259" s="16" t="s">
        <v>717</v>
      </c>
      <c r="H259" s="16" t="s">
        <v>3145</v>
      </c>
      <c r="I259" s="7" t="n">
        <f aca="false">IF(COUNTIF($H$5:$H$336,H259)&gt;1,1,0)</f>
        <v>0</v>
      </c>
      <c r="J259" s="17" t="str">
        <f aca="false">INDEX($A$5:$A$336,MATCH(H259,$H$5:$H$336,0))</f>
        <v>A0255</v>
      </c>
      <c r="K259" s="17" t="str">
        <f aca="false">IF(C259&lt;&gt;"",C259,IF(INDEX($C$5:$C$336,MATCH(J259,$A$5:$A$336,0))&lt;&gt;"",INDEX($C$5:$C$336,MATCH(J259,$A$5:$A$336,0)),"Unassigned"))</f>
        <v>Unassigned</v>
      </c>
      <c r="L259" s="7" t="n">
        <f aca="false">IF(C259="",1,0)</f>
        <v>1</v>
      </c>
    </row>
    <row r="260" customFormat="false" ht="15" hidden="false" customHeight="false" outlineLevel="0" collapsed="false">
      <c r="A260" s="16" t="s">
        <v>250</v>
      </c>
      <c r="B260" s="16" t="s">
        <v>3146</v>
      </c>
      <c r="C260" s="16" t="s">
        <v>45</v>
      </c>
      <c r="D260" s="16" t="s">
        <v>2843</v>
      </c>
      <c r="E260" s="16" t="s">
        <v>2658</v>
      </c>
      <c r="F260" s="16" t="s">
        <v>2616</v>
      </c>
      <c r="G260" s="16" t="s">
        <v>622</v>
      </c>
      <c r="H260" s="16" t="s">
        <v>3147</v>
      </c>
      <c r="I260" s="7" t="n">
        <f aca="false">IF(COUNTIF($H$5:$H$336,H260)&gt;1,1,0)</f>
        <v>0</v>
      </c>
      <c r="J260" s="17" t="str">
        <f aca="false">INDEX($A$5:$A$336,MATCH(H260,$H$5:$H$336,0))</f>
        <v>A0256</v>
      </c>
      <c r="K260" s="17" t="str">
        <f aca="false">IF(C260&lt;&gt;"",C260,IF(INDEX($C$5:$C$336,MATCH(J260,$A$5:$A$336,0))&lt;&gt;"",INDEX($C$5:$C$336,MATCH(J260,$A$5:$A$336,0)),"Unassigned"))</f>
        <v>Public Sector &amp; Development</v>
      </c>
      <c r="L260" s="7" t="n">
        <f aca="false">IF(C260="",1,0)</f>
        <v>0</v>
      </c>
    </row>
    <row r="261" customFormat="false" ht="15" hidden="false" customHeight="false" outlineLevel="0" collapsed="false">
      <c r="A261" s="16" t="s">
        <v>1556</v>
      </c>
      <c r="B261" s="16" t="s">
        <v>3148</v>
      </c>
      <c r="C261" s="16" t="s">
        <v>47</v>
      </c>
      <c r="D261" s="16" t="s">
        <v>2843</v>
      </c>
      <c r="E261" s="16" t="s">
        <v>2658</v>
      </c>
      <c r="F261" s="16" t="s">
        <v>2612</v>
      </c>
      <c r="G261" s="16" t="s">
        <v>622</v>
      </c>
      <c r="H261" s="16" t="s">
        <v>3149</v>
      </c>
      <c r="I261" s="7" t="n">
        <f aca="false">IF(COUNTIF($H$5:$H$336,H261)&gt;1,1,0)</f>
        <v>0</v>
      </c>
      <c r="J261" s="17" t="str">
        <f aca="false">INDEX($A$5:$A$336,MATCH(H261,$H$5:$H$336,0))</f>
        <v>A0257</v>
      </c>
      <c r="K261" s="17" t="str">
        <f aca="false">IF(C261&lt;&gt;"",C261,IF(INDEX($C$5:$C$336,MATCH(J261,$A$5:$A$336,0))&lt;&gt;"",INDEX($C$5:$C$336,MATCH(J261,$A$5:$A$336,0)),"Unassigned"))</f>
        <v>Technology, Media &amp; Telecom</v>
      </c>
      <c r="L261" s="7" t="n">
        <f aca="false">IF(C261="",1,0)</f>
        <v>0</v>
      </c>
    </row>
    <row r="262" customFormat="false" ht="15" hidden="false" customHeight="false" outlineLevel="0" collapsed="false">
      <c r="A262" s="16" t="s">
        <v>2468</v>
      </c>
      <c r="B262" s="16" t="s">
        <v>3150</v>
      </c>
      <c r="C262" s="16" t="s">
        <v>44</v>
      </c>
      <c r="D262" s="16" t="s">
        <v>2843</v>
      </c>
      <c r="E262" s="16" t="s">
        <v>2611</v>
      </c>
      <c r="F262" s="16" t="s">
        <v>2612</v>
      </c>
      <c r="G262" s="16" t="s">
        <v>651</v>
      </c>
      <c r="H262" s="16" t="s">
        <v>3151</v>
      </c>
      <c r="I262" s="7" t="n">
        <f aca="false">IF(COUNTIF($H$5:$H$336,H262)&gt;1,1,0)</f>
        <v>0</v>
      </c>
      <c r="J262" s="17" t="str">
        <f aca="false">INDEX($A$5:$A$336,MATCH(H262,$H$5:$H$336,0))</f>
        <v>A0258</v>
      </c>
      <c r="K262" s="17" t="str">
        <f aca="false">IF(C262&lt;&gt;"",C262,IF(INDEX($C$5:$C$336,MATCH(J262,$A$5:$A$336,0))&lt;&gt;"",INDEX($C$5:$C$336,MATCH(J262,$A$5:$A$336,0)),"Unassigned"))</f>
        <v>Health</v>
      </c>
      <c r="L262" s="7" t="n">
        <f aca="false">IF(C262="",1,0)</f>
        <v>0</v>
      </c>
    </row>
    <row r="263" customFormat="false" ht="15" hidden="false" customHeight="false" outlineLevel="0" collapsed="false">
      <c r="A263" s="16" t="s">
        <v>387</v>
      </c>
      <c r="B263" s="16" t="s">
        <v>3152</v>
      </c>
      <c r="C263" s="16" t="s">
        <v>43</v>
      </c>
      <c r="D263" s="16" t="s">
        <v>2843</v>
      </c>
      <c r="E263" s="16" t="s">
        <v>2615</v>
      </c>
      <c r="F263" s="16" t="s">
        <v>2612</v>
      </c>
      <c r="G263" s="16" t="s">
        <v>637</v>
      </c>
      <c r="H263" s="16" t="s">
        <v>3153</v>
      </c>
      <c r="I263" s="7" t="n">
        <f aca="false">IF(COUNTIF($H$5:$H$336,H263)&gt;1,1,0)</f>
        <v>0</v>
      </c>
      <c r="J263" s="17" t="str">
        <f aca="false">INDEX($A$5:$A$336,MATCH(H263,$H$5:$H$336,0))</f>
        <v>A0259</v>
      </c>
      <c r="K263" s="17" t="str">
        <f aca="false">IF(C263&lt;&gt;"",C263,IF(INDEX($C$5:$C$336,MATCH(J263,$A$5:$A$336,0))&lt;&gt;"",INDEX($C$5:$C$336,MATCH(J263,$A$5:$A$336,0)),"Unassigned"))</f>
        <v>Financial Services</v>
      </c>
      <c r="L263" s="7" t="n">
        <f aca="false">IF(C263="",1,0)</f>
        <v>0</v>
      </c>
    </row>
    <row r="264" customFormat="false" ht="15" hidden="false" customHeight="false" outlineLevel="0" collapsed="false">
      <c r="A264" s="16" t="s">
        <v>3154</v>
      </c>
      <c r="B264" s="16" t="s">
        <v>3155</v>
      </c>
      <c r="C264" s="16" t="s">
        <v>40</v>
      </c>
      <c r="D264" s="16" t="s">
        <v>2843</v>
      </c>
      <c r="E264" s="16" t="s">
        <v>2619</v>
      </c>
      <c r="F264" s="16" t="s">
        <v>2662</v>
      </c>
      <c r="G264" s="16" t="s">
        <v>578</v>
      </c>
      <c r="H264" s="16" t="s">
        <v>3156</v>
      </c>
      <c r="I264" s="7" t="n">
        <f aca="false">IF(COUNTIF($H$5:$H$336,H264)&gt;1,1,0)</f>
        <v>0</v>
      </c>
      <c r="J264" s="17" t="str">
        <f aca="false">INDEX($A$5:$A$336,MATCH(H264,$H$5:$H$336,0))</f>
        <v>A0260</v>
      </c>
      <c r="K264" s="17" t="str">
        <f aca="false">IF(C264&lt;&gt;"",C264,IF(INDEX($C$5:$C$336,MATCH(J264,$A$5:$A$336,0))&lt;&gt;"",INDEX($C$5:$C$336,MATCH(J264,$A$5:$A$336,0)),"Unassigned"))</f>
        <v>Agribusiness</v>
      </c>
      <c r="L264" s="7" t="n">
        <f aca="false">IF(C264="",1,0)</f>
        <v>0</v>
      </c>
    </row>
    <row r="265" customFormat="false" ht="15" hidden="false" customHeight="false" outlineLevel="0" collapsed="false">
      <c r="A265" s="16" t="s">
        <v>966</v>
      </c>
      <c r="B265" s="16" t="s">
        <v>3157</v>
      </c>
      <c r="C265" s="16" t="s">
        <v>45</v>
      </c>
      <c r="D265" s="16" t="s">
        <v>2843</v>
      </c>
      <c r="E265" s="16" t="s">
        <v>2622</v>
      </c>
      <c r="F265" s="16" t="s">
        <v>2659</v>
      </c>
      <c r="G265" s="16" t="s">
        <v>588</v>
      </c>
      <c r="H265" s="16" t="s">
        <v>3158</v>
      </c>
      <c r="I265" s="7" t="n">
        <f aca="false">IF(COUNTIF($H$5:$H$336,H265)&gt;1,1,0)</f>
        <v>0</v>
      </c>
      <c r="J265" s="17" t="str">
        <f aca="false">INDEX($A$5:$A$336,MATCH(H265,$H$5:$H$336,0))</f>
        <v>A0261</v>
      </c>
      <c r="K265" s="17" t="str">
        <f aca="false">IF(C265&lt;&gt;"",C265,IF(INDEX($C$5:$C$336,MATCH(J265,$A$5:$A$336,0))&lt;&gt;"",INDEX($C$5:$C$336,MATCH(J265,$A$5:$A$336,0)),"Unassigned"))</f>
        <v>Public Sector &amp; Development</v>
      </c>
      <c r="L265" s="7" t="n">
        <f aca="false">IF(C265="",1,0)</f>
        <v>0</v>
      </c>
    </row>
    <row r="266" customFormat="false" ht="15" hidden="false" customHeight="false" outlineLevel="0" collapsed="false">
      <c r="A266" s="16" t="s">
        <v>496</v>
      </c>
      <c r="B266" s="16" t="s">
        <v>3159</v>
      </c>
      <c r="C266" s="16" t="s">
        <v>40</v>
      </c>
      <c r="D266" s="16" t="s">
        <v>2843</v>
      </c>
      <c r="E266" s="16" t="s">
        <v>2615</v>
      </c>
      <c r="F266" s="16" t="s">
        <v>2612</v>
      </c>
      <c r="G266" s="16" t="s">
        <v>604</v>
      </c>
      <c r="H266" s="16" t="s">
        <v>3160</v>
      </c>
      <c r="I266" s="7" t="n">
        <f aca="false">IF(COUNTIF($H$5:$H$336,H266)&gt;1,1,0)</f>
        <v>0</v>
      </c>
      <c r="J266" s="17" t="str">
        <f aca="false">INDEX($A$5:$A$336,MATCH(H266,$H$5:$H$336,0))</f>
        <v>A0262</v>
      </c>
      <c r="K266" s="17" t="str">
        <f aca="false">IF(C266&lt;&gt;"",C266,IF(INDEX($C$5:$C$336,MATCH(J266,$A$5:$A$336,0))&lt;&gt;"",INDEX($C$5:$C$336,MATCH(J266,$A$5:$A$336,0)),"Unassigned"))</f>
        <v>Agribusiness</v>
      </c>
      <c r="L266" s="7" t="n">
        <f aca="false">IF(C266="",1,0)</f>
        <v>0</v>
      </c>
    </row>
    <row r="267" customFormat="false" ht="15" hidden="false" customHeight="false" outlineLevel="0" collapsed="false">
      <c r="A267" s="16" t="s">
        <v>355</v>
      </c>
      <c r="B267" s="16" t="s">
        <v>3161</v>
      </c>
      <c r="C267" s="16" t="s">
        <v>41</v>
      </c>
      <c r="D267" s="16" t="s">
        <v>2843</v>
      </c>
      <c r="E267" s="16" t="s">
        <v>2615</v>
      </c>
      <c r="F267" s="16" t="s">
        <v>2612</v>
      </c>
      <c r="G267" s="16" t="s">
        <v>677</v>
      </c>
      <c r="H267" s="16" t="s">
        <v>3162</v>
      </c>
      <c r="I267" s="7" t="n">
        <f aca="false">IF(COUNTIF($H$5:$H$336,H267)&gt;1,1,0)</f>
        <v>0</v>
      </c>
      <c r="J267" s="17" t="str">
        <f aca="false">INDEX($A$5:$A$336,MATCH(H267,$H$5:$H$336,0))</f>
        <v>A0263</v>
      </c>
      <c r="K267" s="17" t="str">
        <f aca="false">IF(C267&lt;&gt;"",C267,IF(INDEX($C$5:$C$336,MATCH(J267,$A$5:$A$336,0))&lt;&gt;"",INDEX($C$5:$C$336,MATCH(J267,$A$5:$A$336,0)),"Unassigned"))</f>
        <v>Consumer &amp; Retail</v>
      </c>
      <c r="L267" s="7" t="n">
        <f aca="false">IF(C267="",1,0)</f>
        <v>0</v>
      </c>
    </row>
    <row r="268" customFormat="false" ht="15" hidden="false" customHeight="false" outlineLevel="0" collapsed="false">
      <c r="A268" s="16" t="s">
        <v>1831</v>
      </c>
      <c r="B268" s="16" t="s">
        <v>3163</v>
      </c>
      <c r="C268" s="16" t="s">
        <v>47</v>
      </c>
      <c r="D268" s="16" t="s">
        <v>2843</v>
      </c>
      <c r="E268" s="16" t="s">
        <v>2658</v>
      </c>
      <c r="F268" s="16" t="s">
        <v>2612</v>
      </c>
      <c r="G268" s="16" t="s">
        <v>633</v>
      </c>
      <c r="H268" s="16" t="s">
        <v>3164</v>
      </c>
      <c r="I268" s="7" t="n">
        <f aca="false">IF(COUNTIF($H$5:$H$336,H268)&gt;1,1,0)</f>
        <v>0</v>
      </c>
      <c r="J268" s="17" t="str">
        <f aca="false">INDEX($A$5:$A$336,MATCH(H268,$H$5:$H$336,0))</f>
        <v>A0264</v>
      </c>
      <c r="K268" s="17" t="str">
        <f aca="false">IF(C268&lt;&gt;"",C268,IF(INDEX($C$5:$C$336,MATCH(J268,$A$5:$A$336,0))&lt;&gt;"",INDEX($C$5:$C$336,MATCH(J268,$A$5:$A$336,0)),"Unassigned"))</f>
        <v>Technology, Media &amp; Telecom</v>
      </c>
      <c r="L268" s="7" t="n">
        <f aca="false">IF(C268="",1,0)</f>
        <v>0</v>
      </c>
    </row>
    <row r="269" customFormat="false" ht="15" hidden="false" customHeight="false" outlineLevel="0" collapsed="false">
      <c r="A269" s="16" t="s">
        <v>2548</v>
      </c>
      <c r="B269" s="16" t="s">
        <v>3165</v>
      </c>
      <c r="C269" s="16" t="s">
        <v>44</v>
      </c>
      <c r="D269" s="16" t="s">
        <v>2843</v>
      </c>
      <c r="E269" s="16" t="s">
        <v>2622</v>
      </c>
      <c r="F269" s="16" t="s">
        <v>2635</v>
      </c>
      <c r="G269" s="16" t="s">
        <v>604</v>
      </c>
      <c r="H269" s="16" t="s">
        <v>3166</v>
      </c>
      <c r="I269" s="7" t="n">
        <f aca="false">IF(COUNTIF($H$5:$H$336,H269)&gt;1,1,0)</f>
        <v>0</v>
      </c>
      <c r="J269" s="17" t="str">
        <f aca="false">INDEX($A$5:$A$336,MATCH(H269,$H$5:$H$336,0))</f>
        <v>A0265</v>
      </c>
      <c r="K269" s="17" t="str">
        <f aca="false">IF(C269&lt;&gt;"",C269,IF(INDEX($C$5:$C$336,MATCH(J269,$A$5:$A$336,0))&lt;&gt;"",INDEX($C$5:$C$336,MATCH(J269,$A$5:$A$336,0)),"Unassigned"))</f>
        <v>Health</v>
      </c>
      <c r="L269" s="7" t="n">
        <f aca="false">IF(C269="",1,0)</f>
        <v>0</v>
      </c>
    </row>
    <row r="270" customFormat="false" ht="15" hidden="false" customHeight="false" outlineLevel="0" collapsed="false">
      <c r="A270" s="16" t="s">
        <v>437</v>
      </c>
      <c r="B270" s="16" t="s">
        <v>3167</v>
      </c>
      <c r="C270" s="16" t="s">
        <v>40</v>
      </c>
      <c r="D270" s="16" t="s">
        <v>2843</v>
      </c>
      <c r="E270" s="16" t="s">
        <v>2658</v>
      </c>
      <c r="F270" s="16" t="s">
        <v>2612</v>
      </c>
      <c r="G270" s="16" t="s">
        <v>677</v>
      </c>
      <c r="H270" s="16" t="s">
        <v>3168</v>
      </c>
      <c r="I270" s="7" t="n">
        <f aca="false">IF(COUNTIF($H$5:$H$336,H270)&gt;1,1,0)</f>
        <v>0</v>
      </c>
      <c r="J270" s="17" t="str">
        <f aca="false">INDEX($A$5:$A$336,MATCH(H270,$H$5:$H$336,0))</f>
        <v>A0266</v>
      </c>
      <c r="K270" s="17" t="str">
        <f aca="false">IF(C270&lt;&gt;"",C270,IF(INDEX($C$5:$C$336,MATCH(J270,$A$5:$A$336,0))&lt;&gt;"",INDEX($C$5:$C$336,MATCH(J270,$A$5:$A$336,0)),"Unassigned"))</f>
        <v>Agribusiness</v>
      </c>
      <c r="L270" s="7" t="n">
        <f aca="false">IF(C270="",1,0)</f>
        <v>0</v>
      </c>
    </row>
    <row r="271" customFormat="false" ht="15" hidden="false" customHeight="false" outlineLevel="0" collapsed="false">
      <c r="A271" s="16" t="s">
        <v>474</v>
      </c>
      <c r="B271" s="16" t="s">
        <v>3169</v>
      </c>
      <c r="C271" s="16" t="s">
        <v>45</v>
      </c>
      <c r="D271" s="16" t="s">
        <v>2843</v>
      </c>
      <c r="E271" s="16" t="s">
        <v>2658</v>
      </c>
      <c r="F271" s="16" t="s">
        <v>2612</v>
      </c>
      <c r="G271" s="16" t="s">
        <v>588</v>
      </c>
      <c r="H271" s="16" t="s">
        <v>3170</v>
      </c>
      <c r="I271" s="7" t="n">
        <f aca="false">IF(COUNTIF($H$5:$H$336,H271)&gt;1,1,0)</f>
        <v>0</v>
      </c>
      <c r="J271" s="17" t="str">
        <f aca="false">INDEX($A$5:$A$336,MATCH(H271,$H$5:$H$336,0))</f>
        <v>A0267</v>
      </c>
      <c r="K271" s="17" t="str">
        <f aca="false">IF(C271&lt;&gt;"",C271,IF(INDEX($C$5:$C$336,MATCH(J271,$A$5:$A$336,0))&lt;&gt;"",INDEX($C$5:$C$336,MATCH(J271,$A$5:$A$336,0)),"Unassigned"))</f>
        <v>Public Sector &amp; Development</v>
      </c>
      <c r="L271" s="7" t="n">
        <f aca="false">IF(C271="",1,0)</f>
        <v>0</v>
      </c>
    </row>
    <row r="272" customFormat="false" ht="15" hidden="false" customHeight="false" outlineLevel="0" collapsed="false">
      <c r="A272" s="16" t="s">
        <v>216</v>
      </c>
      <c r="B272" s="16" t="s">
        <v>3171</v>
      </c>
      <c r="C272" s="16" t="s">
        <v>43</v>
      </c>
      <c r="D272" s="16" t="s">
        <v>2843</v>
      </c>
      <c r="E272" s="16" t="s">
        <v>2611</v>
      </c>
      <c r="F272" s="16" t="s">
        <v>2612</v>
      </c>
      <c r="G272" s="16" t="s">
        <v>831</v>
      </c>
      <c r="H272" s="16" t="s">
        <v>3172</v>
      </c>
      <c r="I272" s="7" t="n">
        <f aca="false">IF(COUNTIF($H$5:$H$336,H272)&gt;1,1,0)</f>
        <v>0</v>
      </c>
      <c r="J272" s="17" t="str">
        <f aca="false">INDEX($A$5:$A$336,MATCH(H272,$H$5:$H$336,0))</f>
        <v>A0268</v>
      </c>
      <c r="K272" s="17" t="str">
        <f aca="false">IF(C272&lt;&gt;"",C272,IF(INDEX($C$5:$C$336,MATCH(J272,$A$5:$A$336,0))&lt;&gt;"",INDEX($C$5:$C$336,MATCH(J272,$A$5:$A$336,0)),"Unassigned"))</f>
        <v>Financial Services</v>
      </c>
      <c r="L272" s="7" t="n">
        <f aca="false">IF(C272="",1,0)</f>
        <v>0</v>
      </c>
    </row>
    <row r="273" customFormat="false" ht="15" hidden="false" customHeight="false" outlineLevel="0" collapsed="false">
      <c r="A273" s="16" t="s">
        <v>1012</v>
      </c>
      <c r="B273" s="16" t="s">
        <v>3173</v>
      </c>
      <c r="C273" s="16" t="s">
        <v>42</v>
      </c>
      <c r="D273" s="16" t="s">
        <v>2843</v>
      </c>
      <c r="E273" s="16" t="s">
        <v>2615</v>
      </c>
      <c r="F273" s="16" t="s">
        <v>2662</v>
      </c>
      <c r="G273" s="16" t="s">
        <v>691</v>
      </c>
      <c r="H273" s="16" t="s">
        <v>3174</v>
      </c>
      <c r="I273" s="7" t="n">
        <f aca="false">IF(COUNTIF($H$5:$H$336,H273)&gt;1,1,0)</f>
        <v>0</v>
      </c>
      <c r="J273" s="17" t="str">
        <f aca="false">INDEX($A$5:$A$336,MATCH(H273,$H$5:$H$336,0))</f>
        <v>A0269</v>
      </c>
      <c r="K273" s="17" t="str">
        <f aca="false">IF(C273&lt;&gt;"",C273,IF(INDEX($C$5:$C$336,MATCH(J273,$A$5:$A$336,0))&lt;&gt;"",INDEX($C$5:$C$336,MATCH(J273,$A$5:$A$336,0)),"Unassigned"))</f>
        <v>Energy &amp; Resources</v>
      </c>
      <c r="L273" s="7" t="n">
        <f aca="false">IF(C273="",1,0)</f>
        <v>0</v>
      </c>
    </row>
    <row r="274" customFormat="false" ht="15" hidden="false" customHeight="false" outlineLevel="0" collapsed="false">
      <c r="A274" s="16" t="s">
        <v>460</v>
      </c>
      <c r="B274" s="16" t="s">
        <v>3175</v>
      </c>
      <c r="C274" s="16" t="s">
        <v>41</v>
      </c>
      <c r="D274" s="16" t="s">
        <v>2843</v>
      </c>
      <c r="E274" s="16" t="s">
        <v>2619</v>
      </c>
      <c r="F274" s="16" t="s">
        <v>2612</v>
      </c>
      <c r="G274" s="16" t="s">
        <v>567</v>
      </c>
      <c r="H274" s="16" t="s">
        <v>3176</v>
      </c>
      <c r="I274" s="7" t="n">
        <f aca="false">IF(COUNTIF($H$5:$H$336,H274)&gt;1,1,0)</f>
        <v>0</v>
      </c>
      <c r="J274" s="17" t="str">
        <f aca="false">INDEX($A$5:$A$336,MATCH(H274,$H$5:$H$336,0))</f>
        <v>A0270</v>
      </c>
      <c r="K274" s="17" t="str">
        <f aca="false">IF(C274&lt;&gt;"",C274,IF(INDEX($C$5:$C$336,MATCH(J274,$A$5:$A$336,0))&lt;&gt;"",INDEX($C$5:$C$336,MATCH(J274,$A$5:$A$336,0)),"Unassigned"))</f>
        <v>Consumer &amp; Retail</v>
      </c>
      <c r="L274" s="7" t="n">
        <f aca="false">IF(C274="",1,0)</f>
        <v>0</v>
      </c>
    </row>
    <row r="275" customFormat="false" ht="15" hidden="false" customHeight="false" outlineLevel="0" collapsed="false">
      <c r="A275" s="16" t="s">
        <v>878</v>
      </c>
      <c r="B275" s="16" t="s">
        <v>3177</v>
      </c>
      <c r="C275" s="16" t="s">
        <v>40</v>
      </c>
      <c r="D275" s="16" t="s">
        <v>2843</v>
      </c>
      <c r="E275" s="16" t="s">
        <v>2615</v>
      </c>
      <c r="F275" s="16" t="s">
        <v>2612</v>
      </c>
      <c r="G275" s="16" t="s">
        <v>831</v>
      </c>
      <c r="H275" s="16" t="s">
        <v>3178</v>
      </c>
      <c r="I275" s="7" t="n">
        <f aca="false">IF(COUNTIF($H$5:$H$336,H275)&gt;1,1,0)</f>
        <v>0</v>
      </c>
      <c r="J275" s="17" t="str">
        <f aca="false">INDEX($A$5:$A$336,MATCH(H275,$H$5:$H$336,0))</f>
        <v>A0271</v>
      </c>
      <c r="K275" s="17" t="str">
        <f aca="false">IF(C275&lt;&gt;"",C275,IF(INDEX($C$5:$C$336,MATCH(J275,$A$5:$A$336,0))&lt;&gt;"",INDEX($C$5:$C$336,MATCH(J275,$A$5:$A$336,0)),"Unassigned"))</f>
        <v>Agribusiness</v>
      </c>
      <c r="L275" s="7" t="n">
        <f aca="false">IF(C275="",1,0)</f>
        <v>0</v>
      </c>
    </row>
    <row r="276" customFormat="false" ht="15" hidden="false" customHeight="false" outlineLevel="0" collapsed="false">
      <c r="A276" s="16" t="s">
        <v>292</v>
      </c>
      <c r="B276" s="16" t="s">
        <v>3179</v>
      </c>
      <c r="C276" s="16" t="s">
        <v>44</v>
      </c>
      <c r="D276" s="16" t="s">
        <v>2843</v>
      </c>
      <c r="E276" s="16" t="s">
        <v>2619</v>
      </c>
      <c r="F276" s="16" t="s">
        <v>2612</v>
      </c>
      <c r="G276" s="16" t="s">
        <v>691</v>
      </c>
      <c r="H276" s="16" t="s">
        <v>3180</v>
      </c>
      <c r="I276" s="7" t="n">
        <f aca="false">IF(COUNTIF($H$5:$H$336,H276)&gt;1,1,0)</f>
        <v>0</v>
      </c>
      <c r="J276" s="17" t="str">
        <f aca="false">INDEX($A$5:$A$336,MATCH(H276,$H$5:$H$336,0))</f>
        <v>A0272</v>
      </c>
      <c r="K276" s="17" t="str">
        <f aca="false">IF(C276&lt;&gt;"",C276,IF(INDEX($C$5:$C$336,MATCH(J276,$A$5:$A$336,0))&lt;&gt;"",INDEX($C$5:$C$336,MATCH(J276,$A$5:$A$336,0)),"Unassigned"))</f>
        <v>Health</v>
      </c>
      <c r="L276" s="7" t="n">
        <f aca="false">IF(C276="",1,0)</f>
        <v>0</v>
      </c>
    </row>
    <row r="277" customFormat="false" ht="15" hidden="false" customHeight="false" outlineLevel="0" collapsed="false">
      <c r="A277" s="16" t="s">
        <v>229</v>
      </c>
      <c r="B277" s="16" t="s">
        <v>3181</v>
      </c>
      <c r="C277" s="16" t="s">
        <v>47</v>
      </c>
      <c r="D277" s="16" t="s">
        <v>2843</v>
      </c>
      <c r="E277" s="16" t="s">
        <v>2622</v>
      </c>
      <c r="F277" s="16" t="s">
        <v>2612</v>
      </c>
      <c r="G277" s="16" t="s">
        <v>880</v>
      </c>
      <c r="H277" s="16" t="s">
        <v>3182</v>
      </c>
      <c r="I277" s="7" t="n">
        <f aca="false">IF(COUNTIF($H$5:$H$336,H277)&gt;1,1,0)</f>
        <v>0</v>
      </c>
      <c r="J277" s="17" t="str">
        <f aca="false">INDEX($A$5:$A$336,MATCH(H277,$H$5:$H$336,0))</f>
        <v>A0273</v>
      </c>
      <c r="K277" s="17" t="str">
        <f aca="false">IF(C277&lt;&gt;"",C277,IF(INDEX($C$5:$C$336,MATCH(J277,$A$5:$A$336,0))&lt;&gt;"",INDEX($C$5:$C$336,MATCH(J277,$A$5:$A$336,0)),"Unassigned"))</f>
        <v>Technology, Media &amp; Telecom</v>
      </c>
      <c r="L277" s="7" t="n">
        <f aca="false">IF(C277="",1,0)</f>
        <v>0</v>
      </c>
    </row>
    <row r="278" customFormat="false" ht="15" hidden="false" customHeight="false" outlineLevel="0" collapsed="false">
      <c r="A278" s="16" t="s">
        <v>855</v>
      </c>
      <c r="B278" s="16" t="s">
        <v>3183</v>
      </c>
      <c r="C278" s="16" t="s">
        <v>45</v>
      </c>
      <c r="D278" s="16" t="s">
        <v>2843</v>
      </c>
      <c r="E278" s="16" t="s">
        <v>2658</v>
      </c>
      <c r="F278" s="16" t="s">
        <v>2616</v>
      </c>
      <c r="G278" s="16" t="s">
        <v>573</v>
      </c>
      <c r="H278" s="16" t="s">
        <v>3184</v>
      </c>
      <c r="I278" s="7" t="n">
        <f aca="false">IF(COUNTIF($H$5:$H$336,H278)&gt;1,1,0)</f>
        <v>0</v>
      </c>
      <c r="J278" s="17" t="str">
        <f aca="false">INDEX($A$5:$A$336,MATCH(H278,$H$5:$H$336,0))</f>
        <v>A0274</v>
      </c>
      <c r="K278" s="17" t="str">
        <f aca="false">IF(C278&lt;&gt;"",C278,IF(INDEX($C$5:$C$336,MATCH(J278,$A$5:$A$336,0))&lt;&gt;"",INDEX($C$5:$C$336,MATCH(J278,$A$5:$A$336,0)),"Unassigned"))</f>
        <v>Public Sector &amp; Development</v>
      </c>
      <c r="L278" s="7" t="n">
        <f aca="false">IF(C278="",1,0)</f>
        <v>0</v>
      </c>
    </row>
    <row r="279" customFormat="false" ht="15" hidden="false" customHeight="false" outlineLevel="0" collapsed="false">
      <c r="A279" s="16" t="s">
        <v>1177</v>
      </c>
      <c r="B279" s="16" t="s">
        <v>3185</v>
      </c>
      <c r="C279" s="16" t="s">
        <v>41</v>
      </c>
      <c r="D279" s="16" t="s">
        <v>2843</v>
      </c>
      <c r="E279" s="16" t="s">
        <v>2615</v>
      </c>
      <c r="F279" s="16" t="s">
        <v>2612</v>
      </c>
      <c r="G279" s="16" t="s">
        <v>880</v>
      </c>
      <c r="H279" s="16" t="s">
        <v>3186</v>
      </c>
      <c r="I279" s="7" t="n">
        <f aca="false">IF(COUNTIF($H$5:$H$336,H279)&gt;1,1,0)</f>
        <v>0</v>
      </c>
      <c r="J279" s="17" t="str">
        <f aca="false">INDEX($A$5:$A$336,MATCH(H279,$H$5:$H$336,0))</f>
        <v>A0275</v>
      </c>
      <c r="K279" s="17" t="str">
        <f aca="false">IF(C279&lt;&gt;"",C279,IF(INDEX($C$5:$C$336,MATCH(J279,$A$5:$A$336,0))&lt;&gt;"",INDEX($C$5:$C$336,MATCH(J279,$A$5:$A$336,0)),"Unassigned"))</f>
        <v>Consumer &amp; Retail</v>
      </c>
      <c r="L279" s="7" t="n">
        <f aca="false">IF(C279="",1,0)</f>
        <v>0</v>
      </c>
    </row>
    <row r="280" customFormat="false" ht="15" hidden="false" customHeight="false" outlineLevel="0" collapsed="false">
      <c r="A280" s="16" t="s">
        <v>1629</v>
      </c>
      <c r="B280" s="16" t="s">
        <v>3187</v>
      </c>
      <c r="C280" s="16" t="s">
        <v>43</v>
      </c>
      <c r="D280" s="16" t="s">
        <v>2843</v>
      </c>
      <c r="E280" s="16" t="s">
        <v>2622</v>
      </c>
      <c r="F280" s="16" t="s">
        <v>2612</v>
      </c>
      <c r="G280" s="16" t="s">
        <v>677</v>
      </c>
      <c r="H280" s="16" t="s">
        <v>3188</v>
      </c>
      <c r="I280" s="7" t="n">
        <f aca="false">IF(COUNTIF($H$5:$H$336,H280)&gt;1,1,0)</f>
        <v>0</v>
      </c>
      <c r="J280" s="17" t="str">
        <f aca="false">INDEX($A$5:$A$336,MATCH(H280,$H$5:$H$336,0))</f>
        <v>A0276</v>
      </c>
      <c r="K280" s="17" t="str">
        <f aca="false">IF(C280&lt;&gt;"",C280,IF(INDEX($C$5:$C$336,MATCH(J280,$A$5:$A$336,0))&lt;&gt;"",INDEX($C$5:$C$336,MATCH(J280,$A$5:$A$336,0)),"Unassigned"))</f>
        <v>Financial Services</v>
      </c>
      <c r="L280" s="7" t="n">
        <f aca="false">IF(C280="",1,0)</f>
        <v>0</v>
      </c>
    </row>
    <row r="281" customFormat="false" ht="15" hidden="false" customHeight="false" outlineLevel="0" collapsed="false">
      <c r="A281" s="16" t="s">
        <v>227</v>
      </c>
      <c r="B281" s="16" t="s">
        <v>3189</v>
      </c>
      <c r="C281" s="16"/>
      <c r="D281" s="16" t="s">
        <v>2843</v>
      </c>
      <c r="E281" s="16" t="s">
        <v>2658</v>
      </c>
      <c r="F281" s="16" t="s">
        <v>2612</v>
      </c>
      <c r="G281" s="16" t="s">
        <v>729</v>
      </c>
      <c r="H281" s="16" t="s">
        <v>3190</v>
      </c>
      <c r="I281" s="7" t="n">
        <f aca="false">IF(COUNTIF($H$5:$H$336,H281)&gt;1,1,0)</f>
        <v>0</v>
      </c>
      <c r="J281" s="17" t="str">
        <f aca="false">INDEX($A$5:$A$336,MATCH(H281,$H$5:$H$336,0))</f>
        <v>A0277</v>
      </c>
      <c r="K281" s="17" t="str">
        <f aca="false">IF(C281&lt;&gt;"",C281,IF(INDEX($C$5:$C$336,MATCH(J281,$A$5:$A$336,0))&lt;&gt;"",INDEX($C$5:$C$336,MATCH(J281,$A$5:$A$336,0)),"Unassigned"))</f>
        <v>Unassigned</v>
      </c>
      <c r="L281" s="7" t="n">
        <f aca="false">IF(C281="",1,0)</f>
        <v>1</v>
      </c>
    </row>
    <row r="282" customFormat="false" ht="15" hidden="false" customHeight="false" outlineLevel="0" collapsed="false">
      <c r="A282" s="16" t="s">
        <v>357</v>
      </c>
      <c r="B282" s="16" t="s">
        <v>3191</v>
      </c>
      <c r="C282" s="16" t="s">
        <v>47</v>
      </c>
      <c r="D282" s="16" t="s">
        <v>2843</v>
      </c>
      <c r="E282" s="16" t="s">
        <v>2658</v>
      </c>
      <c r="F282" s="16" t="s">
        <v>2612</v>
      </c>
      <c r="G282" s="16" t="s">
        <v>573</v>
      </c>
      <c r="H282" s="16" t="s">
        <v>3192</v>
      </c>
      <c r="I282" s="7" t="n">
        <f aca="false">IF(COUNTIF($H$5:$H$336,H282)&gt;1,1,0)</f>
        <v>0</v>
      </c>
      <c r="J282" s="17" t="str">
        <f aca="false">INDEX($A$5:$A$336,MATCH(H282,$H$5:$H$336,0))</f>
        <v>A0278</v>
      </c>
      <c r="K282" s="17" t="str">
        <f aca="false">IF(C282&lt;&gt;"",C282,IF(INDEX($C$5:$C$336,MATCH(J282,$A$5:$A$336,0))&lt;&gt;"",INDEX($C$5:$C$336,MATCH(J282,$A$5:$A$336,0)),"Unassigned"))</f>
        <v>Technology, Media &amp; Telecom</v>
      </c>
      <c r="L282" s="7" t="n">
        <f aca="false">IF(C282="",1,0)</f>
        <v>0</v>
      </c>
    </row>
    <row r="283" customFormat="false" ht="15" hidden="false" customHeight="false" outlineLevel="0" collapsed="false">
      <c r="A283" s="16" t="s">
        <v>315</v>
      </c>
      <c r="B283" s="16" t="s">
        <v>3193</v>
      </c>
      <c r="C283" s="16" t="s">
        <v>43</v>
      </c>
      <c r="D283" s="16" t="s">
        <v>2843</v>
      </c>
      <c r="E283" s="16" t="s">
        <v>2622</v>
      </c>
      <c r="F283" s="16" t="s">
        <v>2616</v>
      </c>
      <c r="G283" s="16" t="s">
        <v>666</v>
      </c>
      <c r="H283" s="16" t="s">
        <v>3194</v>
      </c>
      <c r="I283" s="7" t="n">
        <f aca="false">IF(COUNTIF($H$5:$H$336,H283)&gt;1,1,0)</f>
        <v>0</v>
      </c>
      <c r="J283" s="17" t="str">
        <f aca="false">INDEX($A$5:$A$336,MATCH(H283,$H$5:$H$336,0))</f>
        <v>A0279</v>
      </c>
      <c r="K283" s="17" t="str">
        <f aca="false">IF(C283&lt;&gt;"",C283,IF(INDEX($C$5:$C$336,MATCH(J283,$A$5:$A$336,0))&lt;&gt;"",INDEX($C$5:$C$336,MATCH(J283,$A$5:$A$336,0)),"Unassigned"))</f>
        <v>Financial Services</v>
      </c>
      <c r="L283" s="7" t="n">
        <f aca="false">IF(C283="",1,0)</f>
        <v>0</v>
      </c>
    </row>
    <row r="284" customFormat="false" ht="15" hidden="false" customHeight="false" outlineLevel="0" collapsed="false">
      <c r="A284" s="16" t="s">
        <v>359</v>
      </c>
      <c r="B284" s="16" t="s">
        <v>3195</v>
      </c>
      <c r="C284" s="16" t="s">
        <v>44</v>
      </c>
      <c r="D284" s="16" t="s">
        <v>2843</v>
      </c>
      <c r="E284" s="16" t="s">
        <v>2658</v>
      </c>
      <c r="F284" s="16" t="s">
        <v>2612</v>
      </c>
      <c r="G284" s="16" t="s">
        <v>588</v>
      </c>
      <c r="H284" s="16" t="s">
        <v>3196</v>
      </c>
      <c r="I284" s="7" t="n">
        <f aca="false">IF(COUNTIF($H$5:$H$336,H284)&gt;1,1,0)</f>
        <v>0</v>
      </c>
      <c r="J284" s="17" t="str">
        <f aca="false">INDEX($A$5:$A$336,MATCH(H284,$H$5:$H$336,0))</f>
        <v>A0280</v>
      </c>
      <c r="K284" s="17" t="str">
        <f aca="false">IF(C284&lt;&gt;"",C284,IF(INDEX($C$5:$C$336,MATCH(J284,$A$5:$A$336,0))&lt;&gt;"",INDEX($C$5:$C$336,MATCH(J284,$A$5:$A$336,0)),"Unassigned"))</f>
        <v>Health</v>
      </c>
      <c r="L284" s="7" t="n">
        <f aca="false">IF(C284="",1,0)</f>
        <v>0</v>
      </c>
    </row>
    <row r="285" customFormat="false" ht="15" hidden="false" customHeight="false" outlineLevel="0" collapsed="false">
      <c r="A285" s="16" t="s">
        <v>2593</v>
      </c>
      <c r="B285" s="16" t="s">
        <v>3197</v>
      </c>
      <c r="C285" s="16" t="s">
        <v>42</v>
      </c>
      <c r="D285" s="16" t="s">
        <v>2843</v>
      </c>
      <c r="E285" s="16" t="s">
        <v>2611</v>
      </c>
      <c r="F285" s="16" t="s">
        <v>2612</v>
      </c>
      <c r="G285" s="16" t="s">
        <v>573</v>
      </c>
      <c r="H285" s="16" t="s">
        <v>3198</v>
      </c>
      <c r="I285" s="7" t="n">
        <f aca="false">IF(COUNTIF($H$5:$H$336,H285)&gt;1,1,0)</f>
        <v>0</v>
      </c>
      <c r="J285" s="17" t="str">
        <f aca="false">INDEX($A$5:$A$336,MATCH(H285,$H$5:$H$336,0))</f>
        <v>A0281</v>
      </c>
      <c r="K285" s="17" t="str">
        <f aca="false">IF(C285&lt;&gt;"",C285,IF(INDEX($C$5:$C$336,MATCH(J285,$A$5:$A$336,0))&lt;&gt;"",INDEX($C$5:$C$336,MATCH(J285,$A$5:$A$336,0)),"Unassigned"))</f>
        <v>Energy &amp; Resources</v>
      </c>
      <c r="L285" s="7" t="n">
        <f aca="false">IF(C285="",1,0)</f>
        <v>0</v>
      </c>
    </row>
    <row r="286" customFormat="false" ht="15" hidden="false" customHeight="false" outlineLevel="0" collapsed="false">
      <c r="A286" s="16" t="s">
        <v>2439</v>
      </c>
      <c r="B286" s="16" t="s">
        <v>3199</v>
      </c>
      <c r="C286" s="16" t="s">
        <v>41</v>
      </c>
      <c r="D286" s="16" t="s">
        <v>2843</v>
      </c>
      <c r="E286" s="16" t="s">
        <v>2658</v>
      </c>
      <c r="F286" s="16" t="s">
        <v>2612</v>
      </c>
      <c r="G286" s="16" t="s">
        <v>591</v>
      </c>
      <c r="H286" s="16" t="s">
        <v>3200</v>
      </c>
      <c r="I286" s="7" t="n">
        <f aca="false">IF(COUNTIF($H$5:$H$336,H286)&gt;1,1,0)</f>
        <v>0</v>
      </c>
      <c r="J286" s="17" t="str">
        <f aca="false">INDEX($A$5:$A$336,MATCH(H286,$H$5:$H$336,0))</f>
        <v>A0282</v>
      </c>
      <c r="K286" s="17" t="str">
        <f aca="false">IF(C286&lt;&gt;"",C286,IF(INDEX($C$5:$C$336,MATCH(J286,$A$5:$A$336,0))&lt;&gt;"",INDEX($C$5:$C$336,MATCH(J286,$A$5:$A$336,0)),"Unassigned"))</f>
        <v>Consumer &amp; Retail</v>
      </c>
      <c r="L286" s="7" t="n">
        <f aca="false">IF(C286="",1,0)</f>
        <v>0</v>
      </c>
    </row>
    <row r="287" customFormat="false" ht="15" hidden="false" customHeight="false" outlineLevel="0" collapsed="false">
      <c r="A287" s="16" t="s">
        <v>406</v>
      </c>
      <c r="B287" s="16" t="s">
        <v>3201</v>
      </c>
      <c r="C287" s="16"/>
      <c r="D287" s="16" t="s">
        <v>2843</v>
      </c>
      <c r="E287" s="16" t="s">
        <v>2619</v>
      </c>
      <c r="F287" s="16" t="s">
        <v>2612</v>
      </c>
      <c r="G287" s="16" t="s">
        <v>637</v>
      </c>
      <c r="H287" s="16" t="s">
        <v>3202</v>
      </c>
      <c r="I287" s="7" t="n">
        <f aca="false">IF(COUNTIF($H$5:$H$336,H287)&gt;1,1,0)</f>
        <v>0</v>
      </c>
      <c r="J287" s="17" t="str">
        <f aca="false">INDEX($A$5:$A$336,MATCH(H287,$H$5:$H$336,0))</f>
        <v>A0283</v>
      </c>
      <c r="K287" s="17" t="str">
        <f aca="false">IF(C287&lt;&gt;"",C287,IF(INDEX($C$5:$C$336,MATCH(J287,$A$5:$A$336,0))&lt;&gt;"",INDEX($C$5:$C$336,MATCH(J287,$A$5:$A$336,0)),"Unassigned"))</f>
        <v>Unassigned</v>
      </c>
      <c r="L287" s="7" t="n">
        <f aca="false">IF(C287="",1,0)</f>
        <v>1</v>
      </c>
    </row>
    <row r="288" customFormat="false" ht="15" hidden="false" customHeight="false" outlineLevel="0" collapsed="false">
      <c r="A288" s="16" t="s">
        <v>323</v>
      </c>
      <c r="B288" s="16" t="s">
        <v>3203</v>
      </c>
      <c r="C288" s="16" t="s">
        <v>47</v>
      </c>
      <c r="D288" s="16" t="s">
        <v>2843</v>
      </c>
      <c r="E288" s="16" t="s">
        <v>2611</v>
      </c>
      <c r="F288" s="16" t="s">
        <v>2612</v>
      </c>
      <c r="G288" s="16" t="s">
        <v>666</v>
      </c>
      <c r="H288" s="16" t="s">
        <v>3204</v>
      </c>
      <c r="I288" s="7" t="n">
        <f aca="false">IF(COUNTIF($H$5:$H$336,H288)&gt;1,1,0)</f>
        <v>0</v>
      </c>
      <c r="J288" s="17" t="str">
        <f aca="false">INDEX($A$5:$A$336,MATCH(H288,$H$5:$H$336,0))</f>
        <v>A0284</v>
      </c>
      <c r="K288" s="17" t="str">
        <f aca="false">IF(C288&lt;&gt;"",C288,IF(INDEX($C$5:$C$336,MATCH(J288,$A$5:$A$336,0))&lt;&gt;"",INDEX($C$5:$C$336,MATCH(J288,$A$5:$A$336,0)),"Unassigned"))</f>
        <v>Technology, Media &amp; Telecom</v>
      </c>
      <c r="L288" s="7" t="n">
        <f aca="false">IF(C288="",1,0)</f>
        <v>0</v>
      </c>
    </row>
    <row r="289" customFormat="false" ht="15" hidden="false" customHeight="false" outlineLevel="0" collapsed="false">
      <c r="A289" s="16" t="s">
        <v>420</v>
      </c>
      <c r="B289" s="16" t="s">
        <v>3205</v>
      </c>
      <c r="C289" s="16" t="s">
        <v>44</v>
      </c>
      <c r="D289" s="16" t="s">
        <v>2843</v>
      </c>
      <c r="E289" s="16" t="s">
        <v>2611</v>
      </c>
      <c r="F289" s="16" t="s">
        <v>2612</v>
      </c>
      <c r="G289" s="16" t="s">
        <v>596</v>
      </c>
      <c r="H289" s="16" t="s">
        <v>3206</v>
      </c>
      <c r="I289" s="7" t="n">
        <f aca="false">IF(COUNTIF($H$5:$H$336,H289)&gt;1,1,0)</f>
        <v>0</v>
      </c>
      <c r="J289" s="17" t="str">
        <f aca="false">INDEX($A$5:$A$336,MATCH(H289,$H$5:$H$336,0))</f>
        <v>A0285</v>
      </c>
      <c r="K289" s="17" t="str">
        <f aca="false">IF(C289&lt;&gt;"",C289,IF(INDEX($C$5:$C$336,MATCH(J289,$A$5:$A$336,0))&lt;&gt;"",INDEX($C$5:$C$336,MATCH(J289,$A$5:$A$336,0)),"Unassigned"))</f>
        <v>Health</v>
      </c>
      <c r="L289" s="7" t="n">
        <f aca="false">IF(C289="",1,0)</f>
        <v>0</v>
      </c>
    </row>
    <row r="290" customFormat="false" ht="15" hidden="false" customHeight="false" outlineLevel="0" collapsed="false">
      <c r="A290" s="16" t="s">
        <v>1277</v>
      </c>
      <c r="B290" s="16" t="s">
        <v>3207</v>
      </c>
      <c r="C290" s="16" t="s">
        <v>43</v>
      </c>
      <c r="D290" s="16" t="s">
        <v>2843</v>
      </c>
      <c r="E290" s="16" t="s">
        <v>2619</v>
      </c>
      <c r="F290" s="16" t="s">
        <v>2612</v>
      </c>
      <c r="G290" s="16" t="s">
        <v>831</v>
      </c>
      <c r="H290" s="16" t="s">
        <v>3208</v>
      </c>
      <c r="I290" s="7" t="n">
        <f aca="false">IF(COUNTIF($H$5:$H$336,H290)&gt;1,1,0)</f>
        <v>0</v>
      </c>
      <c r="J290" s="17" t="str">
        <f aca="false">INDEX($A$5:$A$336,MATCH(H290,$H$5:$H$336,0))</f>
        <v>A0286</v>
      </c>
      <c r="K290" s="17" t="str">
        <f aca="false">IF(C290&lt;&gt;"",C290,IF(INDEX($C$5:$C$336,MATCH(J290,$A$5:$A$336,0))&lt;&gt;"",INDEX($C$5:$C$336,MATCH(J290,$A$5:$A$336,0)),"Unassigned"))</f>
        <v>Financial Services</v>
      </c>
      <c r="L290" s="7" t="n">
        <f aca="false">IF(C290="",1,0)</f>
        <v>0</v>
      </c>
    </row>
    <row r="291" customFormat="false" ht="15" hidden="false" customHeight="false" outlineLevel="0" collapsed="false">
      <c r="A291" s="16" t="s">
        <v>3209</v>
      </c>
      <c r="B291" s="16" t="s">
        <v>3210</v>
      </c>
      <c r="C291" s="16" t="s">
        <v>41</v>
      </c>
      <c r="D291" s="16" t="s">
        <v>2843</v>
      </c>
      <c r="E291" s="16" t="s">
        <v>2611</v>
      </c>
      <c r="F291" s="16" t="s">
        <v>2612</v>
      </c>
      <c r="G291" s="16" t="s">
        <v>573</v>
      </c>
      <c r="H291" s="16" t="s">
        <v>3211</v>
      </c>
      <c r="I291" s="7" t="n">
        <f aca="false">IF(COUNTIF($H$5:$H$336,H291)&gt;1,1,0)</f>
        <v>0</v>
      </c>
      <c r="J291" s="17" t="str">
        <f aca="false">INDEX($A$5:$A$336,MATCH(H291,$H$5:$H$336,0))</f>
        <v>A0287</v>
      </c>
      <c r="K291" s="17" t="str">
        <f aca="false">IF(C291&lt;&gt;"",C291,IF(INDEX($C$5:$C$336,MATCH(J291,$A$5:$A$336,0))&lt;&gt;"",INDEX($C$5:$C$336,MATCH(J291,$A$5:$A$336,0)),"Unassigned"))</f>
        <v>Consumer &amp; Retail</v>
      </c>
      <c r="L291" s="7" t="n">
        <f aca="false">IF(C291="",1,0)</f>
        <v>0</v>
      </c>
    </row>
    <row r="292" customFormat="false" ht="15" hidden="false" customHeight="false" outlineLevel="0" collapsed="false">
      <c r="A292" s="16" t="s">
        <v>336</v>
      </c>
      <c r="B292" s="16" t="s">
        <v>3212</v>
      </c>
      <c r="C292" s="16" t="s">
        <v>42</v>
      </c>
      <c r="D292" s="16" t="s">
        <v>2843</v>
      </c>
      <c r="E292" s="16" t="s">
        <v>2611</v>
      </c>
      <c r="F292" s="16" t="s">
        <v>2612</v>
      </c>
      <c r="G292" s="16" t="s">
        <v>831</v>
      </c>
      <c r="H292" s="16" t="s">
        <v>3213</v>
      </c>
      <c r="I292" s="7" t="n">
        <f aca="false">IF(COUNTIF($H$5:$H$336,H292)&gt;1,1,0)</f>
        <v>1</v>
      </c>
      <c r="J292" s="17" t="str">
        <f aca="false">INDEX($A$5:$A$336,MATCH(H292,$H$5:$H$336,0))</f>
        <v>A0288</v>
      </c>
      <c r="K292" s="17" t="str">
        <f aca="false">IF(C292&lt;&gt;"",C292,IF(INDEX($C$5:$C$336,MATCH(J292,$A$5:$A$336,0))&lt;&gt;"",INDEX($C$5:$C$336,MATCH(J292,$A$5:$A$336,0)),"Unassigned"))</f>
        <v>Energy &amp; Resources</v>
      </c>
      <c r="L292" s="7" t="n">
        <f aca="false">IF(C292="",1,0)</f>
        <v>0</v>
      </c>
    </row>
    <row r="293" customFormat="false" ht="15" hidden="false" customHeight="false" outlineLevel="0" collapsed="false">
      <c r="A293" s="16" t="s">
        <v>1353</v>
      </c>
      <c r="B293" s="16" t="s">
        <v>3214</v>
      </c>
      <c r="C293" s="16" t="s">
        <v>43</v>
      </c>
      <c r="D293" s="16" t="s">
        <v>2843</v>
      </c>
      <c r="E293" s="16" t="s">
        <v>2615</v>
      </c>
      <c r="F293" s="16" t="s">
        <v>2662</v>
      </c>
      <c r="G293" s="16" t="s">
        <v>765</v>
      </c>
      <c r="H293" s="16" t="s">
        <v>3215</v>
      </c>
      <c r="I293" s="7" t="n">
        <f aca="false">IF(COUNTIF($H$5:$H$336,H293)&gt;1,1,0)</f>
        <v>0</v>
      </c>
      <c r="J293" s="17" t="str">
        <f aca="false">INDEX($A$5:$A$336,MATCH(H293,$H$5:$H$336,0))</f>
        <v>A0289</v>
      </c>
      <c r="K293" s="17" t="str">
        <f aca="false">IF(C293&lt;&gt;"",C293,IF(INDEX($C$5:$C$336,MATCH(J293,$A$5:$A$336,0))&lt;&gt;"",INDEX($C$5:$C$336,MATCH(J293,$A$5:$A$336,0)),"Unassigned"))</f>
        <v>Financial Services</v>
      </c>
      <c r="L293" s="7" t="n">
        <f aca="false">IF(C293="",1,0)</f>
        <v>0</v>
      </c>
    </row>
    <row r="294" customFormat="false" ht="15" hidden="false" customHeight="false" outlineLevel="0" collapsed="false">
      <c r="A294" s="16" t="s">
        <v>1253</v>
      </c>
      <c r="B294" s="16" t="s">
        <v>3216</v>
      </c>
      <c r="C294" s="16" t="s">
        <v>47</v>
      </c>
      <c r="D294" s="16" t="s">
        <v>2843</v>
      </c>
      <c r="E294" s="16" t="s">
        <v>2615</v>
      </c>
      <c r="F294" s="16" t="s">
        <v>2616</v>
      </c>
      <c r="G294" s="16" t="s">
        <v>685</v>
      </c>
      <c r="H294" s="16" t="s">
        <v>3217</v>
      </c>
      <c r="I294" s="7" t="n">
        <f aca="false">IF(COUNTIF($H$5:$H$336,H294)&gt;1,1,0)</f>
        <v>0</v>
      </c>
      <c r="J294" s="17" t="str">
        <f aca="false">INDEX($A$5:$A$336,MATCH(H294,$H$5:$H$336,0))</f>
        <v>A0290</v>
      </c>
      <c r="K294" s="17" t="str">
        <f aca="false">IF(C294&lt;&gt;"",C294,IF(INDEX($C$5:$C$336,MATCH(J294,$A$5:$A$336,0))&lt;&gt;"",INDEX($C$5:$C$336,MATCH(J294,$A$5:$A$336,0)),"Unassigned"))</f>
        <v>Technology, Media &amp; Telecom</v>
      </c>
      <c r="L294" s="7" t="n">
        <f aca="false">IF(C294="",1,0)</f>
        <v>0</v>
      </c>
    </row>
    <row r="295" customFormat="false" ht="15" hidden="false" customHeight="false" outlineLevel="0" collapsed="false">
      <c r="A295" s="16" t="s">
        <v>815</v>
      </c>
      <c r="B295" s="16" t="s">
        <v>3218</v>
      </c>
      <c r="C295" s="16" t="s">
        <v>43</v>
      </c>
      <c r="D295" s="16" t="s">
        <v>2843</v>
      </c>
      <c r="E295" s="16" t="s">
        <v>2622</v>
      </c>
      <c r="F295" s="16" t="s">
        <v>2659</v>
      </c>
      <c r="G295" s="16" t="s">
        <v>880</v>
      </c>
      <c r="H295" s="16" t="s">
        <v>3219</v>
      </c>
      <c r="I295" s="7" t="n">
        <f aca="false">IF(COUNTIF($H$5:$H$336,H295)&gt;1,1,0)</f>
        <v>0</v>
      </c>
      <c r="J295" s="17" t="str">
        <f aca="false">INDEX($A$5:$A$336,MATCH(H295,$H$5:$H$336,0))</f>
        <v>A0291</v>
      </c>
      <c r="K295" s="17" t="str">
        <f aca="false">IF(C295&lt;&gt;"",C295,IF(INDEX($C$5:$C$336,MATCH(J295,$A$5:$A$336,0))&lt;&gt;"",INDEX($C$5:$C$336,MATCH(J295,$A$5:$A$336,0)),"Unassigned"))</f>
        <v>Financial Services</v>
      </c>
      <c r="L295" s="7" t="n">
        <f aca="false">IF(C295="",1,0)</f>
        <v>0</v>
      </c>
    </row>
    <row r="296" customFormat="false" ht="15" hidden="false" customHeight="false" outlineLevel="0" collapsed="false">
      <c r="A296" s="16" t="s">
        <v>991</v>
      </c>
      <c r="B296" s="16" t="s">
        <v>3220</v>
      </c>
      <c r="C296" s="16" t="s">
        <v>42</v>
      </c>
      <c r="D296" s="16" t="s">
        <v>2843</v>
      </c>
      <c r="E296" s="16" t="s">
        <v>2622</v>
      </c>
      <c r="F296" s="16" t="s">
        <v>2659</v>
      </c>
      <c r="G296" s="16" t="s">
        <v>860</v>
      </c>
      <c r="H296" s="16" t="s">
        <v>3221</v>
      </c>
      <c r="I296" s="7" t="n">
        <f aca="false">IF(COUNTIF($H$5:$H$336,H296)&gt;1,1,0)</f>
        <v>0</v>
      </c>
      <c r="J296" s="17" t="str">
        <f aca="false">INDEX($A$5:$A$336,MATCH(H296,$H$5:$H$336,0))</f>
        <v>A0292</v>
      </c>
      <c r="K296" s="17" t="str">
        <f aca="false">IF(C296&lt;&gt;"",C296,IF(INDEX($C$5:$C$336,MATCH(J296,$A$5:$A$336,0))&lt;&gt;"",INDEX($C$5:$C$336,MATCH(J296,$A$5:$A$336,0)),"Unassigned"))</f>
        <v>Energy &amp; Resources</v>
      </c>
      <c r="L296" s="7" t="n">
        <f aca="false">IF(C296="",1,0)</f>
        <v>0</v>
      </c>
    </row>
    <row r="297" customFormat="false" ht="15" hidden="false" customHeight="false" outlineLevel="0" collapsed="false">
      <c r="A297" s="16" t="s">
        <v>246</v>
      </c>
      <c r="B297" s="16" t="s">
        <v>3222</v>
      </c>
      <c r="C297" s="16" t="s">
        <v>47</v>
      </c>
      <c r="D297" s="16" t="s">
        <v>2843</v>
      </c>
      <c r="E297" s="16" t="s">
        <v>2615</v>
      </c>
      <c r="F297" s="16" t="s">
        <v>2612</v>
      </c>
      <c r="G297" s="16" t="s">
        <v>583</v>
      </c>
      <c r="H297" s="16" t="s">
        <v>3223</v>
      </c>
      <c r="I297" s="7" t="n">
        <f aca="false">IF(COUNTIF($H$5:$H$336,H297)&gt;1,1,0)</f>
        <v>0</v>
      </c>
      <c r="J297" s="17" t="str">
        <f aca="false">INDEX($A$5:$A$336,MATCH(H297,$H$5:$H$336,0))</f>
        <v>A0293</v>
      </c>
      <c r="K297" s="17" t="str">
        <f aca="false">IF(C297&lt;&gt;"",C297,IF(INDEX($C$5:$C$336,MATCH(J297,$A$5:$A$336,0))&lt;&gt;"",INDEX($C$5:$C$336,MATCH(J297,$A$5:$A$336,0)),"Unassigned"))</f>
        <v>Technology, Media &amp; Telecom</v>
      </c>
      <c r="L297" s="7" t="n">
        <f aca="false">IF(C297="",1,0)</f>
        <v>0</v>
      </c>
    </row>
    <row r="298" customFormat="false" ht="15" hidden="false" customHeight="false" outlineLevel="0" collapsed="false">
      <c r="A298" s="16" t="s">
        <v>164</v>
      </c>
      <c r="B298" s="16" t="s">
        <v>3224</v>
      </c>
      <c r="C298" s="16" t="s">
        <v>43</v>
      </c>
      <c r="D298" s="16" t="s">
        <v>2843</v>
      </c>
      <c r="E298" s="16" t="s">
        <v>2615</v>
      </c>
      <c r="F298" s="16" t="s">
        <v>2612</v>
      </c>
      <c r="G298" s="16" t="s">
        <v>677</v>
      </c>
      <c r="H298" s="16" t="s">
        <v>3225</v>
      </c>
      <c r="I298" s="7" t="n">
        <f aca="false">IF(COUNTIF($H$5:$H$336,H298)&gt;1,1,0)</f>
        <v>0</v>
      </c>
      <c r="J298" s="17" t="str">
        <f aca="false">INDEX($A$5:$A$336,MATCH(H298,$H$5:$H$336,0))</f>
        <v>A0294</v>
      </c>
      <c r="K298" s="17" t="str">
        <f aca="false">IF(C298&lt;&gt;"",C298,IF(INDEX($C$5:$C$336,MATCH(J298,$A$5:$A$336,0))&lt;&gt;"",INDEX($C$5:$C$336,MATCH(J298,$A$5:$A$336,0)),"Unassigned"))</f>
        <v>Financial Services</v>
      </c>
      <c r="L298" s="7" t="n">
        <f aca="false">IF(C298="",1,0)</f>
        <v>0</v>
      </c>
    </row>
    <row r="299" customFormat="false" ht="15" hidden="false" customHeight="false" outlineLevel="0" collapsed="false">
      <c r="A299" s="16" t="s">
        <v>208</v>
      </c>
      <c r="B299" s="16" t="s">
        <v>3226</v>
      </c>
      <c r="C299" s="16" t="s">
        <v>43</v>
      </c>
      <c r="D299" s="16" t="s">
        <v>2843</v>
      </c>
      <c r="E299" s="16" t="s">
        <v>2615</v>
      </c>
      <c r="F299" s="16" t="s">
        <v>2659</v>
      </c>
      <c r="G299" s="16" t="s">
        <v>640</v>
      </c>
      <c r="H299" s="16" t="s">
        <v>3227</v>
      </c>
      <c r="I299" s="7" t="n">
        <f aca="false">IF(COUNTIF($H$5:$H$336,H299)&gt;1,1,0)</f>
        <v>0</v>
      </c>
      <c r="J299" s="17" t="str">
        <f aca="false">INDEX($A$5:$A$336,MATCH(H299,$H$5:$H$336,0))</f>
        <v>A0295</v>
      </c>
      <c r="K299" s="17" t="str">
        <f aca="false">IF(C299&lt;&gt;"",C299,IF(INDEX($C$5:$C$336,MATCH(J299,$A$5:$A$336,0))&lt;&gt;"",INDEX($C$5:$C$336,MATCH(J299,$A$5:$A$336,0)),"Unassigned"))</f>
        <v>Financial Services</v>
      </c>
      <c r="L299" s="7" t="n">
        <f aca="false">IF(C299="",1,0)</f>
        <v>0</v>
      </c>
    </row>
    <row r="300" customFormat="false" ht="15" hidden="false" customHeight="false" outlineLevel="0" collapsed="false">
      <c r="A300" s="16" t="s">
        <v>486</v>
      </c>
      <c r="B300" s="16" t="s">
        <v>3228</v>
      </c>
      <c r="C300" s="16" t="s">
        <v>40</v>
      </c>
      <c r="D300" s="16" t="s">
        <v>2843</v>
      </c>
      <c r="E300" s="16" t="s">
        <v>2615</v>
      </c>
      <c r="F300" s="16" t="s">
        <v>2612</v>
      </c>
      <c r="G300" s="16" t="s">
        <v>646</v>
      </c>
      <c r="H300" s="16" t="s">
        <v>3229</v>
      </c>
      <c r="I300" s="7" t="n">
        <f aca="false">IF(COUNTIF($H$5:$H$336,H300)&gt;1,1,0)</f>
        <v>0</v>
      </c>
      <c r="J300" s="17" t="str">
        <f aca="false">INDEX($A$5:$A$336,MATCH(H300,$H$5:$H$336,0))</f>
        <v>A0296</v>
      </c>
      <c r="K300" s="17" t="str">
        <f aca="false">IF(C300&lt;&gt;"",C300,IF(INDEX($C$5:$C$336,MATCH(J300,$A$5:$A$336,0))&lt;&gt;"",INDEX($C$5:$C$336,MATCH(J300,$A$5:$A$336,0)),"Unassigned"))</f>
        <v>Agribusiness</v>
      </c>
      <c r="L300" s="7" t="n">
        <f aca="false">IF(C300="",1,0)</f>
        <v>0</v>
      </c>
    </row>
    <row r="301" customFormat="false" ht="15" hidden="false" customHeight="false" outlineLevel="0" collapsed="false">
      <c r="A301" s="16" t="s">
        <v>206</v>
      </c>
      <c r="B301" s="16" t="s">
        <v>3230</v>
      </c>
      <c r="C301" s="16" t="s">
        <v>40</v>
      </c>
      <c r="D301" s="16" t="s">
        <v>2843</v>
      </c>
      <c r="E301" s="16" t="s">
        <v>2615</v>
      </c>
      <c r="F301" s="16" t="s">
        <v>2612</v>
      </c>
      <c r="G301" s="16" t="s">
        <v>596</v>
      </c>
      <c r="H301" s="16" t="s">
        <v>3231</v>
      </c>
      <c r="I301" s="7" t="n">
        <f aca="false">IF(COUNTIF($H$5:$H$336,H301)&gt;1,1,0)</f>
        <v>0</v>
      </c>
      <c r="J301" s="17" t="str">
        <f aca="false">INDEX($A$5:$A$336,MATCH(H301,$H$5:$H$336,0))</f>
        <v>A0297</v>
      </c>
      <c r="K301" s="17" t="str">
        <f aca="false">IF(C301&lt;&gt;"",C301,IF(INDEX($C$5:$C$336,MATCH(J301,$A$5:$A$336,0))&lt;&gt;"",INDEX($C$5:$C$336,MATCH(J301,$A$5:$A$336,0)),"Unassigned"))</f>
        <v>Agribusiness</v>
      </c>
      <c r="L301" s="7" t="n">
        <f aca="false">IF(C301="",1,0)</f>
        <v>0</v>
      </c>
    </row>
    <row r="302" customFormat="false" ht="15" hidden="false" customHeight="false" outlineLevel="0" collapsed="false">
      <c r="A302" s="16" t="s">
        <v>2368</v>
      </c>
      <c r="B302" s="16" t="s">
        <v>3232</v>
      </c>
      <c r="C302" s="16" t="s">
        <v>43</v>
      </c>
      <c r="D302" s="16" t="s">
        <v>2843</v>
      </c>
      <c r="E302" s="16" t="s">
        <v>2615</v>
      </c>
      <c r="F302" s="16" t="s">
        <v>2612</v>
      </c>
      <c r="G302" s="16" t="s">
        <v>622</v>
      </c>
      <c r="H302" s="16" t="s">
        <v>3233</v>
      </c>
      <c r="I302" s="7" t="n">
        <f aca="false">IF(COUNTIF($H$5:$H$336,H302)&gt;1,1,0)</f>
        <v>0</v>
      </c>
      <c r="J302" s="17" t="str">
        <f aca="false">INDEX($A$5:$A$336,MATCH(H302,$H$5:$H$336,0))</f>
        <v>A0298</v>
      </c>
      <c r="K302" s="17" t="str">
        <f aca="false">IF(C302&lt;&gt;"",C302,IF(INDEX($C$5:$C$336,MATCH(J302,$A$5:$A$336,0))&lt;&gt;"",INDEX($C$5:$C$336,MATCH(J302,$A$5:$A$336,0)),"Unassigned"))</f>
        <v>Financial Services</v>
      </c>
      <c r="L302" s="7" t="n">
        <f aca="false">IF(C302="",1,0)</f>
        <v>0</v>
      </c>
    </row>
    <row r="303" customFormat="false" ht="15" hidden="false" customHeight="false" outlineLevel="0" collapsed="false">
      <c r="A303" s="16" t="s">
        <v>3234</v>
      </c>
      <c r="B303" s="16" t="s">
        <v>3235</v>
      </c>
      <c r="C303" s="16" t="s">
        <v>43</v>
      </c>
      <c r="D303" s="16" t="s">
        <v>2843</v>
      </c>
      <c r="E303" s="16" t="s">
        <v>2622</v>
      </c>
      <c r="F303" s="16" t="s">
        <v>2612</v>
      </c>
      <c r="G303" s="16" t="s">
        <v>651</v>
      </c>
      <c r="H303" s="16" t="s">
        <v>3236</v>
      </c>
      <c r="I303" s="7" t="n">
        <f aca="false">IF(COUNTIF($H$5:$H$336,H303)&gt;1,1,0)</f>
        <v>1</v>
      </c>
      <c r="J303" s="17" t="str">
        <f aca="false">INDEX($A$5:$A$336,MATCH(H303,$H$5:$H$336,0))</f>
        <v>A0299</v>
      </c>
      <c r="K303" s="17" t="str">
        <f aca="false">IF(C303&lt;&gt;"",C303,IF(INDEX($C$5:$C$336,MATCH(J303,$A$5:$A$336,0))&lt;&gt;"",INDEX($C$5:$C$336,MATCH(J303,$A$5:$A$336,0)),"Unassigned"))</f>
        <v>Financial Services</v>
      </c>
      <c r="L303" s="7" t="n">
        <f aca="false">IF(C303="",1,0)</f>
        <v>0</v>
      </c>
    </row>
    <row r="304" customFormat="false" ht="15" hidden="false" customHeight="false" outlineLevel="0" collapsed="false">
      <c r="A304" s="16" t="s">
        <v>279</v>
      </c>
      <c r="B304" s="16" t="s">
        <v>3237</v>
      </c>
      <c r="C304" s="16" t="s">
        <v>43</v>
      </c>
      <c r="D304" s="16" t="s">
        <v>2843</v>
      </c>
      <c r="E304" s="16" t="s">
        <v>2658</v>
      </c>
      <c r="F304" s="16" t="s">
        <v>2612</v>
      </c>
      <c r="G304" s="16" t="s">
        <v>600</v>
      </c>
      <c r="H304" s="16" t="s">
        <v>3238</v>
      </c>
      <c r="I304" s="7" t="n">
        <f aca="false">IF(COUNTIF($H$5:$H$336,H304)&gt;1,1,0)</f>
        <v>0</v>
      </c>
      <c r="J304" s="17" t="str">
        <f aca="false">INDEX($A$5:$A$336,MATCH(H304,$H$5:$H$336,0))</f>
        <v>A0300</v>
      </c>
      <c r="K304" s="17" t="str">
        <f aca="false">IF(C304&lt;&gt;"",C304,IF(INDEX($C$5:$C$336,MATCH(J304,$A$5:$A$336,0))&lt;&gt;"",INDEX($C$5:$C$336,MATCH(J304,$A$5:$A$336,0)),"Unassigned"))</f>
        <v>Financial Services</v>
      </c>
      <c r="L304" s="7" t="n">
        <f aca="false">IF(C304="",1,0)</f>
        <v>0</v>
      </c>
    </row>
    <row r="305" customFormat="false" ht="15" hidden="false" customHeight="false" outlineLevel="0" collapsed="false">
      <c r="A305" s="16" t="s">
        <v>351</v>
      </c>
      <c r="B305" s="16" t="s">
        <v>3239</v>
      </c>
      <c r="C305" s="16" t="s">
        <v>45</v>
      </c>
      <c r="D305" s="16" t="s">
        <v>2843</v>
      </c>
      <c r="E305" s="16" t="s">
        <v>2622</v>
      </c>
      <c r="F305" s="16" t="s">
        <v>2612</v>
      </c>
      <c r="G305" s="16" t="s">
        <v>622</v>
      </c>
      <c r="H305" s="16" t="s">
        <v>3240</v>
      </c>
      <c r="I305" s="7" t="n">
        <f aca="false">IF(COUNTIF($H$5:$H$336,H305)&gt;1,1,0)</f>
        <v>0</v>
      </c>
      <c r="J305" s="17" t="str">
        <f aca="false">INDEX($A$5:$A$336,MATCH(H305,$H$5:$H$336,0))</f>
        <v>A0301</v>
      </c>
      <c r="K305" s="17" t="str">
        <f aca="false">IF(C305&lt;&gt;"",C305,IF(INDEX($C$5:$C$336,MATCH(J305,$A$5:$A$336,0))&lt;&gt;"",INDEX($C$5:$C$336,MATCH(J305,$A$5:$A$336,0)),"Unassigned"))</f>
        <v>Public Sector &amp; Development</v>
      </c>
      <c r="L305" s="7" t="n">
        <f aca="false">IF(C305="",1,0)</f>
        <v>0</v>
      </c>
    </row>
    <row r="306" customFormat="false" ht="15" hidden="false" customHeight="false" outlineLevel="0" collapsed="false">
      <c r="A306" s="16" t="s">
        <v>422</v>
      </c>
      <c r="B306" s="16" t="s">
        <v>3241</v>
      </c>
      <c r="C306" s="16" t="s">
        <v>46</v>
      </c>
      <c r="D306" s="16" t="s">
        <v>2843</v>
      </c>
      <c r="E306" s="16" t="s">
        <v>2611</v>
      </c>
      <c r="F306" s="16" t="s">
        <v>2612</v>
      </c>
      <c r="G306" s="16" t="s">
        <v>729</v>
      </c>
      <c r="H306" s="16" t="s">
        <v>3242</v>
      </c>
      <c r="I306" s="7" t="n">
        <f aca="false">IF(COUNTIF($H$5:$H$336,H306)&gt;1,1,0)</f>
        <v>0</v>
      </c>
      <c r="J306" s="17" t="str">
        <f aca="false">INDEX($A$5:$A$336,MATCH(H306,$H$5:$H$336,0))</f>
        <v>A0302</v>
      </c>
      <c r="K306" s="17" t="str">
        <f aca="false">IF(C306&lt;&gt;"",C306,IF(INDEX($C$5:$C$336,MATCH(J306,$A$5:$A$336,0))&lt;&gt;"",INDEX($C$5:$C$336,MATCH(J306,$A$5:$A$336,0)),"Unassigned"))</f>
        <v>Real Estate &amp; Infrastructure</v>
      </c>
      <c r="L306" s="7" t="n">
        <f aca="false">IF(C306="",1,0)</f>
        <v>0</v>
      </c>
    </row>
    <row r="307" customFormat="false" ht="15" hidden="false" customHeight="false" outlineLevel="0" collapsed="false">
      <c r="A307" s="16" t="s">
        <v>382</v>
      </c>
      <c r="B307" s="16" t="s">
        <v>3243</v>
      </c>
      <c r="C307" s="16" t="s">
        <v>41</v>
      </c>
      <c r="D307" s="16" t="s">
        <v>2843</v>
      </c>
      <c r="E307" s="16" t="s">
        <v>2615</v>
      </c>
      <c r="F307" s="16" t="s">
        <v>2612</v>
      </c>
      <c r="G307" s="16" t="s">
        <v>591</v>
      </c>
      <c r="H307" s="16" t="s">
        <v>3244</v>
      </c>
      <c r="I307" s="7" t="n">
        <f aca="false">IF(COUNTIF($H$5:$H$336,H307)&gt;1,1,0)</f>
        <v>0</v>
      </c>
      <c r="J307" s="17" t="str">
        <f aca="false">INDEX($A$5:$A$336,MATCH(H307,$H$5:$H$336,0))</f>
        <v>A0303</v>
      </c>
      <c r="K307" s="17" t="str">
        <f aca="false">IF(C307&lt;&gt;"",C307,IF(INDEX($C$5:$C$336,MATCH(J307,$A$5:$A$336,0))&lt;&gt;"",INDEX($C$5:$C$336,MATCH(J307,$A$5:$A$336,0)),"Unassigned"))</f>
        <v>Consumer &amp; Retail</v>
      </c>
      <c r="L307" s="7" t="n">
        <f aca="false">IF(C307="",1,0)</f>
        <v>0</v>
      </c>
    </row>
    <row r="308" customFormat="false" ht="15" hidden="false" customHeight="false" outlineLevel="0" collapsed="false">
      <c r="A308" s="16" t="s">
        <v>484</v>
      </c>
      <c r="B308" s="16" t="s">
        <v>3245</v>
      </c>
      <c r="C308" s="16" t="s">
        <v>42</v>
      </c>
      <c r="D308" s="16" t="s">
        <v>2843</v>
      </c>
      <c r="E308" s="16" t="s">
        <v>2622</v>
      </c>
      <c r="F308" s="16" t="s">
        <v>2659</v>
      </c>
      <c r="G308" s="16" t="s">
        <v>831</v>
      </c>
      <c r="H308" s="16" t="s">
        <v>3246</v>
      </c>
      <c r="I308" s="7" t="n">
        <f aca="false">IF(COUNTIF($H$5:$H$336,H308)&gt;1,1,0)</f>
        <v>0</v>
      </c>
      <c r="J308" s="17" t="str">
        <f aca="false">INDEX($A$5:$A$336,MATCH(H308,$H$5:$H$336,0))</f>
        <v>A0304</v>
      </c>
      <c r="K308" s="17" t="str">
        <f aca="false">IF(C308&lt;&gt;"",C308,IF(INDEX($C$5:$C$336,MATCH(J308,$A$5:$A$336,0))&lt;&gt;"",INDEX($C$5:$C$336,MATCH(J308,$A$5:$A$336,0)),"Unassigned"))</f>
        <v>Energy &amp; Resources</v>
      </c>
      <c r="L308" s="7" t="n">
        <f aca="false">IF(C308="",1,0)</f>
        <v>0</v>
      </c>
    </row>
    <row r="309" customFormat="false" ht="15" hidden="false" customHeight="false" outlineLevel="0" collapsed="false">
      <c r="A309" s="16" t="s">
        <v>1419</v>
      </c>
      <c r="B309" s="16" t="s">
        <v>3247</v>
      </c>
      <c r="C309" s="16" t="s">
        <v>47</v>
      </c>
      <c r="D309" s="16" t="s">
        <v>2843</v>
      </c>
      <c r="E309" s="16" t="s">
        <v>2615</v>
      </c>
      <c r="F309" s="16" t="s">
        <v>2612</v>
      </c>
      <c r="G309" s="16" t="s">
        <v>583</v>
      </c>
      <c r="H309" s="16" t="s">
        <v>3248</v>
      </c>
      <c r="I309" s="7" t="n">
        <f aca="false">IF(COUNTIF($H$5:$H$336,H309)&gt;1,1,0)</f>
        <v>0</v>
      </c>
      <c r="J309" s="17" t="str">
        <f aca="false">INDEX($A$5:$A$336,MATCH(H309,$H$5:$H$336,0))</f>
        <v>A0305</v>
      </c>
      <c r="K309" s="17" t="str">
        <f aca="false">IF(C309&lt;&gt;"",C309,IF(INDEX($C$5:$C$336,MATCH(J309,$A$5:$A$336,0))&lt;&gt;"",INDEX($C$5:$C$336,MATCH(J309,$A$5:$A$336,0)),"Unassigned"))</f>
        <v>Technology, Media &amp; Telecom</v>
      </c>
      <c r="L309" s="7" t="n">
        <f aca="false">IF(C309="",1,0)</f>
        <v>0</v>
      </c>
    </row>
    <row r="310" customFormat="false" ht="15" hidden="false" customHeight="false" outlineLevel="0" collapsed="false">
      <c r="A310" s="16" t="s">
        <v>399</v>
      </c>
      <c r="B310" s="16" t="s">
        <v>3249</v>
      </c>
      <c r="C310" s="16" t="s">
        <v>47</v>
      </c>
      <c r="D310" s="16" t="s">
        <v>2843</v>
      </c>
      <c r="E310" s="16" t="s">
        <v>2615</v>
      </c>
      <c r="F310" s="16" t="s">
        <v>2612</v>
      </c>
      <c r="G310" s="16" t="s">
        <v>651</v>
      </c>
      <c r="H310" s="16" t="s">
        <v>3250</v>
      </c>
      <c r="I310" s="7" t="n">
        <f aca="false">IF(COUNTIF($H$5:$H$336,H310)&gt;1,1,0)</f>
        <v>0</v>
      </c>
      <c r="J310" s="17" t="str">
        <f aca="false">INDEX($A$5:$A$336,MATCH(H310,$H$5:$H$336,0))</f>
        <v>A0306</v>
      </c>
      <c r="K310" s="17" t="str">
        <f aca="false">IF(C310&lt;&gt;"",C310,IF(INDEX($C$5:$C$336,MATCH(J310,$A$5:$A$336,0))&lt;&gt;"",INDEX($C$5:$C$336,MATCH(J310,$A$5:$A$336,0)),"Unassigned"))</f>
        <v>Technology, Media &amp; Telecom</v>
      </c>
      <c r="L310" s="7" t="n">
        <f aca="false">IF(C310="",1,0)</f>
        <v>0</v>
      </c>
    </row>
    <row r="311" customFormat="false" ht="15" hidden="false" customHeight="false" outlineLevel="0" collapsed="false">
      <c r="A311" s="16" t="s">
        <v>157</v>
      </c>
      <c r="B311" s="16" t="s">
        <v>3251</v>
      </c>
      <c r="C311" s="16" t="s">
        <v>42</v>
      </c>
      <c r="D311" s="16" t="s">
        <v>2843</v>
      </c>
      <c r="E311" s="16" t="s">
        <v>2622</v>
      </c>
      <c r="F311" s="16" t="s">
        <v>2659</v>
      </c>
      <c r="G311" s="16" t="s">
        <v>691</v>
      </c>
      <c r="H311" s="16" t="s">
        <v>3252</v>
      </c>
      <c r="I311" s="7" t="n">
        <f aca="false">IF(COUNTIF($H$5:$H$336,H311)&gt;1,1,0)</f>
        <v>0</v>
      </c>
      <c r="J311" s="17" t="str">
        <f aca="false">INDEX($A$5:$A$336,MATCH(H311,$H$5:$H$336,0))</f>
        <v>A0307</v>
      </c>
      <c r="K311" s="17" t="str">
        <f aca="false">IF(C311&lt;&gt;"",C311,IF(INDEX($C$5:$C$336,MATCH(J311,$A$5:$A$336,0))&lt;&gt;"",INDEX($C$5:$C$336,MATCH(J311,$A$5:$A$336,0)),"Unassigned"))</f>
        <v>Energy &amp; Resources</v>
      </c>
      <c r="L311" s="7" t="n">
        <f aca="false">IF(C311="",1,0)</f>
        <v>0</v>
      </c>
    </row>
    <row r="312" customFormat="false" ht="15" hidden="false" customHeight="false" outlineLevel="0" collapsed="false">
      <c r="A312" s="16" t="s">
        <v>1755</v>
      </c>
      <c r="B312" s="16" t="s">
        <v>3253</v>
      </c>
      <c r="C312" s="16" t="s">
        <v>46</v>
      </c>
      <c r="D312" s="16" t="s">
        <v>2843</v>
      </c>
      <c r="E312" s="16" t="s">
        <v>2615</v>
      </c>
      <c r="F312" s="16" t="s">
        <v>2612</v>
      </c>
      <c r="G312" s="16" t="s">
        <v>677</v>
      </c>
      <c r="H312" s="16" t="s">
        <v>3254</v>
      </c>
      <c r="I312" s="7" t="n">
        <f aca="false">IF(COUNTIF($H$5:$H$336,H312)&gt;1,1,0)</f>
        <v>0</v>
      </c>
      <c r="J312" s="17" t="str">
        <f aca="false">INDEX($A$5:$A$336,MATCH(H312,$H$5:$H$336,0))</f>
        <v>A0308</v>
      </c>
      <c r="K312" s="17" t="str">
        <f aca="false">IF(C312&lt;&gt;"",C312,IF(INDEX($C$5:$C$336,MATCH(J312,$A$5:$A$336,0))&lt;&gt;"",INDEX($C$5:$C$336,MATCH(J312,$A$5:$A$336,0)),"Unassigned"))</f>
        <v>Real Estate &amp; Infrastructure</v>
      </c>
      <c r="L312" s="7" t="n">
        <f aca="false">IF(C312="",1,0)</f>
        <v>0</v>
      </c>
    </row>
    <row r="313" customFormat="false" ht="15" hidden="false" customHeight="false" outlineLevel="0" collapsed="false">
      <c r="A313" s="16" t="s">
        <v>392</v>
      </c>
      <c r="B313" s="16" t="s">
        <v>3255</v>
      </c>
      <c r="C313" s="16" t="s">
        <v>42</v>
      </c>
      <c r="D313" s="16" t="s">
        <v>2843</v>
      </c>
      <c r="E313" s="16" t="s">
        <v>2658</v>
      </c>
      <c r="F313" s="16" t="s">
        <v>2612</v>
      </c>
      <c r="G313" s="16" t="s">
        <v>596</v>
      </c>
      <c r="H313" s="16" t="s">
        <v>3256</v>
      </c>
      <c r="I313" s="7" t="n">
        <f aca="false">IF(COUNTIF($H$5:$H$336,H313)&gt;1,1,0)</f>
        <v>1</v>
      </c>
      <c r="J313" s="17" t="str">
        <f aca="false">INDEX($A$5:$A$336,MATCH(H313,$H$5:$H$336,0))</f>
        <v>A0309</v>
      </c>
      <c r="K313" s="17" t="str">
        <f aca="false">IF(C313&lt;&gt;"",C313,IF(INDEX($C$5:$C$336,MATCH(J313,$A$5:$A$336,0))&lt;&gt;"",INDEX($C$5:$C$336,MATCH(J313,$A$5:$A$336,0)),"Unassigned"))</f>
        <v>Energy &amp; Resources</v>
      </c>
      <c r="L313" s="7" t="n">
        <f aca="false">IF(C313="",1,0)</f>
        <v>0</v>
      </c>
    </row>
    <row r="314" customFormat="false" ht="15" hidden="false" customHeight="false" outlineLevel="0" collapsed="false">
      <c r="A314" s="16" t="s">
        <v>1121</v>
      </c>
      <c r="B314" s="16" t="s">
        <v>3257</v>
      </c>
      <c r="C314" s="16" t="s">
        <v>41</v>
      </c>
      <c r="D314" s="16" t="s">
        <v>2843</v>
      </c>
      <c r="E314" s="16" t="s">
        <v>2658</v>
      </c>
      <c r="F314" s="16" t="s">
        <v>2612</v>
      </c>
      <c r="G314" s="16" t="s">
        <v>765</v>
      </c>
      <c r="H314" s="16" t="s">
        <v>3258</v>
      </c>
      <c r="I314" s="7" t="n">
        <f aca="false">IF(COUNTIF($H$5:$H$336,H314)&gt;1,1,0)</f>
        <v>0</v>
      </c>
      <c r="J314" s="17" t="str">
        <f aca="false">INDEX($A$5:$A$336,MATCH(H314,$H$5:$H$336,0))</f>
        <v>A0310</v>
      </c>
      <c r="K314" s="17" t="str">
        <f aca="false">IF(C314&lt;&gt;"",C314,IF(INDEX($C$5:$C$336,MATCH(J314,$A$5:$A$336,0))&lt;&gt;"",INDEX($C$5:$C$336,MATCH(J314,$A$5:$A$336,0)),"Unassigned"))</f>
        <v>Consumer &amp; Retail</v>
      </c>
      <c r="L314" s="7" t="n">
        <f aca="false">IF(C314="",1,0)</f>
        <v>0</v>
      </c>
    </row>
    <row r="315" customFormat="false" ht="15" hidden="false" customHeight="false" outlineLevel="0" collapsed="false">
      <c r="A315" s="16" t="s">
        <v>1309</v>
      </c>
      <c r="B315" s="16" t="s">
        <v>3259</v>
      </c>
      <c r="C315" s="16" t="s">
        <v>43</v>
      </c>
      <c r="D315" s="16" t="s">
        <v>2843</v>
      </c>
      <c r="E315" s="16" t="s">
        <v>2619</v>
      </c>
      <c r="F315" s="16" t="s">
        <v>2659</v>
      </c>
      <c r="G315" s="16" t="s">
        <v>691</v>
      </c>
      <c r="H315" s="16" t="s">
        <v>3260</v>
      </c>
      <c r="I315" s="7" t="n">
        <f aca="false">IF(COUNTIF($H$5:$H$336,H315)&gt;1,1,0)</f>
        <v>0</v>
      </c>
      <c r="J315" s="17" t="str">
        <f aca="false">INDEX($A$5:$A$336,MATCH(H315,$H$5:$H$336,0))</f>
        <v>A0311</v>
      </c>
      <c r="K315" s="17" t="str">
        <f aca="false">IF(C315&lt;&gt;"",C315,IF(INDEX($C$5:$C$336,MATCH(J315,$A$5:$A$336,0))&lt;&gt;"",INDEX($C$5:$C$336,MATCH(J315,$A$5:$A$336,0)),"Unassigned"))</f>
        <v>Financial Services</v>
      </c>
      <c r="L315" s="7" t="n">
        <f aca="false">IF(C315="",1,0)</f>
        <v>0</v>
      </c>
    </row>
    <row r="316" customFormat="false" ht="15" hidden="false" customHeight="false" outlineLevel="0" collapsed="false">
      <c r="A316" s="16" t="s">
        <v>298</v>
      </c>
      <c r="B316" s="16" t="s">
        <v>3261</v>
      </c>
      <c r="C316" s="16" t="s">
        <v>40</v>
      </c>
      <c r="D316" s="16" t="s">
        <v>2843</v>
      </c>
      <c r="E316" s="16" t="s">
        <v>2615</v>
      </c>
      <c r="F316" s="16" t="s">
        <v>2612</v>
      </c>
      <c r="G316" s="16" t="s">
        <v>685</v>
      </c>
      <c r="H316" s="16" t="s">
        <v>3262</v>
      </c>
      <c r="I316" s="7" t="n">
        <f aca="false">IF(COUNTIF($H$5:$H$336,H316)&gt;1,1,0)</f>
        <v>0</v>
      </c>
      <c r="J316" s="17" t="str">
        <f aca="false">INDEX($A$5:$A$336,MATCH(H316,$H$5:$H$336,0))</f>
        <v>A0312</v>
      </c>
      <c r="K316" s="17" t="str">
        <f aca="false">IF(C316&lt;&gt;"",C316,IF(INDEX($C$5:$C$336,MATCH(J316,$A$5:$A$336,0))&lt;&gt;"",INDEX($C$5:$C$336,MATCH(J316,$A$5:$A$336,0)),"Unassigned"))</f>
        <v>Agribusiness</v>
      </c>
      <c r="L316" s="7" t="n">
        <f aca="false">IF(C316="",1,0)</f>
        <v>0</v>
      </c>
    </row>
    <row r="317" customFormat="false" ht="15" hidden="false" customHeight="false" outlineLevel="0" collapsed="false">
      <c r="A317" s="16" t="s">
        <v>3263</v>
      </c>
      <c r="B317" s="16" t="s">
        <v>3264</v>
      </c>
      <c r="C317" s="16" t="s">
        <v>46</v>
      </c>
      <c r="D317" s="16" t="s">
        <v>2843</v>
      </c>
      <c r="E317" s="16" t="s">
        <v>2658</v>
      </c>
      <c r="F317" s="16" t="s">
        <v>2612</v>
      </c>
      <c r="G317" s="16" t="s">
        <v>831</v>
      </c>
      <c r="H317" s="16" t="s">
        <v>3265</v>
      </c>
      <c r="I317" s="7" t="n">
        <f aca="false">IF(COUNTIF($H$5:$H$336,H317)&gt;1,1,0)</f>
        <v>0</v>
      </c>
      <c r="J317" s="17" t="str">
        <f aca="false">INDEX($A$5:$A$336,MATCH(H317,$H$5:$H$336,0))</f>
        <v>A0313</v>
      </c>
      <c r="K317" s="17" t="str">
        <f aca="false">IF(C317&lt;&gt;"",C317,IF(INDEX($C$5:$C$336,MATCH(J317,$A$5:$A$336,0))&lt;&gt;"",INDEX($C$5:$C$336,MATCH(J317,$A$5:$A$336,0)),"Unassigned"))</f>
        <v>Real Estate &amp; Infrastructure</v>
      </c>
      <c r="L317" s="7" t="n">
        <f aca="false">IF(C317="",1,0)</f>
        <v>0</v>
      </c>
    </row>
    <row r="318" customFormat="false" ht="15" hidden="false" customHeight="false" outlineLevel="0" collapsed="false">
      <c r="A318" s="16" t="s">
        <v>1571</v>
      </c>
      <c r="B318" s="16" t="s">
        <v>3266</v>
      </c>
      <c r="C318" s="16" t="s">
        <v>45</v>
      </c>
      <c r="D318" s="16" t="s">
        <v>2843</v>
      </c>
      <c r="E318" s="16" t="s">
        <v>2615</v>
      </c>
      <c r="F318" s="16" t="s">
        <v>2612</v>
      </c>
      <c r="G318" s="16" t="s">
        <v>622</v>
      </c>
      <c r="H318" s="16" t="s">
        <v>3267</v>
      </c>
      <c r="I318" s="7" t="n">
        <f aca="false">IF(COUNTIF($H$5:$H$336,H318)&gt;1,1,0)</f>
        <v>0</v>
      </c>
      <c r="J318" s="17" t="str">
        <f aca="false">INDEX($A$5:$A$336,MATCH(H318,$H$5:$H$336,0))</f>
        <v>A0314</v>
      </c>
      <c r="K318" s="17" t="str">
        <f aca="false">IF(C318&lt;&gt;"",C318,IF(INDEX($C$5:$C$336,MATCH(J318,$A$5:$A$336,0))&lt;&gt;"",INDEX($C$5:$C$336,MATCH(J318,$A$5:$A$336,0)),"Unassigned"))</f>
        <v>Public Sector &amp; Development</v>
      </c>
      <c r="L318" s="7" t="n">
        <f aca="false">IF(C318="",1,0)</f>
        <v>0</v>
      </c>
    </row>
    <row r="319" customFormat="false" ht="15" hidden="false" customHeight="false" outlineLevel="0" collapsed="false">
      <c r="A319" s="16" t="s">
        <v>3268</v>
      </c>
      <c r="B319" s="16" t="s">
        <v>3269</v>
      </c>
      <c r="C319" s="16" t="s">
        <v>41</v>
      </c>
      <c r="D319" s="16" t="s">
        <v>2843</v>
      </c>
      <c r="E319" s="16" t="s">
        <v>2611</v>
      </c>
      <c r="F319" s="16" t="s">
        <v>2616</v>
      </c>
      <c r="G319" s="16" t="s">
        <v>677</v>
      </c>
      <c r="H319" s="16" t="s">
        <v>3270</v>
      </c>
      <c r="I319" s="7" t="n">
        <f aca="false">IF(COUNTIF($H$5:$H$336,H319)&gt;1,1,0)</f>
        <v>1</v>
      </c>
      <c r="J319" s="17" t="str">
        <f aca="false">INDEX($A$5:$A$336,MATCH(H319,$H$5:$H$336,0))</f>
        <v>A0315</v>
      </c>
      <c r="K319" s="17" t="str">
        <f aca="false">IF(C319&lt;&gt;"",C319,IF(INDEX($C$5:$C$336,MATCH(J319,$A$5:$A$336,0))&lt;&gt;"",INDEX($C$5:$C$336,MATCH(J319,$A$5:$A$336,0)),"Unassigned"))</f>
        <v>Consumer &amp; Retail</v>
      </c>
      <c r="L319" s="7" t="n">
        <f aca="false">IF(C319="",1,0)</f>
        <v>0</v>
      </c>
    </row>
    <row r="320" customFormat="false" ht="15" hidden="false" customHeight="false" outlineLevel="0" collapsed="false">
      <c r="A320" s="16" t="s">
        <v>1144</v>
      </c>
      <c r="B320" s="16" t="s">
        <v>3271</v>
      </c>
      <c r="C320" s="16" t="s">
        <v>43</v>
      </c>
      <c r="D320" s="16" t="s">
        <v>2843</v>
      </c>
      <c r="E320" s="16" t="s">
        <v>2611</v>
      </c>
      <c r="F320" s="16" t="s">
        <v>2612</v>
      </c>
      <c r="G320" s="16" t="s">
        <v>729</v>
      </c>
      <c r="H320" s="16" t="s">
        <v>3272</v>
      </c>
      <c r="I320" s="7" t="n">
        <f aca="false">IF(COUNTIF($H$5:$H$336,H320)&gt;1,1,0)</f>
        <v>0</v>
      </c>
      <c r="J320" s="17" t="str">
        <f aca="false">INDEX($A$5:$A$336,MATCH(H320,$H$5:$H$336,0))</f>
        <v>A0316</v>
      </c>
      <c r="K320" s="17" t="str">
        <f aca="false">IF(C320&lt;&gt;"",C320,IF(INDEX($C$5:$C$336,MATCH(J320,$A$5:$A$336,0))&lt;&gt;"",INDEX($C$5:$C$336,MATCH(J320,$A$5:$A$336,0)),"Unassigned"))</f>
        <v>Financial Services</v>
      </c>
      <c r="L320" s="7" t="n">
        <f aca="false">IF(C320="",1,0)</f>
        <v>0</v>
      </c>
    </row>
    <row r="321" customFormat="false" ht="15" hidden="false" customHeight="false" outlineLevel="0" collapsed="false">
      <c r="A321" s="16" t="s">
        <v>3273</v>
      </c>
      <c r="B321" s="16" t="s">
        <v>3274</v>
      </c>
      <c r="C321" s="16" t="s">
        <v>43</v>
      </c>
      <c r="D321" s="16" t="s">
        <v>2843</v>
      </c>
      <c r="E321" s="16" t="s">
        <v>2658</v>
      </c>
      <c r="F321" s="16" t="s">
        <v>2612</v>
      </c>
      <c r="G321" s="16" t="s">
        <v>654</v>
      </c>
      <c r="H321" s="16" t="s">
        <v>3275</v>
      </c>
      <c r="I321" s="7" t="n">
        <f aca="false">IF(COUNTIF($H$5:$H$336,H321)&gt;1,1,0)</f>
        <v>0</v>
      </c>
      <c r="J321" s="17" t="str">
        <f aca="false">INDEX($A$5:$A$336,MATCH(H321,$H$5:$H$336,0))</f>
        <v>A0317</v>
      </c>
      <c r="K321" s="17" t="str">
        <f aca="false">IF(C321&lt;&gt;"",C321,IF(INDEX($C$5:$C$336,MATCH(J321,$A$5:$A$336,0))&lt;&gt;"",INDEX($C$5:$C$336,MATCH(J321,$A$5:$A$336,0)),"Unassigned"))</f>
        <v>Financial Services</v>
      </c>
      <c r="L321" s="7" t="n">
        <f aca="false">IF(C321="",1,0)</f>
        <v>0</v>
      </c>
    </row>
    <row r="322" customFormat="false" ht="15" hidden="false" customHeight="false" outlineLevel="0" collapsed="false">
      <c r="A322" s="16" t="s">
        <v>369</v>
      </c>
      <c r="B322" s="16" t="s">
        <v>3276</v>
      </c>
      <c r="C322" s="16" t="s">
        <v>44</v>
      </c>
      <c r="D322" s="16" t="s">
        <v>2843</v>
      </c>
      <c r="E322" s="16" t="s">
        <v>2615</v>
      </c>
      <c r="F322" s="16" t="s">
        <v>2612</v>
      </c>
      <c r="G322" s="16" t="s">
        <v>588</v>
      </c>
      <c r="H322" s="16" t="s">
        <v>3277</v>
      </c>
      <c r="I322" s="7" t="n">
        <f aca="false">IF(COUNTIF($H$5:$H$336,H322)&gt;1,1,0)</f>
        <v>1</v>
      </c>
      <c r="J322" s="17" t="str">
        <f aca="false">INDEX($A$5:$A$336,MATCH(H322,$H$5:$H$336,0))</f>
        <v>A0318</v>
      </c>
      <c r="K322" s="17" t="str">
        <f aca="false">IF(C322&lt;&gt;"",C322,IF(INDEX($C$5:$C$336,MATCH(J322,$A$5:$A$336,0))&lt;&gt;"",INDEX($C$5:$C$336,MATCH(J322,$A$5:$A$336,0)),"Unassigned"))</f>
        <v>Health</v>
      </c>
      <c r="L322" s="7" t="n">
        <f aca="false">IF(C322="",1,0)</f>
        <v>0</v>
      </c>
    </row>
    <row r="323" customFormat="false" ht="15" hidden="false" customHeight="false" outlineLevel="0" collapsed="false">
      <c r="A323" s="16" t="s">
        <v>418</v>
      </c>
      <c r="B323" s="16" t="s">
        <v>3278</v>
      </c>
      <c r="C323" s="16" t="s">
        <v>45</v>
      </c>
      <c r="D323" s="16" t="s">
        <v>2843</v>
      </c>
      <c r="E323" s="16" t="s">
        <v>2619</v>
      </c>
      <c r="F323" s="16" t="s">
        <v>2612</v>
      </c>
      <c r="G323" s="16" t="s">
        <v>591</v>
      </c>
      <c r="H323" s="16" t="s">
        <v>3279</v>
      </c>
      <c r="I323" s="7" t="n">
        <f aca="false">IF(COUNTIF($H$5:$H$336,H323)&gt;1,1,0)</f>
        <v>1</v>
      </c>
      <c r="J323" s="17" t="str">
        <f aca="false">INDEX($A$5:$A$336,MATCH(H323,$H$5:$H$336,0))</f>
        <v>A0319</v>
      </c>
      <c r="K323" s="17" t="str">
        <f aca="false">IF(C323&lt;&gt;"",C323,IF(INDEX($C$5:$C$336,MATCH(J323,$A$5:$A$336,0))&lt;&gt;"",INDEX($C$5:$C$336,MATCH(J323,$A$5:$A$336,0)),"Unassigned"))</f>
        <v>Public Sector &amp; Development</v>
      </c>
      <c r="L323" s="7" t="n">
        <f aca="false">IF(C323="",1,0)</f>
        <v>0</v>
      </c>
    </row>
    <row r="324" customFormat="false" ht="15" hidden="false" customHeight="false" outlineLevel="0" collapsed="false">
      <c r="A324" s="16" t="s">
        <v>373</v>
      </c>
      <c r="B324" s="16" t="s">
        <v>3280</v>
      </c>
      <c r="C324" s="16" t="s">
        <v>40</v>
      </c>
      <c r="D324" s="16" t="s">
        <v>2843</v>
      </c>
      <c r="E324" s="16" t="s">
        <v>2615</v>
      </c>
      <c r="F324" s="16" t="s">
        <v>2616</v>
      </c>
      <c r="G324" s="16" t="s">
        <v>596</v>
      </c>
      <c r="H324" s="16" t="s">
        <v>3281</v>
      </c>
      <c r="I324" s="7" t="n">
        <f aca="false">IF(COUNTIF($H$5:$H$336,H324)&gt;1,1,0)</f>
        <v>0</v>
      </c>
      <c r="J324" s="17" t="str">
        <f aca="false">INDEX($A$5:$A$336,MATCH(H324,$H$5:$H$336,0))</f>
        <v>A0320</v>
      </c>
      <c r="K324" s="17" t="str">
        <f aca="false">IF(C324&lt;&gt;"",C324,IF(INDEX($C$5:$C$336,MATCH(J324,$A$5:$A$336,0))&lt;&gt;"",INDEX($C$5:$C$336,MATCH(J324,$A$5:$A$336,0)),"Unassigned"))</f>
        <v>Agribusiness</v>
      </c>
      <c r="L324" s="7" t="n">
        <f aca="false">IF(C324="",1,0)</f>
        <v>0</v>
      </c>
    </row>
    <row r="325" customFormat="false" ht="15" hidden="false" customHeight="false" outlineLevel="0" collapsed="false">
      <c r="A325" s="16" t="s">
        <v>844</v>
      </c>
      <c r="B325" s="16" t="s">
        <v>3282</v>
      </c>
      <c r="C325" s="16"/>
      <c r="D325" s="16" t="s">
        <v>2843</v>
      </c>
      <c r="E325" s="16" t="s">
        <v>2615</v>
      </c>
      <c r="F325" s="16" t="s">
        <v>2612</v>
      </c>
      <c r="G325" s="16" t="s">
        <v>640</v>
      </c>
      <c r="H325" s="16" t="s">
        <v>2791</v>
      </c>
      <c r="I325" s="7" t="n">
        <f aca="false">IF(COUNTIF($H$5:$H$336,H325)&gt;1,1,0)</f>
        <v>1</v>
      </c>
      <c r="J325" s="17" t="str">
        <f aca="false">INDEX($A$5:$A$336,MATCH(H325,$H$5:$H$336,0))</f>
        <v>A0085</v>
      </c>
      <c r="K325" s="17" t="str">
        <f aca="false">IF(C325&lt;&gt;"",C325,IF(INDEX($C$5:$C$336,MATCH(J325,$A$5:$A$336,0))&lt;&gt;"",INDEX($C$5:$C$336,MATCH(J325,$A$5:$A$336,0)),"Unassigned"))</f>
        <v>Unassigned</v>
      </c>
      <c r="L325" s="7" t="n">
        <f aca="false">IF(C325="",1,0)</f>
        <v>1</v>
      </c>
    </row>
    <row r="326" customFormat="false" ht="15" hidden="false" customHeight="false" outlineLevel="0" collapsed="false">
      <c r="A326" s="16" t="s">
        <v>2125</v>
      </c>
      <c r="B326" s="16" t="s">
        <v>3283</v>
      </c>
      <c r="C326" s="16" t="s">
        <v>45</v>
      </c>
      <c r="D326" s="16" t="s">
        <v>2843</v>
      </c>
      <c r="E326" s="16" t="s">
        <v>2619</v>
      </c>
      <c r="F326" s="16" t="s">
        <v>2612</v>
      </c>
      <c r="G326" s="16" t="s">
        <v>591</v>
      </c>
      <c r="H326" s="16" t="s">
        <v>3279</v>
      </c>
      <c r="I326" s="7" t="n">
        <f aca="false">IF(COUNTIF($H$5:$H$336,H326)&gt;1,1,0)</f>
        <v>1</v>
      </c>
      <c r="J326" s="17" t="str">
        <f aca="false">INDEX($A$5:$A$336,MATCH(H326,$H$5:$H$336,0))</f>
        <v>A0319</v>
      </c>
      <c r="K326" s="17" t="str">
        <f aca="false">IF(C326&lt;&gt;"",C326,IF(INDEX($C$5:$C$336,MATCH(J326,$A$5:$A$336,0))&lt;&gt;"",INDEX($C$5:$C$336,MATCH(J326,$A$5:$A$336,0)),"Unassigned"))</f>
        <v>Public Sector &amp; Development</v>
      </c>
      <c r="L326" s="7" t="n">
        <f aca="false">IF(C326="",1,0)</f>
        <v>0</v>
      </c>
    </row>
    <row r="327" customFormat="false" ht="15" hidden="false" customHeight="false" outlineLevel="0" collapsed="false">
      <c r="A327" s="16" t="s">
        <v>1089</v>
      </c>
      <c r="B327" s="16" t="s">
        <v>3284</v>
      </c>
      <c r="C327" s="16" t="s">
        <v>43</v>
      </c>
      <c r="D327" s="16" t="s">
        <v>2843</v>
      </c>
      <c r="E327" s="16" t="s">
        <v>2622</v>
      </c>
      <c r="F327" s="16" t="s">
        <v>2612</v>
      </c>
      <c r="G327" s="16" t="s">
        <v>651</v>
      </c>
      <c r="H327" s="16" t="s">
        <v>3236</v>
      </c>
      <c r="I327" s="7" t="n">
        <f aca="false">IF(COUNTIF($H$5:$H$336,H327)&gt;1,1,0)</f>
        <v>1</v>
      </c>
      <c r="J327" s="17" t="str">
        <f aca="false">INDEX($A$5:$A$336,MATCH(H327,$H$5:$H$336,0))</f>
        <v>A0299</v>
      </c>
      <c r="K327" s="17" t="str">
        <f aca="false">IF(C327&lt;&gt;"",C327,IF(INDEX($C$5:$C$336,MATCH(J327,$A$5:$A$336,0))&lt;&gt;"",INDEX($C$5:$C$336,MATCH(J327,$A$5:$A$336,0)),"Unassigned"))</f>
        <v>Financial Services</v>
      </c>
      <c r="L327" s="7" t="n">
        <f aca="false">IF(C327="",1,0)</f>
        <v>0</v>
      </c>
    </row>
    <row r="328" customFormat="false" ht="15" hidden="false" customHeight="false" outlineLevel="0" collapsed="false">
      <c r="A328" s="16" t="s">
        <v>2155</v>
      </c>
      <c r="B328" s="16" t="s">
        <v>3285</v>
      </c>
      <c r="C328" s="16" t="s">
        <v>42</v>
      </c>
      <c r="D328" s="16" t="s">
        <v>2843</v>
      </c>
      <c r="E328" s="16" t="s">
        <v>2611</v>
      </c>
      <c r="F328" s="16" t="s">
        <v>2612</v>
      </c>
      <c r="G328" s="16" t="s">
        <v>831</v>
      </c>
      <c r="H328" s="16" t="s">
        <v>3213</v>
      </c>
      <c r="I328" s="7" t="n">
        <f aca="false">IF(COUNTIF($H$5:$H$336,H328)&gt;1,1,0)</f>
        <v>1</v>
      </c>
      <c r="J328" s="17" t="str">
        <f aca="false">INDEX($A$5:$A$336,MATCH(H328,$H$5:$H$336,0))</f>
        <v>A0288</v>
      </c>
      <c r="K328" s="17" t="str">
        <f aca="false">IF(C328&lt;&gt;"",C328,IF(INDEX($C$5:$C$336,MATCH(J328,$A$5:$A$336,0))&lt;&gt;"",INDEX($C$5:$C$336,MATCH(J328,$A$5:$A$336,0)),"Unassigned"))</f>
        <v>Energy &amp; Resources</v>
      </c>
      <c r="L328" s="7" t="n">
        <f aca="false">IF(C328="",1,0)</f>
        <v>0</v>
      </c>
    </row>
    <row r="329" customFormat="false" ht="15" hidden="false" customHeight="false" outlineLevel="0" collapsed="false">
      <c r="A329" s="16" t="s">
        <v>1697</v>
      </c>
      <c r="B329" s="16" t="s">
        <v>3286</v>
      </c>
      <c r="C329" s="16" t="s">
        <v>47</v>
      </c>
      <c r="D329" s="16" t="s">
        <v>2843</v>
      </c>
      <c r="E329" s="16" t="s">
        <v>2615</v>
      </c>
      <c r="F329" s="16" t="s">
        <v>2612</v>
      </c>
      <c r="G329" s="16" t="s">
        <v>831</v>
      </c>
      <c r="H329" s="16" t="s">
        <v>2821</v>
      </c>
      <c r="I329" s="7" t="n">
        <f aca="false">IF(COUNTIF($H$5:$H$336,H329)&gt;1,1,0)</f>
        <v>1</v>
      </c>
      <c r="J329" s="17" t="str">
        <f aca="false">INDEX($A$5:$A$336,MATCH(H329,$H$5:$H$336,0))</f>
        <v>A0100</v>
      </c>
      <c r="K329" s="17" t="str">
        <f aca="false">IF(C329&lt;&gt;"",C329,IF(INDEX($C$5:$C$336,MATCH(J329,$A$5:$A$336,0))&lt;&gt;"",INDEX($C$5:$C$336,MATCH(J329,$A$5:$A$336,0)),"Unassigned"))</f>
        <v>Technology, Media &amp; Telecom</v>
      </c>
      <c r="L329" s="7" t="n">
        <f aca="false">IF(C329="",1,0)</f>
        <v>0</v>
      </c>
    </row>
    <row r="330" customFormat="false" ht="15" hidden="false" customHeight="false" outlineLevel="0" collapsed="false">
      <c r="A330" s="16" t="s">
        <v>706</v>
      </c>
      <c r="B330" s="16" t="s">
        <v>3287</v>
      </c>
      <c r="C330" s="16" t="s">
        <v>42</v>
      </c>
      <c r="D330" s="16" t="s">
        <v>2843</v>
      </c>
      <c r="E330" s="16" t="s">
        <v>2658</v>
      </c>
      <c r="F330" s="16" t="s">
        <v>2612</v>
      </c>
      <c r="G330" s="16" t="s">
        <v>596</v>
      </c>
      <c r="H330" s="16" t="s">
        <v>3256</v>
      </c>
      <c r="I330" s="7" t="n">
        <f aca="false">IF(COUNTIF($H$5:$H$336,H330)&gt;1,1,0)</f>
        <v>1</v>
      </c>
      <c r="J330" s="17" t="str">
        <f aca="false">INDEX($A$5:$A$336,MATCH(H330,$H$5:$H$336,0))</f>
        <v>A0309</v>
      </c>
      <c r="K330" s="17" t="str">
        <f aca="false">IF(C330&lt;&gt;"",C330,IF(INDEX($C$5:$C$336,MATCH(J330,$A$5:$A$336,0))&lt;&gt;"",INDEX($C$5:$C$336,MATCH(J330,$A$5:$A$336,0)),"Unassigned"))</f>
        <v>Energy &amp; Resources</v>
      </c>
      <c r="L330" s="7" t="n">
        <f aca="false">IF(C330="",1,0)</f>
        <v>0</v>
      </c>
    </row>
    <row r="331" customFormat="false" ht="15" hidden="false" customHeight="false" outlineLevel="0" collapsed="false">
      <c r="A331" s="16" t="s">
        <v>3288</v>
      </c>
      <c r="B331" s="16" t="s">
        <v>3289</v>
      </c>
      <c r="C331" s="16"/>
      <c r="D331" s="16" t="s">
        <v>2843</v>
      </c>
      <c r="E331" s="16" t="s">
        <v>2611</v>
      </c>
      <c r="F331" s="16" t="s">
        <v>2662</v>
      </c>
      <c r="G331" s="16" t="s">
        <v>596</v>
      </c>
      <c r="H331" s="16" t="s">
        <v>2910</v>
      </c>
      <c r="I331" s="7" t="n">
        <f aca="false">IF(COUNTIF($H$5:$H$336,H331)&gt;1,1,0)</f>
        <v>1</v>
      </c>
      <c r="J331" s="17" t="str">
        <f aca="false">INDEX($A$5:$A$336,MATCH(H331,$H$5:$H$336,0))</f>
        <v>A0142</v>
      </c>
      <c r="K331" s="17" t="str">
        <f aca="false">IF(C331&lt;&gt;"",C331,IF(INDEX($C$5:$C$336,MATCH(J331,$A$5:$A$336,0))&lt;&gt;"",INDEX($C$5:$C$336,MATCH(J331,$A$5:$A$336,0)),"Unassigned"))</f>
        <v>Unassigned</v>
      </c>
      <c r="L331" s="7" t="n">
        <f aca="false">IF(C331="",1,0)</f>
        <v>1</v>
      </c>
    </row>
    <row r="332" customFormat="false" ht="15" hidden="false" customHeight="false" outlineLevel="0" collapsed="false">
      <c r="A332" s="16" t="s">
        <v>1777</v>
      </c>
      <c r="B332" s="16" t="s">
        <v>3290</v>
      </c>
      <c r="C332" s="16" t="s">
        <v>44</v>
      </c>
      <c r="D332" s="16" t="s">
        <v>2843</v>
      </c>
      <c r="E332" s="16" t="s">
        <v>2615</v>
      </c>
      <c r="F332" s="16" t="s">
        <v>2612</v>
      </c>
      <c r="G332" s="16" t="s">
        <v>654</v>
      </c>
      <c r="H332" s="16" t="s">
        <v>2861</v>
      </c>
      <c r="I332" s="7" t="n">
        <f aca="false">IF(COUNTIF($H$5:$H$336,H332)&gt;1,1,0)</f>
        <v>1</v>
      </c>
      <c r="J332" s="17" t="str">
        <f aca="false">INDEX($A$5:$A$336,MATCH(H332,$H$5:$H$336,0))</f>
        <v>A0119</v>
      </c>
      <c r="K332" s="17" t="str">
        <f aca="false">IF(C332&lt;&gt;"",C332,IF(INDEX($C$5:$C$336,MATCH(J332,$A$5:$A$336,0))&lt;&gt;"",INDEX($C$5:$C$336,MATCH(J332,$A$5:$A$336,0)),"Unassigned"))</f>
        <v>Health</v>
      </c>
      <c r="L332" s="7" t="n">
        <f aca="false">IF(C332="",1,0)</f>
        <v>0</v>
      </c>
    </row>
    <row r="333" customFormat="false" ht="15" hidden="false" customHeight="false" outlineLevel="0" collapsed="false">
      <c r="A333" s="16" t="s">
        <v>2214</v>
      </c>
      <c r="B333" s="16" t="s">
        <v>3291</v>
      </c>
      <c r="C333" s="16" t="s">
        <v>44</v>
      </c>
      <c r="D333" s="16" t="s">
        <v>2843</v>
      </c>
      <c r="E333" s="16" t="s">
        <v>2615</v>
      </c>
      <c r="F333" s="16" t="s">
        <v>2612</v>
      </c>
      <c r="G333" s="16" t="s">
        <v>588</v>
      </c>
      <c r="H333" s="16" t="s">
        <v>3277</v>
      </c>
      <c r="I333" s="7" t="n">
        <f aca="false">IF(COUNTIF($H$5:$H$336,H333)&gt;1,1,0)</f>
        <v>1</v>
      </c>
      <c r="J333" s="17" t="str">
        <f aca="false">INDEX($A$5:$A$336,MATCH(H333,$H$5:$H$336,0))</f>
        <v>A0318</v>
      </c>
      <c r="K333" s="17" t="str">
        <f aca="false">IF(C333&lt;&gt;"",C333,IF(INDEX($C$5:$C$336,MATCH(J333,$A$5:$A$336,0))&lt;&gt;"",INDEX($C$5:$C$336,MATCH(J333,$A$5:$A$336,0)),"Unassigned"))</f>
        <v>Health</v>
      </c>
      <c r="L333" s="7" t="n">
        <f aca="false">IF(C333="",1,0)</f>
        <v>0</v>
      </c>
    </row>
    <row r="334" customFormat="false" ht="15" hidden="false" customHeight="false" outlineLevel="0" collapsed="false">
      <c r="A334" s="16" t="s">
        <v>675</v>
      </c>
      <c r="B334" s="16" t="s">
        <v>3292</v>
      </c>
      <c r="C334" s="16"/>
      <c r="D334" s="16" t="s">
        <v>2843</v>
      </c>
      <c r="E334" s="16" t="s">
        <v>2615</v>
      </c>
      <c r="F334" s="16" t="s">
        <v>2616</v>
      </c>
      <c r="G334" s="16" t="s">
        <v>640</v>
      </c>
      <c r="H334" s="16" t="s">
        <v>2681</v>
      </c>
      <c r="I334" s="7" t="n">
        <f aca="false">IF(COUNTIF($H$5:$H$336,H334)&gt;1,1,0)</f>
        <v>1</v>
      </c>
      <c r="J334" s="17" t="str">
        <f aca="false">INDEX($A$5:$A$336,MATCH(H334,$H$5:$H$336,0))</f>
        <v>A0031</v>
      </c>
      <c r="K334" s="17" t="str">
        <f aca="false">IF(C334&lt;&gt;"",C334,IF(INDEX($C$5:$C$336,MATCH(J334,$A$5:$A$336,0))&lt;&gt;"",INDEX($C$5:$C$336,MATCH(J334,$A$5:$A$336,0)),"Unassigned"))</f>
        <v>Unassigned</v>
      </c>
      <c r="L334" s="7" t="n">
        <f aca="false">IF(C334="",1,0)</f>
        <v>1</v>
      </c>
    </row>
    <row r="335" customFormat="false" ht="15" hidden="false" customHeight="false" outlineLevel="0" collapsed="false">
      <c r="A335" s="16" t="s">
        <v>2588</v>
      </c>
      <c r="B335" s="16" t="s">
        <v>3293</v>
      </c>
      <c r="C335" s="16" t="s">
        <v>41</v>
      </c>
      <c r="D335" s="16" t="s">
        <v>2843</v>
      </c>
      <c r="E335" s="16" t="s">
        <v>2611</v>
      </c>
      <c r="F335" s="16" t="s">
        <v>2616</v>
      </c>
      <c r="G335" s="16" t="s">
        <v>677</v>
      </c>
      <c r="H335" s="16" t="s">
        <v>3270</v>
      </c>
      <c r="I335" s="7" t="n">
        <f aca="false">IF(COUNTIF($H$5:$H$336,H335)&gt;1,1,0)</f>
        <v>1</v>
      </c>
      <c r="J335" s="17" t="str">
        <f aca="false">INDEX($A$5:$A$336,MATCH(H335,$H$5:$H$336,0))</f>
        <v>A0315</v>
      </c>
      <c r="K335" s="17" t="str">
        <f aca="false">IF(C335&lt;&gt;"",C335,IF(INDEX($C$5:$C$336,MATCH(J335,$A$5:$A$336,0))&lt;&gt;"",INDEX($C$5:$C$336,MATCH(J335,$A$5:$A$336,0)),"Unassigned"))</f>
        <v>Consumer &amp; Retail</v>
      </c>
      <c r="L335" s="7" t="n">
        <f aca="false">IF(C335="",1,0)</f>
        <v>0</v>
      </c>
    </row>
    <row r="336" customFormat="false" ht="15" hidden="false" customHeight="false" outlineLevel="0" collapsed="false">
      <c r="A336" s="16" t="s">
        <v>1678</v>
      </c>
      <c r="B336" s="16" t="s">
        <v>3294</v>
      </c>
      <c r="C336" s="16" t="s">
        <v>47</v>
      </c>
      <c r="D336" s="16" t="s">
        <v>2843</v>
      </c>
      <c r="E336" s="16" t="s">
        <v>2619</v>
      </c>
      <c r="F336" s="16" t="s">
        <v>2612</v>
      </c>
      <c r="G336" s="16" t="s">
        <v>646</v>
      </c>
      <c r="H336" s="16" t="s">
        <v>2754</v>
      </c>
      <c r="I336" s="7" t="n">
        <f aca="false">IF(COUNTIF($H$5:$H$336,H336)&gt;1,1,0)</f>
        <v>1</v>
      </c>
      <c r="J336" s="17" t="str">
        <f aca="false">INDEX($A$5:$A$336,MATCH(H336,$H$5:$H$336,0))</f>
        <v>A0067</v>
      </c>
      <c r="K336" s="17" t="str">
        <f aca="false">IF(C336&lt;&gt;"",C336,IF(INDEX($C$5:$C$336,MATCH(J336,$A$5:$A$336,0))&lt;&gt;"",INDEX($C$5:$C$336,MATCH(J336,$A$5:$A$336,0)),"Unassigned"))</f>
        <v>Technology, Media &amp; Telecom</v>
      </c>
      <c r="L336" s="7" t="n">
        <f aca="false">IF(C336="",1,0)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D4"/>
    <pageSetUpPr fitToPage="false"/>
  </sheetPr>
  <dimension ref="A1:E14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9"/>
  </cols>
  <sheetData>
    <row r="1" customFormat="false" ht="17.35" hidden="false" customHeight="false" outlineLevel="0" collapsed="false">
      <c r="A1" s="1" t="s">
        <v>3295</v>
      </c>
    </row>
    <row r="4" customFormat="false" ht="39.75" hidden="false" customHeight="true" outlineLevel="0" collapsed="false">
      <c r="A4" s="5" t="s">
        <v>3296</v>
      </c>
      <c r="B4" s="5" t="s">
        <v>51</v>
      </c>
      <c r="C4" s="5" t="s">
        <v>2601</v>
      </c>
      <c r="D4" s="5" t="s">
        <v>501</v>
      </c>
      <c r="E4" s="5" t="s">
        <v>135</v>
      </c>
    </row>
    <row r="5" customFormat="false" ht="15" hidden="false" customHeight="false" outlineLevel="0" collapsed="false">
      <c r="A5" s="16" t="s">
        <v>3297</v>
      </c>
      <c r="B5" s="16" t="s">
        <v>57</v>
      </c>
      <c r="C5" s="16" t="s">
        <v>3298</v>
      </c>
      <c r="D5" s="22" t="n">
        <v>45954</v>
      </c>
      <c r="E5" s="16" t="s">
        <v>691</v>
      </c>
    </row>
    <row r="6" customFormat="false" ht="15" hidden="false" customHeight="false" outlineLevel="0" collapsed="false">
      <c r="A6" s="16" t="s">
        <v>3299</v>
      </c>
      <c r="B6" s="16" t="s">
        <v>57</v>
      </c>
      <c r="C6" s="16" t="s">
        <v>3300</v>
      </c>
      <c r="D6" s="22" t="n">
        <v>46233</v>
      </c>
      <c r="E6" s="16" t="s">
        <v>691</v>
      </c>
    </row>
    <row r="7" customFormat="false" ht="15" hidden="false" customHeight="false" outlineLevel="0" collapsed="false">
      <c r="A7" s="16" t="s">
        <v>3301</v>
      </c>
      <c r="B7" s="16" t="s">
        <v>57</v>
      </c>
      <c r="C7" s="16" t="s">
        <v>3302</v>
      </c>
      <c r="D7" s="22" t="n">
        <v>46043</v>
      </c>
      <c r="E7" s="16" t="s">
        <v>691</v>
      </c>
    </row>
    <row r="8" customFormat="false" ht="15" hidden="false" customHeight="false" outlineLevel="0" collapsed="false">
      <c r="A8" s="16" t="s">
        <v>3303</v>
      </c>
      <c r="B8" s="16" t="s">
        <v>57</v>
      </c>
      <c r="C8" s="16" t="s">
        <v>3300</v>
      </c>
      <c r="D8" s="22" t="n">
        <v>46077</v>
      </c>
      <c r="E8" s="16" t="s">
        <v>691</v>
      </c>
    </row>
    <row r="9" customFormat="false" ht="15" hidden="false" customHeight="false" outlineLevel="0" collapsed="false">
      <c r="A9" s="16" t="s">
        <v>3304</v>
      </c>
      <c r="B9" s="16" t="s">
        <v>57</v>
      </c>
      <c r="C9" s="16" t="s">
        <v>3302</v>
      </c>
      <c r="D9" s="22" t="n">
        <v>45952</v>
      </c>
      <c r="E9" s="16" t="s">
        <v>691</v>
      </c>
    </row>
    <row r="10" customFormat="false" ht="15" hidden="false" customHeight="false" outlineLevel="0" collapsed="false">
      <c r="A10" s="16" t="s">
        <v>3305</v>
      </c>
      <c r="B10" s="16" t="s">
        <v>57</v>
      </c>
      <c r="C10" s="16" t="s">
        <v>3306</v>
      </c>
      <c r="D10" s="22" t="n">
        <v>46062</v>
      </c>
      <c r="E10" s="16" t="s">
        <v>691</v>
      </c>
    </row>
    <row r="11" customFormat="false" ht="15" hidden="false" customHeight="false" outlineLevel="0" collapsed="false">
      <c r="A11" s="16" t="s">
        <v>3307</v>
      </c>
      <c r="B11" s="16" t="s">
        <v>57</v>
      </c>
      <c r="C11" s="16" t="s">
        <v>3298</v>
      </c>
      <c r="D11" s="22" t="n">
        <v>46089</v>
      </c>
      <c r="E11" s="16" t="s">
        <v>691</v>
      </c>
    </row>
    <row r="12" customFormat="false" ht="15" hidden="false" customHeight="false" outlineLevel="0" collapsed="false">
      <c r="A12" s="16" t="s">
        <v>3308</v>
      </c>
      <c r="B12" s="16" t="s">
        <v>57</v>
      </c>
      <c r="C12" s="16" t="s">
        <v>3298</v>
      </c>
      <c r="D12" s="22" t="n">
        <v>46010</v>
      </c>
      <c r="E12" s="16" t="s">
        <v>691</v>
      </c>
    </row>
    <row r="13" customFormat="false" ht="15" hidden="false" customHeight="false" outlineLevel="0" collapsed="false">
      <c r="A13" s="16" t="s">
        <v>3309</v>
      </c>
      <c r="B13" s="16" t="s">
        <v>57</v>
      </c>
      <c r="C13" s="16" t="s">
        <v>3310</v>
      </c>
      <c r="D13" s="22" t="n">
        <v>46190</v>
      </c>
      <c r="E13" s="16" t="s">
        <v>691</v>
      </c>
    </row>
    <row r="14" customFormat="false" ht="15" hidden="false" customHeight="false" outlineLevel="0" collapsed="false">
      <c r="A14" s="16" t="s">
        <v>3311</v>
      </c>
      <c r="B14" s="16" t="s">
        <v>57</v>
      </c>
      <c r="C14" s="16" t="s">
        <v>3310</v>
      </c>
      <c r="D14" s="22" t="n">
        <v>46054</v>
      </c>
      <c r="E14" s="16" t="s">
        <v>691</v>
      </c>
    </row>
    <row r="15" customFormat="false" ht="15" hidden="false" customHeight="false" outlineLevel="0" collapsed="false">
      <c r="A15" s="16" t="s">
        <v>3312</v>
      </c>
      <c r="B15" s="16" t="s">
        <v>57</v>
      </c>
      <c r="C15" s="16" t="s">
        <v>3298</v>
      </c>
      <c r="D15" s="22" t="n">
        <v>46018</v>
      </c>
      <c r="E15" s="16" t="s">
        <v>691</v>
      </c>
    </row>
    <row r="16" customFormat="false" ht="15" hidden="false" customHeight="false" outlineLevel="0" collapsed="false">
      <c r="A16" s="16" t="s">
        <v>3313</v>
      </c>
      <c r="B16" s="16" t="s">
        <v>57</v>
      </c>
      <c r="C16" s="16" t="s">
        <v>3300</v>
      </c>
      <c r="D16" s="22" t="n">
        <v>45979</v>
      </c>
      <c r="E16" s="16" t="s">
        <v>691</v>
      </c>
    </row>
    <row r="17" customFormat="false" ht="15" hidden="false" customHeight="false" outlineLevel="0" collapsed="false">
      <c r="A17" s="16" t="s">
        <v>3314</v>
      </c>
      <c r="B17" s="16" t="s">
        <v>57</v>
      </c>
      <c r="C17" s="16" t="s">
        <v>3302</v>
      </c>
      <c r="D17" s="22" t="n">
        <v>46209</v>
      </c>
      <c r="E17" s="16" t="s">
        <v>691</v>
      </c>
    </row>
    <row r="18" customFormat="false" ht="15" hidden="false" customHeight="false" outlineLevel="0" collapsed="false">
      <c r="A18" s="16" t="s">
        <v>3315</v>
      </c>
      <c r="B18" s="16" t="s">
        <v>57</v>
      </c>
      <c r="C18" s="16" t="s">
        <v>3300</v>
      </c>
      <c r="D18" s="22" t="n">
        <v>46259</v>
      </c>
      <c r="E18" s="16" t="s">
        <v>691</v>
      </c>
    </row>
    <row r="19" customFormat="false" ht="15" hidden="false" customHeight="false" outlineLevel="0" collapsed="false">
      <c r="A19" s="16" t="s">
        <v>3316</v>
      </c>
      <c r="B19" s="16" t="s">
        <v>57</v>
      </c>
      <c r="C19" s="16" t="s">
        <v>3298</v>
      </c>
      <c r="D19" s="22" t="n">
        <v>46032</v>
      </c>
      <c r="E19" s="16" t="s">
        <v>691</v>
      </c>
    </row>
    <row r="20" customFormat="false" ht="15" hidden="false" customHeight="false" outlineLevel="0" collapsed="false">
      <c r="A20" s="16" t="s">
        <v>3317</v>
      </c>
      <c r="B20" s="16" t="s">
        <v>58</v>
      </c>
      <c r="C20" s="16" t="s">
        <v>3298</v>
      </c>
      <c r="D20" s="22" t="n">
        <v>46209</v>
      </c>
      <c r="E20" s="16" t="s">
        <v>654</v>
      </c>
    </row>
    <row r="21" customFormat="false" ht="15" hidden="false" customHeight="false" outlineLevel="0" collapsed="false">
      <c r="A21" s="16" t="s">
        <v>3318</v>
      </c>
      <c r="B21" s="16" t="s">
        <v>58</v>
      </c>
      <c r="C21" s="16" t="s">
        <v>3310</v>
      </c>
      <c r="D21" s="22" t="n">
        <v>46078</v>
      </c>
      <c r="E21" s="16" t="s">
        <v>654</v>
      </c>
    </row>
    <row r="22" customFormat="false" ht="15" hidden="false" customHeight="false" outlineLevel="0" collapsed="false">
      <c r="A22" s="16" t="s">
        <v>3319</v>
      </c>
      <c r="B22" s="16" t="s">
        <v>58</v>
      </c>
      <c r="C22" s="16" t="s">
        <v>3302</v>
      </c>
      <c r="D22" s="22" t="n">
        <v>46109</v>
      </c>
      <c r="E22" s="16" t="s">
        <v>654</v>
      </c>
    </row>
    <row r="23" customFormat="false" ht="15" hidden="false" customHeight="false" outlineLevel="0" collapsed="false">
      <c r="A23" s="16" t="s">
        <v>3320</v>
      </c>
      <c r="B23" s="16" t="s">
        <v>58</v>
      </c>
      <c r="C23" s="16" t="s">
        <v>3302</v>
      </c>
      <c r="D23" s="22" t="n">
        <v>46049</v>
      </c>
      <c r="E23" s="16" t="s">
        <v>654</v>
      </c>
    </row>
    <row r="24" customFormat="false" ht="15" hidden="false" customHeight="false" outlineLevel="0" collapsed="false">
      <c r="A24" s="16" t="s">
        <v>3321</v>
      </c>
      <c r="B24" s="16" t="s">
        <v>58</v>
      </c>
      <c r="C24" s="16" t="s">
        <v>3300</v>
      </c>
      <c r="D24" s="22" t="n">
        <v>46091</v>
      </c>
      <c r="E24" s="16" t="s">
        <v>654</v>
      </c>
    </row>
    <row r="25" customFormat="false" ht="15" hidden="false" customHeight="false" outlineLevel="0" collapsed="false">
      <c r="A25" s="16" t="s">
        <v>3322</v>
      </c>
      <c r="B25" s="16" t="s">
        <v>58</v>
      </c>
      <c r="C25" s="16" t="s">
        <v>3310</v>
      </c>
      <c r="D25" s="22" t="n">
        <v>46117</v>
      </c>
      <c r="E25" s="16" t="s">
        <v>654</v>
      </c>
    </row>
    <row r="26" customFormat="false" ht="15" hidden="false" customHeight="false" outlineLevel="0" collapsed="false">
      <c r="A26" s="16" t="s">
        <v>3323</v>
      </c>
      <c r="B26" s="16" t="s">
        <v>58</v>
      </c>
      <c r="C26" s="16" t="s">
        <v>3300</v>
      </c>
      <c r="D26" s="22" t="n">
        <v>46064</v>
      </c>
      <c r="E26" s="16" t="s">
        <v>654</v>
      </c>
    </row>
    <row r="27" customFormat="false" ht="15" hidden="false" customHeight="false" outlineLevel="0" collapsed="false">
      <c r="A27" s="16" t="s">
        <v>3324</v>
      </c>
      <c r="B27" s="16" t="s">
        <v>58</v>
      </c>
      <c r="C27" s="16" t="s">
        <v>3306</v>
      </c>
      <c r="D27" s="22" t="n">
        <v>46065</v>
      </c>
      <c r="E27" s="16" t="s">
        <v>654</v>
      </c>
    </row>
    <row r="28" customFormat="false" ht="15" hidden="false" customHeight="false" outlineLevel="0" collapsed="false">
      <c r="A28" s="16" t="s">
        <v>3325</v>
      </c>
      <c r="B28" s="16" t="s">
        <v>58</v>
      </c>
      <c r="C28" s="16" t="s">
        <v>3302</v>
      </c>
      <c r="D28" s="22" t="n">
        <v>46057</v>
      </c>
      <c r="E28" s="16" t="s">
        <v>654</v>
      </c>
    </row>
    <row r="29" customFormat="false" ht="15" hidden="false" customHeight="false" outlineLevel="0" collapsed="false">
      <c r="A29" s="16" t="s">
        <v>3326</v>
      </c>
      <c r="B29" s="16" t="s">
        <v>58</v>
      </c>
      <c r="C29" s="16" t="s">
        <v>3310</v>
      </c>
      <c r="D29" s="22" t="n">
        <v>46245</v>
      </c>
      <c r="E29" s="16" t="s">
        <v>654</v>
      </c>
    </row>
    <row r="30" customFormat="false" ht="15" hidden="false" customHeight="false" outlineLevel="0" collapsed="false">
      <c r="A30" s="16" t="s">
        <v>3327</v>
      </c>
      <c r="B30" s="16" t="s">
        <v>58</v>
      </c>
      <c r="C30" s="16" t="s">
        <v>3302</v>
      </c>
      <c r="D30" s="22" t="n">
        <v>45931</v>
      </c>
      <c r="E30" s="16" t="s">
        <v>654</v>
      </c>
    </row>
    <row r="31" customFormat="false" ht="15" hidden="false" customHeight="false" outlineLevel="0" collapsed="false">
      <c r="A31" s="16" t="s">
        <v>3328</v>
      </c>
      <c r="B31" s="16" t="s">
        <v>58</v>
      </c>
      <c r="C31" s="16" t="s">
        <v>3310</v>
      </c>
      <c r="D31" s="22" t="n">
        <v>46087</v>
      </c>
      <c r="E31" s="16" t="s">
        <v>654</v>
      </c>
    </row>
    <row r="32" customFormat="false" ht="15" hidden="false" customHeight="false" outlineLevel="0" collapsed="false">
      <c r="A32" s="16" t="s">
        <v>3329</v>
      </c>
      <c r="B32" s="16" t="s">
        <v>59</v>
      </c>
      <c r="C32" s="16" t="s">
        <v>3330</v>
      </c>
      <c r="D32" s="22" t="n">
        <v>45952</v>
      </c>
      <c r="E32" s="16" t="s">
        <v>640</v>
      </c>
    </row>
    <row r="33" customFormat="false" ht="15" hidden="false" customHeight="false" outlineLevel="0" collapsed="false">
      <c r="A33" s="16" t="s">
        <v>3331</v>
      </c>
      <c r="B33" s="16" t="s">
        <v>59</v>
      </c>
      <c r="C33" s="16" t="s">
        <v>3330</v>
      </c>
      <c r="D33" s="22" t="n">
        <v>45930</v>
      </c>
      <c r="E33" s="16" t="s">
        <v>640</v>
      </c>
    </row>
    <row r="34" customFormat="false" ht="15" hidden="false" customHeight="false" outlineLevel="0" collapsed="false">
      <c r="A34" s="16" t="s">
        <v>3332</v>
      </c>
      <c r="B34" s="16" t="s">
        <v>59</v>
      </c>
      <c r="C34" s="16" t="s">
        <v>3306</v>
      </c>
      <c r="D34" s="22" t="n">
        <v>46073</v>
      </c>
      <c r="E34" s="16" t="s">
        <v>640</v>
      </c>
    </row>
    <row r="35" customFormat="false" ht="15" hidden="false" customHeight="false" outlineLevel="0" collapsed="false">
      <c r="A35" s="16" t="s">
        <v>3333</v>
      </c>
      <c r="B35" s="16" t="s">
        <v>59</v>
      </c>
      <c r="C35" s="16" t="s">
        <v>3310</v>
      </c>
      <c r="D35" s="22" t="n">
        <v>45971</v>
      </c>
      <c r="E35" s="16" t="s">
        <v>640</v>
      </c>
    </row>
    <row r="36" customFormat="false" ht="15" hidden="false" customHeight="false" outlineLevel="0" collapsed="false">
      <c r="A36" s="16" t="s">
        <v>3334</v>
      </c>
      <c r="B36" s="16" t="s">
        <v>59</v>
      </c>
      <c r="C36" s="16" t="s">
        <v>3302</v>
      </c>
      <c r="D36" s="22" t="n">
        <v>46166</v>
      </c>
      <c r="E36" s="16" t="s">
        <v>640</v>
      </c>
    </row>
    <row r="37" customFormat="false" ht="15" hidden="false" customHeight="false" outlineLevel="0" collapsed="false">
      <c r="A37" s="16" t="s">
        <v>3335</v>
      </c>
      <c r="B37" s="16" t="s">
        <v>59</v>
      </c>
      <c r="C37" s="16" t="s">
        <v>3298</v>
      </c>
      <c r="D37" s="22" t="n">
        <v>46061</v>
      </c>
      <c r="E37" s="16" t="s">
        <v>640</v>
      </c>
    </row>
    <row r="38" customFormat="false" ht="15" hidden="false" customHeight="false" outlineLevel="0" collapsed="false">
      <c r="A38" s="16" t="s">
        <v>3336</v>
      </c>
      <c r="B38" s="16" t="s">
        <v>59</v>
      </c>
      <c r="C38" s="16" t="s">
        <v>3310</v>
      </c>
      <c r="D38" s="22" t="n">
        <v>46061</v>
      </c>
      <c r="E38" s="16" t="s">
        <v>640</v>
      </c>
    </row>
    <row r="39" customFormat="false" ht="15" hidden="false" customHeight="false" outlineLevel="0" collapsed="false">
      <c r="A39" s="16" t="s">
        <v>3337</v>
      </c>
      <c r="B39" s="16" t="s">
        <v>59</v>
      </c>
      <c r="C39" s="16" t="s">
        <v>3298</v>
      </c>
      <c r="D39" s="22" t="n">
        <v>46220</v>
      </c>
      <c r="E39" s="16" t="s">
        <v>640</v>
      </c>
    </row>
    <row r="40" customFormat="false" ht="15" hidden="false" customHeight="false" outlineLevel="0" collapsed="false">
      <c r="A40" s="16" t="s">
        <v>3338</v>
      </c>
      <c r="B40" s="16" t="s">
        <v>59</v>
      </c>
      <c r="C40" s="16" t="s">
        <v>3302</v>
      </c>
      <c r="D40" s="22" t="n">
        <v>46084</v>
      </c>
      <c r="E40" s="16" t="s">
        <v>640</v>
      </c>
    </row>
    <row r="41" customFormat="false" ht="15" hidden="false" customHeight="false" outlineLevel="0" collapsed="false">
      <c r="A41" s="16" t="s">
        <v>3339</v>
      </c>
      <c r="B41" s="16" t="s">
        <v>59</v>
      </c>
      <c r="C41" s="16" t="s">
        <v>3298</v>
      </c>
      <c r="D41" s="22" t="n">
        <v>46093</v>
      </c>
      <c r="E41" s="16" t="s">
        <v>640</v>
      </c>
    </row>
    <row r="42" customFormat="false" ht="15" hidden="false" customHeight="false" outlineLevel="0" collapsed="false">
      <c r="A42" s="16" t="s">
        <v>3340</v>
      </c>
      <c r="B42" s="16" t="s">
        <v>59</v>
      </c>
      <c r="C42" s="16" t="s">
        <v>3310</v>
      </c>
      <c r="D42" s="22" t="n">
        <v>46261</v>
      </c>
      <c r="E42" s="16" t="s">
        <v>640</v>
      </c>
    </row>
    <row r="43" customFormat="false" ht="15" hidden="false" customHeight="false" outlineLevel="0" collapsed="false">
      <c r="A43" s="16" t="s">
        <v>3341</v>
      </c>
      <c r="B43" s="16" t="s">
        <v>60</v>
      </c>
      <c r="C43" s="16" t="s">
        <v>3310</v>
      </c>
      <c r="D43" s="22" t="n">
        <v>46292</v>
      </c>
      <c r="E43" s="16" t="s">
        <v>596</v>
      </c>
    </row>
    <row r="44" customFormat="false" ht="15" hidden="false" customHeight="false" outlineLevel="0" collapsed="false">
      <c r="A44" s="16" t="s">
        <v>3342</v>
      </c>
      <c r="B44" s="16" t="s">
        <v>60</v>
      </c>
      <c r="C44" s="16" t="s">
        <v>3306</v>
      </c>
      <c r="D44" s="22" t="n">
        <v>46190</v>
      </c>
      <c r="E44" s="16" t="s">
        <v>596</v>
      </c>
    </row>
    <row r="45" customFormat="false" ht="15" hidden="false" customHeight="false" outlineLevel="0" collapsed="false">
      <c r="A45" s="16" t="s">
        <v>3343</v>
      </c>
      <c r="B45" s="16" t="s">
        <v>60</v>
      </c>
      <c r="C45" s="16" t="s">
        <v>3310</v>
      </c>
      <c r="D45" s="22" t="n">
        <v>46202</v>
      </c>
      <c r="E45" s="16" t="s">
        <v>596</v>
      </c>
    </row>
    <row r="46" customFormat="false" ht="15" hidden="false" customHeight="false" outlineLevel="0" collapsed="false">
      <c r="A46" s="16" t="s">
        <v>3344</v>
      </c>
      <c r="B46" s="16" t="s">
        <v>60</v>
      </c>
      <c r="C46" s="16" t="s">
        <v>3310</v>
      </c>
      <c r="D46" s="22" t="n">
        <v>46057</v>
      </c>
      <c r="E46" s="16" t="s">
        <v>596</v>
      </c>
    </row>
    <row r="47" customFormat="false" ht="15" hidden="false" customHeight="false" outlineLevel="0" collapsed="false">
      <c r="A47" s="16" t="s">
        <v>3345</v>
      </c>
      <c r="B47" s="16" t="s">
        <v>60</v>
      </c>
      <c r="C47" s="16" t="s">
        <v>3300</v>
      </c>
      <c r="D47" s="22" t="n">
        <v>46225</v>
      </c>
      <c r="E47" s="16" t="s">
        <v>596</v>
      </c>
    </row>
    <row r="48" customFormat="false" ht="15" hidden="false" customHeight="false" outlineLevel="0" collapsed="false">
      <c r="A48" s="16" t="s">
        <v>3346</v>
      </c>
      <c r="B48" s="16" t="s">
        <v>60</v>
      </c>
      <c r="C48" s="16" t="s">
        <v>3300</v>
      </c>
      <c r="D48" s="22" t="n">
        <v>46129</v>
      </c>
      <c r="E48" s="16" t="s">
        <v>596</v>
      </c>
    </row>
    <row r="49" customFormat="false" ht="15" hidden="false" customHeight="false" outlineLevel="0" collapsed="false">
      <c r="A49" s="16" t="s">
        <v>3347</v>
      </c>
      <c r="B49" s="16" t="s">
        <v>60</v>
      </c>
      <c r="C49" s="16" t="s">
        <v>3300</v>
      </c>
      <c r="D49" s="22" t="n">
        <v>46229</v>
      </c>
      <c r="E49" s="16" t="s">
        <v>596</v>
      </c>
    </row>
    <row r="50" customFormat="false" ht="15" hidden="false" customHeight="false" outlineLevel="0" collapsed="false">
      <c r="A50" s="16" t="s">
        <v>3348</v>
      </c>
      <c r="B50" s="16" t="s">
        <v>60</v>
      </c>
      <c r="C50" s="16" t="s">
        <v>3300</v>
      </c>
      <c r="D50" s="22" t="n">
        <v>46255</v>
      </c>
      <c r="E50" s="16" t="s">
        <v>596</v>
      </c>
    </row>
    <row r="51" customFormat="false" ht="15" hidden="false" customHeight="false" outlineLevel="0" collapsed="false">
      <c r="A51" s="16" t="s">
        <v>3349</v>
      </c>
      <c r="B51" s="16" t="s">
        <v>60</v>
      </c>
      <c r="C51" s="16" t="s">
        <v>3306</v>
      </c>
      <c r="D51" s="22" t="n">
        <v>46108</v>
      </c>
      <c r="E51" s="16" t="s">
        <v>596</v>
      </c>
    </row>
    <row r="52" customFormat="false" ht="15" hidden="false" customHeight="false" outlineLevel="0" collapsed="false">
      <c r="A52" s="16" t="s">
        <v>3350</v>
      </c>
      <c r="B52" s="16" t="s">
        <v>60</v>
      </c>
      <c r="C52" s="16" t="s">
        <v>3306</v>
      </c>
      <c r="D52" s="22" t="n">
        <v>46136</v>
      </c>
      <c r="E52" s="16" t="s">
        <v>596</v>
      </c>
    </row>
    <row r="53" customFormat="false" ht="15" hidden="false" customHeight="false" outlineLevel="0" collapsed="false">
      <c r="A53" s="16" t="s">
        <v>3351</v>
      </c>
      <c r="B53" s="16" t="s">
        <v>60</v>
      </c>
      <c r="C53" s="16" t="s">
        <v>3306</v>
      </c>
      <c r="D53" s="22" t="n">
        <v>46156</v>
      </c>
      <c r="E53" s="16" t="s">
        <v>596</v>
      </c>
    </row>
    <row r="54" customFormat="false" ht="15" hidden="false" customHeight="false" outlineLevel="0" collapsed="false">
      <c r="A54" s="16" t="s">
        <v>3352</v>
      </c>
      <c r="B54" s="16" t="s">
        <v>60</v>
      </c>
      <c r="C54" s="16" t="s">
        <v>3306</v>
      </c>
      <c r="D54" s="22" t="n">
        <v>46129</v>
      </c>
      <c r="E54" s="16" t="s">
        <v>596</v>
      </c>
    </row>
    <row r="55" customFormat="false" ht="15" hidden="false" customHeight="false" outlineLevel="0" collapsed="false">
      <c r="A55" s="16" t="s">
        <v>3353</v>
      </c>
      <c r="B55" s="16" t="s">
        <v>60</v>
      </c>
      <c r="C55" s="16" t="s">
        <v>3310</v>
      </c>
      <c r="D55" s="22" t="n">
        <v>46200</v>
      </c>
      <c r="E55" s="16" t="s">
        <v>596</v>
      </c>
    </row>
    <row r="56" customFormat="false" ht="15" hidden="false" customHeight="false" outlineLevel="0" collapsed="false">
      <c r="A56" s="16" t="s">
        <v>3354</v>
      </c>
      <c r="B56" s="16" t="s">
        <v>60</v>
      </c>
      <c r="C56" s="16" t="s">
        <v>3310</v>
      </c>
      <c r="D56" s="22" t="n">
        <v>46055</v>
      </c>
      <c r="E56" s="16" t="s">
        <v>596</v>
      </c>
    </row>
    <row r="57" customFormat="false" ht="15" hidden="false" customHeight="false" outlineLevel="0" collapsed="false">
      <c r="A57" s="16" t="s">
        <v>3355</v>
      </c>
      <c r="B57" s="16" t="s">
        <v>61</v>
      </c>
      <c r="C57" s="16" t="s">
        <v>3330</v>
      </c>
      <c r="D57" s="22" t="n">
        <v>46005</v>
      </c>
      <c r="E57" s="16" t="s">
        <v>704</v>
      </c>
    </row>
    <row r="58" customFormat="false" ht="15" hidden="false" customHeight="false" outlineLevel="0" collapsed="false">
      <c r="A58" s="16" t="s">
        <v>3356</v>
      </c>
      <c r="B58" s="16" t="s">
        <v>61</v>
      </c>
      <c r="C58" s="16" t="s">
        <v>3300</v>
      </c>
      <c r="D58" s="22" t="n">
        <v>46238</v>
      </c>
      <c r="E58" s="16" t="s">
        <v>704</v>
      </c>
    </row>
    <row r="59" customFormat="false" ht="15" hidden="false" customHeight="false" outlineLevel="0" collapsed="false">
      <c r="A59" s="16" t="s">
        <v>3357</v>
      </c>
      <c r="B59" s="16" t="s">
        <v>61</v>
      </c>
      <c r="C59" s="16" t="s">
        <v>3302</v>
      </c>
      <c r="D59" s="22" t="n">
        <v>46128</v>
      </c>
      <c r="E59" s="16" t="s">
        <v>704</v>
      </c>
    </row>
    <row r="60" customFormat="false" ht="15" hidden="false" customHeight="false" outlineLevel="0" collapsed="false">
      <c r="A60" s="16" t="s">
        <v>3358</v>
      </c>
      <c r="B60" s="16" t="s">
        <v>61</v>
      </c>
      <c r="C60" s="16" t="s">
        <v>3330</v>
      </c>
      <c r="D60" s="22" t="n">
        <v>46252</v>
      </c>
      <c r="E60" s="16" t="s">
        <v>704</v>
      </c>
    </row>
    <row r="61" customFormat="false" ht="15" hidden="false" customHeight="false" outlineLevel="0" collapsed="false">
      <c r="A61" s="16" t="s">
        <v>3359</v>
      </c>
      <c r="B61" s="16" t="s">
        <v>61</v>
      </c>
      <c r="C61" s="16" t="s">
        <v>3310</v>
      </c>
      <c r="D61" s="22" t="n">
        <v>46194</v>
      </c>
      <c r="E61" s="16" t="s">
        <v>704</v>
      </c>
    </row>
    <row r="62" customFormat="false" ht="15" hidden="false" customHeight="false" outlineLevel="0" collapsed="false">
      <c r="A62" s="16" t="s">
        <v>3360</v>
      </c>
      <c r="B62" s="16" t="s">
        <v>61</v>
      </c>
      <c r="C62" s="16" t="s">
        <v>3300</v>
      </c>
      <c r="D62" s="22" t="n">
        <v>45933</v>
      </c>
      <c r="E62" s="16" t="s">
        <v>704</v>
      </c>
    </row>
    <row r="63" customFormat="false" ht="15" hidden="false" customHeight="false" outlineLevel="0" collapsed="false">
      <c r="A63" s="16" t="s">
        <v>3361</v>
      </c>
      <c r="B63" s="16" t="s">
        <v>61</v>
      </c>
      <c r="C63" s="16" t="s">
        <v>3310</v>
      </c>
      <c r="D63" s="22" t="n">
        <v>46313</v>
      </c>
      <c r="E63" s="16" t="s">
        <v>704</v>
      </c>
    </row>
    <row r="64" customFormat="false" ht="15" hidden="false" customHeight="false" outlineLevel="0" collapsed="false">
      <c r="A64" s="16" t="s">
        <v>3362</v>
      </c>
      <c r="B64" s="16" t="s">
        <v>62</v>
      </c>
      <c r="C64" s="16" t="s">
        <v>3306</v>
      </c>
      <c r="D64" s="22" t="n">
        <v>46212</v>
      </c>
      <c r="E64" s="16" t="s">
        <v>604</v>
      </c>
    </row>
    <row r="65" customFormat="false" ht="15" hidden="false" customHeight="false" outlineLevel="0" collapsed="false">
      <c r="A65" s="16" t="s">
        <v>3363</v>
      </c>
      <c r="B65" s="16" t="s">
        <v>62</v>
      </c>
      <c r="C65" s="16" t="s">
        <v>3306</v>
      </c>
      <c r="D65" s="22" t="n">
        <v>46261</v>
      </c>
      <c r="E65" s="16" t="s">
        <v>604</v>
      </c>
    </row>
    <row r="66" customFormat="false" ht="15" hidden="false" customHeight="false" outlineLevel="0" collapsed="false">
      <c r="A66" s="16" t="s">
        <v>3364</v>
      </c>
      <c r="B66" s="16" t="s">
        <v>62</v>
      </c>
      <c r="C66" s="16" t="s">
        <v>3300</v>
      </c>
      <c r="D66" s="22" t="n">
        <v>46286</v>
      </c>
      <c r="E66" s="16" t="s">
        <v>604</v>
      </c>
    </row>
    <row r="67" customFormat="false" ht="15" hidden="false" customHeight="false" outlineLevel="0" collapsed="false">
      <c r="A67" s="16" t="s">
        <v>3365</v>
      </c>
      <c r="B67" s="16" t="s">
        <v>62</v>
      </c>
      <c r="C67" s="16" t="s">
        <v>3310</v>
      </c>
      <c r="D67" s="22" t="n">
        <v>46024</v>
      </c>
      <c r="E67" s="16" t="s">
        <v>604</v>
      </c>
    </row>
    <row r="68" customFormat="false" ht="15" hidden="false" customHeight="false" outlineLevel="0" collapsed="false">
      <c r="A68" s="16" t="s">
        <v>3366</v>
      </c>
      <c r="B68" s="16" t="s">
        <v>62</v>
      </c>
      <c r="C68" s="16" t="s">
        <v>3302</v>
      </c>
      <c r="D68" s="22" t="n">
        <v>45957</v>
      </c>
      <c r="E68" s="16" t="s">
        <v>604</v>
      </c>
    </row>
    <row r="69" customFormat="false" ht="15" hidden="false" customHeight="false" outlineLevel="0" collapsed="false">
      <c r="A69" s="16" t="s">
        <v>3367</v>
      </c>
      <c r="B69" s="16" t="s">
        <v>62</v>
      </c>
      <c r="C69" s="16" t="s">
        <v>3306</v>
      </c>
      <c r="D69" s="22" t="n">
        <v>45931</v>
      </c>
      <c r="E69" s="16" t="s">
        <v>604</v>
      </c>
    </row>
    <row r="70" customFormat="false" ht="15" hidden="false" customHeight="false" outlineLevel="0" collapsed="false">
      <c r="A70" s="16" t="s">
        <v>3368</v>
      </c>
      <c r="B70" s="16" t="s">
        <v>62</v>
      </c>
      <c r="C70" s="16" t="s">
        <v>3306</v>
      </c>
      <c r="D70" s="22" t="n">
        <v>46162</v>
      </c>
      <c r="E70" s="16" t="s">
        <v>604</v>
      </c>
    </row>
    <row r="71" customFormat="false" ht="15" hidden="false" customHeight="false" outlineLevel="0" collapsed="false">
      <c r="A71" s="16" t="s">
        <v>3369</v>
      </c>
      <c r="B71" s="16" t="s">
        <v>62</v>
      </c>
      <c r="C71" s="16" t="s">
        <v>3300</v>
      </c>
      <c r="D71" s="22" t="n">
        <v>46002</v>
      </c>
      <c r="E71" s="16" t="s">
        <v>604</v>
      </c>
    </row>
    <row r="72" customFormat="false" ht="15" hidden="false" customHeight="false" outlineLevel="0" collapsed="false">
      <c r="A72" s="16" t="s">
        <v>3370</v>
      </c>
      <c r="B72" s="16" t="s">
        <v>62</v>
      </c>
      <c r="C72" s="16" t="s">
        <v>3306</v>
      </c>
      <c r="D72" s="22" t="n">
        <v>45993</v>
      </c>
      <c r="E72" s="16" t="s">
        <v>604</v>
      </c>
    </row>
    <row r="73" customFormat="false" ht="15" hidden="false" customHeight="false" outlineLevel="0" collapsed="false">
      <c r="A73" s="16" t="s">
        <v>3371</v>
      </c>
      <c r="B73" s="16" t="s">
        <v>62</v>
      </c>
      <c r="C73" s="16" t="s">
        <v>3310</v>
      </c>
      <c r="D73" s="22" t="n">
        <v>46051</v>
      </c>
      <c r="E73" s="16" t="s">
        <v>604</v>
      </c>
    </row>
    <row r="74" customFormat="false" ht="15" hidden="false" customHeight="false" outlineLevel="0" collapsed="false">
      <c r="A74" s="16" t="s">
        <v>3372</v>
      </c>
      <c r="B74" s="16" t="s">
        <v>62</v>
      </c>
      <c r="C74" s="16" t="s">
        <v>3330</v>
      </c>
      <c r="D74" s="22" t="n">
        <v>46214</v>
      </c>
      <c r="E74" s="16" t="s">
        <v>604</v>
      </c>
    </row>
    <row r="75" customFormat="false" ht="15" hidden="false" customHeight="false" outlineLevel="0" collapsed="false">
      <c r="A75" s="16" t="s">
        <v>3373</v>
      </c>
      <c r="B75" s="16" t="s">
        <v>62</v>
      </c>
      <c r="C75" s="16" t="s">
        <v>3330</v>
      </c>
      <c r="D75" s="22" t="n">
        <v>46238</v>
      </c>
      <c r="E75" s="16" t="s">
        <v>604</v>
      </c>
    </row>
    <row r="76" customFormat="false" ht="15" hidden="false" customHeight="false" outlineLevel="0" collapsed="false">
      <c r="A76" s="16" t="s">
        <v>3374</v>
      </c>
      <c r="B76" s="16" t="s">
        <v>63</v>
      </c>
      <c r="C76" s="16" t="s">
        <v>3302</v>
      </c>
      <c r="D76" s="22" t="n">
        <v>46164</v>
      </c>
      <c r="E76" s="16" t="s">
        <v>633</v>
      </c>
    </row>
    <row r="77" customFormat="false" ht="15" hidden="false" customHeight="false" outlineLevel="0" collapsed="false">
      <c r="A77" s="16" t="s">
        <v>3375</v>
      </c>
      <c r="B77" s="16" t="s">
        <v>63</v>
      </c>
      <c r="C77" s="16" t="s">
        <v>3302</v>
      </c>
      <c r="D77" s="22" t="n">
        <v>46148</v>
      </c>
      <c r="E77" s="16" t="s">
        <v>633</v>
      </c>
    </row>
    <row r="78" customFormat="false" ht="15" hidden="false" customHeight="false" outlineLevel="0" collapsed="false">
      <c r="A78" s="16" t="s">
        <v>3376</v>
      </c>
      <c r="B78" s="16" t="s">
        <v>63</v>
      </c>
      <c r="C78" s="16" t="s">
        <v>3302</v>
      </c>
      <c r="D78" s="22" t="n">
        <v>46204</v>
      </c>
      <c r="E78" s="16" t="s">
        <v>633</v>
      </c>
    </row>
    <row r="79" customFormat="false" ht="15" hidden="false" customHeight="false" outlineLevel="0" collapsed="false">
      <c r="A79" s="16" t="s">
        <v>3377</v>
      </c>
      <c r="B79" s="16" t="s">
        <v>63</v>
      </c>
      <c r="C79" s="16" t="s">
        <v>3302</v>
      </c>
      <c r="D79" s="22" t="n">
        <v>46037</v>
      </c>
      <c r="E79" s="16" t="s">
        <v>633</v>
      </c>
    </row>
    <row r="80" customFormat="false" ht="15" hidden="false" customHeight="false" outlineLevel="0" collapsed="false">
      <c r="A80" s="16" t="s">
        <v>3378</v>
      </c>
      <c r="B80" s="16" t="s">
        <v>63</v>
      </c>
      <c r="C80" s="16" t="s">
        <v>3302</v>
      </c>
      <c r="D80" s="22" t="n">
        <v>46226</v>
      </c>
      <c r="E80" s="16" t="s">
        <v>633</v>
      </c>
    </row>
    <row r="81" customFormat="false" ht="15" hidden="false" customHeight="false" outlineLevel="0" collapsed="false">
      <c r="A81" s="16" t="s">
        <v>3379</v>
      </c>
      <c r="B81" s="16" t="s">
        <v>63</v>
      </c>
      <c r="C81" s="16" t="s">
        <v>3306</v>
      </c>
      <c r="D81" s="22" t="n">
        <v>46166</v>
      </c>
      <c r="E81" s="16" t="s">
        <v>633</v>
      </c>
    </row>
    <row r="82" customFormat="false" ht="15" hidden="false" customHeight="false" outlineLevel="0" collapsed="false">
      <c r="A82" s="16" t="s">
        <v>3380</v>
      </c>
      <c r="B82" s="16" t="s">
        <v>63</v>
      </c>
      <c r="C82" s="16" t="s">
        <v>3306</v>
      </c>
      <c r="D82" s="22" t="n">
        <v>46047</v>
      </c>
      <c r="E82" s="16" t="s">
        <v>633</v>
      </c>
    </row>
    <row r="83" customFormat="false" ht="15" hidden="false" customHeight="false" outlineLevel="0" collapsed="false">
      <c r="A83" s="16" t="s">
        <v>3381</v>
      </c>
      <c r="B83" s="16" t="s">
        <v>63</v>
      </c>
      <c r="C83" s="16" t="s">
        <v>3306</v>
      </c>
      <c r="D83" s="22" t="n">
        <v>45934</v>
      </c>
      <c r="E83" s="16" t="s">
        <v>633</v>
      </c>
    </row>
    <row r="84" customFormat="false" ht="15" hidden="false" customHeight="false" outlineLevel="0" collapsed="false">
      <c r="A84" s="16" t="s">
        <v>3382</v>
      </c>
      <c r="B84" s="16" t="s">
        <v>63</v>
      </c>
      <c r="C84" s="16" t="s">
        <v>3300</v>
      </c>
      <c r="D84" s="22" t="n">
        <v>45919</v>
      </c>
      <c r="E84" s="16" t="s">
        <v>633</v>
      </c>
    </row>
    <row r="85" customFormat="false" ht="15" hidden="false" customHeight="false" outlineLevel="0" collapsed="false">
      <c r="A85" s="16" t="s">
        <v>3383</v>
      </c>
      <c r="B85" s="16" t="s">
        <v>63</v>
      </c>
      <c r="C85" s="16" t="s">
        <v>3330</v>
      </c>
      <c r="D85" s="22" t="n">
        <v>46210</v>
      </c>
      <c r="E85" s="16" t="s">
        <v>633</v>
      </c>
    </row>
    <row r="86" customFormat="false" ht="15" hidden="false" customHeight="false" outlineLevel="0" collapsed="false">
      <c r="A86" s="16" t="s">
        <v>3384</v>
      </c>
      <c r="B86" s="16" t="s">
        <v>63</v>
      </c>
      <c r="C86" s="16" t="s">
        <v>3298</v>
      </c>
      <c r="D86" s="22" t="n">
        <v>46154</v>
      </c>
      <c r="E86" s="16" t="s">
        <v>633</v>
      </c>
    </row>
    <row r="87" customFormat="false" ht="15" hidden="false" customHeight="false" outlineLevel="0" collapsed="false">
      <c r="A87" s="16" t="s">
        <v>3385</v>
      </c>
      <c r="B87" s="16" t="s">
        <v>63</v>
      </c>
      <c r="C87" s="16" t="s">
        <v>3300</v>
      </c>
      <c r="D87" s="22" t="n">
        <v>46114</v>
      </c>
      <c r="E87" s="16" t="s">
        <v>633</v>
      </c>
    </row>
    <row r="88" customFormat="false" ht="15" hidden="false" customHeight="false" outlineLevel="0" collapsed="false">
      <c r="A88" s="16" t="s">
        <v>3386</v>
      </c>
      <c r="B88" s="16" t="s">
        <v>63</v>
      </c>
      <c r="C88" s="16" t="s">
        <v>3302</v>
      </c>
      <c r="D88" s="22" t="n">
        <v>45997</v>
      </c>
      <c r="E88" s="16" t="s">
        <v>633</v>
      </c>
    </row>
    <row r="89" customFormat="false" ht="15" hidden="false" customHeight="false" outlineLevel="0" collapsed="false">
      <c r="A89" s="16" t="s">
        <v>3387</v>
      </c>
      <c r="B89" s="16" t="s">
        <v>63</v>
      </c>
      <c r="C89" s="16" t="s">
        <v>3306</v>
      </c>
      <c r="D89" s="22" t="n">
        <v>46052</v>
      </c>
      <c r="E89" s="16" t="s">
        <v>633</v>
      </c>
    </row>
    <row r="90" customFormat="false" ht="15" hidden="false" customHeight="false" outlineLevel="0" collapsed="false">
      <c r="A90" s="16" t="s">
        <v>3388</v>
      </c>
      <c r="B90" s="16" t="s">
        <v>63</v>
      </c>
      <c r="C90" s="16" t="s">
        <v>3330</v>
      </c>
      <c r="D90" s="22" t="n">
        <v>46101</v>
      </c>
      <c r="E90" s="16" t="s">
        <v>633</v>
      </c>
    </row>
    <row r="91" customFormat="false" ht="15" hidden="false" customHeight="false" outlineLevel="0" collapsed="false">
      <c r="A91" s="16" t="s">
        <v>3389</v>
      </c>
      <c r="B91" s="16" t="s">
        <v>63</v>
      </c>
      <c r="C91" s="16" t="s">
        <v>3330</v>
      </c>
      <c r="D91" s="22" t="n">
        <v>46234</v>
      </c>
      <c r="E91" s="16" t="s">
        <v>633</v>
      </c>
    </row>
    <row r="92" customFormat="false" ht="15" hidden="false" customHeight="false" outlineLevel="0" collapsed="false">
      <c r="A92" s="16" t="s">
        <v>3390</v>
      </c>
      <c r="B92" s="16" t="s">
        <v>64</v>
      </c>
      <c r="C92" s="16" t="s">
        <v>3310</v>
      </c>
      <c r="D92" s="22" t="n">
        <v>46145</v>
      </c>
      <c r="E92" s="16" t="s">
        <v>691</v>
      </c>
    </row>
    <row r="93" customFormat="false" ht="15" hidden="false" customHeight="false" outlineLevel="0" collapsed="false">
      <c r="A93" s="16" t="s">
        <v>3391</v>
      </c>
      <c r="B93" s="16" t="s">
        <v>64</v>
      </c>
      <c r="C93" s="16" t="s">
        <v>3300</v>
      </c>
      <c r="D93" s="22" t="n">
        <v>46177</v>
      </c>
      <c r="E93" s="16" t="s">
        <v>691</v>
      </c>
    </row>
    <row r="94" customFormat="false" ht="15" hidden="false" customHeight="false" outlineLevel="0" collapsed="false">
      <c r="A94" s="16" t="s">
        <v>3392</v>
      </c>
      <c r="B94" s="16" t="s">
        <v>64</v>
      </c>
      <c r="C94" s="16" t="s">
        <v>3302</v>
      </c>
      <c r="D94" s="22" t="n">
        <v>46003</v>
      </c>
      <c r="E94" s="16" t="s">
        <v>691</v>
      </c>
    </row>
    <row r="95" customFormat="false" ht="15" hidden="false" customHeight="false" outlineLevel="0" collapsed="false">
      <c r="A95" s="16" t="s">
        <v>3393</v>
      </c>
      <c r="B95" s="16" t="s">
        <v>64</v>
      </c>
      <c r="C95" s="16" t="s">
        <v>3310</v>
      </c>
      <c r="D95" s="22" t="n">
        <v>46107</v>
      </c>
      <c r="E95" s="16" t="s">
        <v>691</v>
      </c>
    </row>
    <row r="96" customFormat="false" ht="15" hidden="false" customHeight="false" outlineLevel="0" collapsed="false">
      <c r="A96" s="16" t="s">
        <v>3394</v>
      </c>
      <c r="B96" s="16" t="s">
        <v>64</v>
      </c>
      <c r="C96" s="16" t="s">
        <v>3310</v>
      </c>
      <c r="D96" s="22" t="n">
        <v>46259</v>
      </c>
      <c r="E96" s="16" t="s">
        <v>691</v>
      </c>
    </row>
    <row r="97" customFormat="false" ht="15" hidden="false" customHeight="false" outlineLevel="0" collapsed="false">
      <c r="A97" s="16" t="s">
        <v>3395</v>
      </c>
      <c r="B97" s="16" t="s">
        <v>64</v>
      </c>
      <c r="C97" s="16" t="s">
        <v>3302</v>
      </c>
      <c r="D97" s="22" t="n">
        <v>46167</v>
      </c>
      <c r="E97" s="16" t="s">
        <v>691</v>
      </c>
    </row>
    <row r="98" customFormat="false" ht="15" hidden="false" customHeight="false" outlineLevel="0" collapsed="false">
      <c r="A98" s="16" t="s">
        <v>3396</v>
      </c>
      <c r="B98" s="16" t="s">
        <v>64</v>
      </c>
      <c r="C98" s="16" t="s">
        <v>3310</v>
      </c>
      <c r="D98" s="22" t="n">
        <v>46155</v>
      </c>
      <c r="E98" s="16" t="s">
        <v>691</v>
      </c>
    </row>
    <row r="99" customFormat="false" ht="15" hidden="false" customHeight="false" outlineLevel="0" collapsed="false">
      <c r="A99" s="16" t="s">
        <v>3397</v>
      </c>
      <c r="B99" s="16" t="s">
        <v>64</v>
      </c>
      <c r="C99" s="16" t="s">
        <v>3306</v>
      </c>
      <c r="D99" s="22" t="n">
        <v>46293</v>
      </c>
      <c r="E99" s="16" t="s">
        <v>691</v>
      </c>
    </row>
    <row r="100" customFormat="false" ht="15" hidden="false" customHeight="false" outlineLevel="0" collapsed="false">
      <c r="A100" s="16" t="s">
        <v>3398</v>
      </c>
      <c r="B100" s="16" t="s">
        <v>64</v>
      </c>
      <c r="C100" s="16" t="s">
        <v>3300</v>
      </c>
      <c r="D100" s="22" t="n">
        <v>46102</v>
      </c>
      <c r="E100" s="16" t="s">
        <v>691</v>
      </c>
    </row>
    <row r="101" customFormat="false" ht="15" hidden="false" customHeight="false" outlineLevel="0" collapsed="false">
      <c r="A101" s="16" t="s">
        <v>3399</v>
      </c>
      <c r="B101" s="16" t="s">
        <v>64</v>
      </c>
      <c r="C101" s="16" t="s">
        <v>3302</v>
      </c>
      <c r="D101" s="22" t="n">
        <v>45982</v>
      </c>
      <c r="E101" s="16" t="s">
        <v>691</v>
      </c>
    </row>
    <row r="102" customFormat="false" ht="15" hidden="false" customHeight="false" outlineLevel="0" collapsed="false">
      <c r="A102" s="16" t="s">
        <v>3400</v>
      </c>
      <c r="B102" s="16" t="s">
        <v>64</v>
      </c>
      <c r="C102" s="16" t="s">
        <v>3302</v>
      </c>
      <c r="D102" s="22" t="n">
        <v>46131</v>
      </c>
      <c r="E102" s="16" t="s">
        <v>691</v>
      </c>
    </row>
    <row r="103" customFormat="false" ht="15" hidden="false" customHeight="false" outlineLevel="0" collapsed="false">
      <c r="A103" s="16" t="s">
        <v>3401</v>
      </c>
      <c r="B103" s="16" t="s">
        <v>65</v>
      </c>
      <c r="C103" s="16" t="s">
        <v>3300</v>
      </c>
      <c r="D103" s="22" t="n">
        <v>46104</v>
      </c>
      <c r="E103" s="16" t="s">
        <v>654</v>
      </c>
    </row>
    <row r="104" customFormat="false" ht="15" hidden="false" customHeight="false" outlineLevel="0" collapsed="false">
      <c r="A104" s="16" t="s">
        <v>3402</v>
      </c>
      <c r="B104" s="16" t="s">
        <v>65</v>
      </c>
      <c r="C104" s="16" t="s">
        <v>3310</v>
      </c>
      <c r="D104" s="22" t="n">
        <v>46040</v>
      </c>
      <c r="E104" s="16" t="s">
        <v>654</v>
      </c>
    </row>
    <row r="105" customFormat="false" ht="15" hidden="false" customHeight="false" outlineLevel="0" collapsed="false">
      <c r="A105" s="16" t="s">
        <v>3403</v>
      </c>
      <c r="B105" s="16" t="s">
        <v>65</v>
      </c>
      <c r="C105" s="16" t="s">
        <v>3330</v>
      </c>
      <c r="D105" s="22" t="n">
        <v>46072</v>
      </c>
      <c r="E105" s="16" t="s">
        <v>654</v>
      </c>
    </row>
    <row r="106" customFormat="false" ht="15" hidden="false" customHeight="false" outlineLevel="0" collapsed="false">
      <c r="A106" s="16" t="s">
        <v>3404</v>
      </c>
      <c r="B106" s="16" t="s">
        <v>65</v>
      </c>
      <c r="C106" s="16" t="s">
        <v>3310</v>
      </c>
      <c r="D106" s="22" t="n">
        <v>46169</v>
      </c>
      <c r="E106" s="16" t="s">
        <v>654</v>
      </c>
    </row>
    <row r="107" customFormat="false" ht="15" hidden="false" customHeight="false" outlineLevel="0" collapsed="false">
      <c r="A107" s="16" t="s">
        <v>3405</v>
      </c>
      <c r="B107" s="16" t="s">
        <v>65</v>
      </c>
      <c r="C107" s="16" t="s">
        <v>3300</v>
      </c>
      <c r="D107" s="22" t="n">
        <v>46300</v>
      </c>
      <c r="E107" s="16" t="s">
        <v>654</v>
      </c>
    </row>
    <row r="108" customFormat="false" ht="15" hidden="false" customHeight="false" outlineLevel="0" collapsed="false">
      <c r="A108" s="16" t="s">
        <v>3406</v>
      </c>
      <c r="B108" s="16" t="s">
        <v>65</v>
      </c>
      <c r="C108" s="16" t="s">
        <v>3298</v>
      </c>
      <c r="D108" s="22" t="n">
        <v>45975</v>
      </c>
      <c r="E108" s="16" t="s">
        <v>654</v>
      </c>
    </row>
    <row r="109" customFormat="false" ht="15" hidden="false" customHeight="false" outlineLevel="0" collapsed="false">
      <c r="A109" s="16" t="s">
        <v>3407</v>
      </c>
      <c r="B109" s="16" t="s">
        <v>65</v>
      </c>
      <c r="C109" s="16" t="s">
        <v>3310</v>
      </c>
      <c r="D109" s="22" t="n">
        <v>46306</v>
      </c>
      <c r="E109" s="16" t="s">
        <v>654</v>
      </c>
    </row>
    <row r="110" customFormat="false" ht="15" hidden="false" customHeight="false" outlineLevel="0" collapsed="false">
      <c r="A110" s="16" t="s">
        <v>3408</v>
      </c>
      <c r="B110" s="16" t="s">
        <v>65</v>
      </c>
      <c r="C110" s="16" t="s">
        <v>3300</v>
      </c>
      <c r="D110" s="22" t="n">
        <v>46045</v>
      </c>
      <c r="E110" s="16" t="s">
        <v>654</v>
      </c>
    </row>
    <row r="111" customFormat="false" ht="15" hidden="false" customHeight="false" outlineLevel="0" collapsed="false">
      <c r="A111" s="16" t="s">
        <v>3409</v>
      </c>
      <c r="B111" s="16" t="s">
        <v>65</v>
      </c>
      <c r="C111" s="16" t="s">
        <v>3306</v>
      </c>
      <c r="D111" s="22" t="n">
        <v>45916</v>
      </c>
      <c r="E111" s="16" t="s">
        <v>654</v>
      </c>
    </row>
    <row r="112" customFormat="false" ht="15" hidden="false" customHeight="false" outlineLevel="0" collapsed="false">
      <c r="A112" s="16" t="s">
        <v>3410</v>
      </c>
      <c r="B112" s="16" t="s">
        <v>65</v>
      </c>
      <c r="C112" s="16" t="s">
        <v>3302</v>
      </c>
      <c r="D112" s="22" t="n">
        <v>45924</v>
      </c>
      <c r="E112" s="16" t="s">
        <v>654</v>
      </c>
    </row>
    <row r="113" customFormat="false" ht="15" hidden="false" customHeight="false" outlineLevel="0" collapsed="false">
      <c r="A113" s="16" t="s">
        <v>3411</v>
      </c>
      <c r="B113" s="16" t="s">
        <v>65</v>
      </c>
      <c r="C113" s="16" t="s">
        <v>3330</v>
      </c>
      <c r="D113" s="22" t="n">
        <v>45921</v>
      </c>
      <c r="E113" s="16" t="s">
        <v>654</v>
      </c>
    </row>
    <row r="114" customFormat="false" ht="15" hidden="false" customHeight="false" outlineLevel="0" collapsed="false">
      <c r="A114" s="16" t="s">
        <v>3412</v>
      </c>
      <c r="B114" s="16" t="s">
        <v>65</v>
      </c>
      <c r="C114" s="16" t="s">
        <v>3300</v>
      </c>
      <c r="D114" s="22" t="n">
        <v>45972</v>
      </c>
      <c r="E114" s="16" t="s">
        <v>654</v>
      </c>
    </row>
    <row r="115" customFormat="false" ht="15" hidden="false" customHeight="false" outlineLevel="0" collapsed="false">
      <c r="A115" s="16" t="s">
        <v>3413</v>
      </c>
      <c r="B115" s="16" t="s">
        <v>65</v>
      </c>
      <c r="C115" s="16" t="s">
        <v>3306</v>
      </c>
      <c r="D115" s="22" t="n">
        <v>46141</v>
      </c>
      <c r="E115" s="16" t="s">
        <v>654</v>
      </c>
    </row>
    <row r="116" customFormat="false" ht="15" hidden="false" customHeight="false" outlineLevel="0" collapsed="false">
      <c r="A116" s="16" t="s">
        <v>3414</v>
      </c>
      <c r="B116" s="16" t="s">
        <v>65</v>
      </c>
      <c r="C116" s="16" t="s">
        <v>3306</v>
      </c>
      <c r="D116" s="22" t="n">
        <v>46039</v>
      </c>
      <c r="E116" s="16" t="s">
        <v>654</v>
      </c>
    </row>
    <row r="117" customFormat="false" ht="15" hidden="false" customHeight="false" outlineLevel="0" collapsed="false">
      <c r="A117" s="16" t="s">
        <v>3415</v>
      </c>
      <c r="B117" s="16" t="s">
        <v>65</v>
      </c>
      <c r="C117" s="16" t="s">
        <v>3330</v>
      </c>
      <c r="D117" s="22" t="n">
        <v>45958</v>
      </c>
      <c r="E117" s="16" t="s">
        <v>654</v>
      </c>
    </row>
    <row r="118" customFormat="false" ht="15" hidden="false" customHeight="false" outlineLevel="0" collapsed="false">
      <c r="A118" s="16" t="s">
        <v>3416</v>
      </c>
      <c r="B118" s="16" t="s">
        <v>65</v>
      </c>
      <c r="C118" s="16" t="s">
        <v>3300</v>
      </c>
      <c r="D118" s="22" t="n">
        <v>46263</v>
      </c>
      <c r="E118" s="16" t="s">
        <v>654</v>
      </c>
    </row>
    <row r="119" customFormat="false" ht="15" hidden="false" customHeight="false" outlineLevel="0" collapsed="false">
      <c r="A119" s="16" t="s">
        <v>3417</v>
      </c>
      <c r="B119" s="16" t="s">
        <v>66</v>
      </c>
      <c r="C119" s="16" t="s">
        <v>3330</v>
      </c>
      <c r="D119" s="22" t="n">
        <v>46058</v>
      </c>
      <c r="E119" s="16" t="s">
        <v>640</v>
      </c>
    </row>
    <row r="120" customFormat="false" ht="15" hidden="false" customHeight="false" outlineLevel="0" collapsed="false">
      <c r="A120" s="16" t="s">
        <v>3418</v>
      </c>
      <c r="B120" s="16" t="s">
        <v>66</v>
      </c>
      <c r="C120" s="16" t="s">
        <v>3298</v>
      </c>
      <c r="D120" s="22" t="n">
        <v>45925</v>
      </c>
      <c r="E120" s="16" t="s">
        <v>640</v>
      </c>
    </row>
    <row r="121" customFormat="false" ht="15" hidden="false" customHeight="false" outlineLevel="0" collapsed="false">
      <c r="A121" s="16" t="s">
        <v>3419</v>
      </c>
      <c r="B121" s="16" t="s">
        <v>66</v>
      </c>
      <c r="C121" s="16" t="s">
        <v>3330</v>
      </c>
      <c r="D121" s="22" t="n">
        <v>46120</v>
      </c>
      <c r="E121" s="16" t="s">
        <v>640</v>
      </c>
    </row>
    <row r="122" customFormat="false" ht="15" hidden="false" customHeight="false" outlineLevel="0" collapsed="false">
      <c r="A122" s="16" t="s">
        <v>3420</v>
      </c>
      <c r="B122" s="16" t="s">
        <v>66</v>
      </c>
      <c r="C122" s="16" t="s">
        <v>3300</v>
      </c>
      <c r="D122" s="22" t="n">
        <v>46243</v>
      </c>
      <c r="E122" s="16" t="s">
        <v>640</v>
      </c>
    </row>
    <row r="123" customFormat="false" ht="15" hidden="false" customHeight="false" outlineLevel="0" collapsed="false">
      <c r="A123" s="16" t="s">
        <v>3421</v>
      </c>
      <c r="B123" s="16" t="s">
        <v>66</v>
      </c>
      <c r="C123" s="16" t="s">
        <v>3330</v>
      </c>
      <c r="D123" s="22" t="n">
        <v>46166</v>
      </c>
      <c r="E123" s="16" t="s">
        <v>640</v>
      </c>
    </row>
    <row r="124" customFormat="false" ht="15" hidden="false" customHeight="false" outlineLevel="0" collapsed="false">
      <c r="A124" s="16" t="s">
        <v>3422</v>
      </c>
      <c r="B124" s="16" t="s">
        <v>66</v>
      </c>
      <c r="C124" s="16" t="s">
        <v>3302</v>
      </c>
      <c r="D124" s="22" t="n">
        <v>46114</v>
      </c>
      <c r="E124" s="16" t="s">
        <v>640</v>
      </c>
    </row>
    <row r="125" customFormat="false" ht="15" hidden="false" customHeight="false" outlineLevel="0" collapsed="false">
      <c r="A125" s="16" t="s">
        <v>3423</v>
      </c>
      <c r="B125" s="16" t="s">
        <v>66</v>
      </c>
      <c r="C125" s="16" t="s">
        <v>3306</v>
      </c>
      <c r="D125" s="22" t="n">
        <v>45984</v>
      </c>
      <c r="E125" s="16" t="s">
        <v>640</v>
      </c>
    </row>
    <row r="126" customFormat="false" ht="15" hidden="false" customHeight="false" outlineLevel="0" collapsed="false">
      <c r="A126" s="16" t="s">
        <v>3424</v>
      </c>
      <c r="B126" s="16" t="s">
        <v>66</v>
      </c>
      <c r="C126" s="16" t="s">
        <v>3300</v>
      </c>
      <c r="D126" s="22" t="n">
        <v>46262</v>
      </c>
      <c r="E126" s="16" t="s">
        <v>640</v>
      </c>
    </row>
    <row r="127" customFormat="false" ht="15" hidden="false" customHeight="false" outlineLevel="0" collapsed="false">
      <c r="A127" s="16" t="s">
        <v>3425</v>
      </c>
      <c r="B127" s="16" t="s">
        <v>66</v>
      </c>
      <c r="C127" s="16" t="s">
        <v>3306</v>
      </c>
      <c r="D127" s="22" t="n">
        <v>46197</v>
      </c>
      <c r="E127" s="16" t="s">
        <v>640</v>
      </c>
    </row>
    <row r="128" customFormat="false" ht="15" hidden="false" customHeight="false" outlineLevel="0" collapsed="false">
      <c r="A128" s="16" t="s">
        <v>3426</v>
      </c>
      <c r="B128" s="16" t="s">
        <v>66</v>
      </c>
      <c r="C128" s="16" t="s">
        <v>3300</v>
      </c>
      <c r="D128" s="22" t="n">
        <v>46011</v>
      </c>
      <c r="E128" s="16" t="s">
        <v>640</v>
      </c>
    </row>
    <row r="129" customFormat="false" ht="15" hidden="false" customHeight="false" outlineLevel="0" collapsed="false">
      <c r="A129" s="16" t="s">
        <v>3427</v>
      </c>
      <c r="B129" s="16" t="s">
        <v>66</v>
      </c>
      <c r="C129" s="16" t="s">
        <v>3302</v>
      </c>
      <c r="D129" s="22" t="n">
        <v>45996</v>
      </c>
      <c r="E129" s="16" t="s">
        <v>640</v>
      </c>
    </row>
    <row r="130" customFormat="false" ht="15" hidden="false" customHeight="false" outlineLevel="0" collapsed="false">
      <c r="A130" s="16" t="s">
        <v>3428</v>
      </c>
      <c r="B130" s="16" t="s">
        <v>66</v>
      </c>
      <c r="C130" s="16" t="s">
        <v>3306</v>
      </c>
      <c r="D130" s="22" t="n">
        <v>46046</v>
      </c>
      <c r="E130" s="16" t="s">
        <v>640</v>
      </c>
    </row>
    <row r="131" customFormat="false" ht="15" hidden="false" customHeight="false" outlineLevel="0" collapsed="false">
      <c r="A131" s="16" t="s">
        <v>3429</v>
      </c>
      <c r="B131" s="16" t="s">
        <v>67</v>
      </c>
      <c r="C131" s="16" t="s">
        <v>3302</v>
      </c>
      <c r="D131" s="22" t="n">
        <v>46283</v>
      </c>
      <c r="E131" s="16" t="s">
        <v>596</v>
      </c>
    </row>
    <row r="132" customFormat="false" ht="15" hidden="false" customHeight="false" outlineLevel="0" collapsed="false">
      <c r="A132" s="16" t="s">
        <v>3430</v>
      </c>
      <c r="B132" s="16" t="s">
        <v>67</v>
      </c>
      <c r="C132" s="16" t="s">
        <v>3300</v>
      </c>
      <c r="D132" s="22" t="n">
        <v>46142</v>
      </c>
      <c r="E132" s="16" t="s">
        <v>596</v>
      </c>
    </row>
    <row r="133" customFormat="false" ht="15" hidden="false" customHeight="false" outlineLevel="0" collapsed="false">
      <c r="A133" s="16" t="s">
        <v>3431</v>
      </c>
      <c r="B133" s="16" t="s">
        <v>67</v>
      </c>
      <c r="C133" s="16" t="s">
        <v>3302</v>
      </c>
      <c r="D133" s="22" t="n">
        <v>46042</v>
      </c>
      <c r="E133" s="16" t="s">
        <v>596</v>
      </c>
    </row>
    <row r="134" customFormat="false" ht="15" hidden="false" customHeight="false" outlineLevel="0" collapsed="false">
      <c r="A134" s="16" t="s">
        <v>3432</v>
      </c>
      <c r="B134" s="16" t="s">
        <v>67</v>
      </c>
      <c r="C134" s="16" t="s">
        <v>3300</v>
      </c>
      <c r="D134" s="22" t="n">
        <v>46257</v>
      </c>
      <c r="E134" s="16" t="s">
        <v>596</v>
      </c>
    </row>
    <row r="135" customFormat="false" ht="15" hidden="false" customHeight="false" outlineLevel="0" collapsed="false">
      <c r="A135" s="16" t="s">
        <v>3433</v>
      </c>
      <c r="B135" s="16" t="s">
        <v>67</v>
      </c>
      <c r="C135" s="16" t="s">
        <v>3310</v>
      </c>
      <c r="D135" s="22" t="n">
        <v>45969</v>
      </c>
      <c r="E135" s="16" t="s">
        <v>596</v>
      </c>
    </row>
    <row r="136" customFormat="false" ht="15" hidden="false" customHeight="false" outlineLevel="0" collapsed="false">
      <c r="A136" s="16" t="s">
        <v>3434</v>
      </c>
      <c r="B136" s="16" t="s">
        <v>67</v>
      </c>
      <c r="C136" s="16" t="s">
        <v>3306</v>
      </c>
      <c r="D136" s="22" t="n">
        <v>46015</v>
      </c>
      <c r="E136" s="16" t="s">
        <v>596</v>
      </c>
    </row>
    <row r="137" customFormat="false" ht="15" hidden="false" customHeight="false" outlineLevel="0" collapsed="false">
      <c r="A137" s="16" t="s">
        <v>3435</v>
      </c>
      <c r="B137" s="16" t="s">
        <v>67</v>
      </c>
      <c r="C137" s="16" t="s">
        <v>3300</v>
      </c>
      <c r="D137" s="22" t="n">
        <v>46285</v>
      </c>
      <c r="E137" s="16" t="s">
        <v>596</v>
      </c>
    </row>
    <row r="138" customFormat="false" ht="15" hidden="false" customHeight="false" outlineLevel="0" collapsed="false">
      <c r="A138" s="16" t="s">
        <v>3436</v>
      </c>
      <c r="B138" s="16" t="s">
        <v>67</v>
      </c>
      <c r="C138" s="16" t="s">
        <v>3310</v>
      </c>
      <c r="D138" s="22" t="n">
        <v>45963</v>
      </c>
      <c r="E138" s="16" t="s">
        <v>596</v>
      </c>
    </row>
    <row r="139" customFormat="false" ht="15" hidden="false" customHeight="false" outlineLevel="0" collapsed="false">
      <c r="A139" s="16" t="s">
        <v>3437</v>
      </c>
      <c r="B139" s="16" t="s">
        <v>67</v>
      </c>
      <c r="C139" s="16" t="s">
        <v>3300</v>
      </c>
      <c r="D139" s="22" t="n">
        <v>46099</v>
      </c>
      <c r="E139" s="16" t="s">
        <v>596</v>
      </c>
    </row>
    <row r="140" customFormat="false" ht="15" hidden="false" customHeight="false" outlineLevel="0" collapsed="false">
      <c r="A140" s="16" t="s">
        <v>3438</v>
      </c>
      <c r="B140" s="16" t="s">
        <v>67</v>
      </c>
      <c r="C140" s="16" t="s">
        <v>3310</v>
      </c>
      <c r="D140" s="22" t="n">
        <v>46022</v>
      </c>
      <c r="E140" s="16" t="s">
        <v>596</v>
      </c>
    </row>
    <row r="141" customFormat="false" ht="15" hidden="false" customHeight="false" outlineLevel="0" collapsed="false">
      <c r="A141" s="16" t="s">
        <v>3439</v>
      </c>
      <c r="B141" s="16" t="s">
        <v>67</v>
      </c>
      <c r="C141" s="16" t="s">
        <v>3306</v>
      </c>
      <c r="D141" s="22" t="n">
        <v>46279</v>
      </c>
      <c r="E141" s="16" t="s">
        <v>596</v>
      </c>
    </row>
    <row r="142" customFormat="false" ht="15" hidden="false" customHeight="false" outlineLevel="0" collapsed="false">
      <c r="A142" s="16" t="s">
        <v>3440</v>
      </c>
      <c r="B142" s="16" t="s">
        <v>67</v>
      </c>
      <c r="C142" s="16" t="s">
        <v>3298</v>
      </c>
      <c r="D142" s="22" t="n">
        <v>46037</v>
      </c>
      <c r="E142" s="16" t="s">
        <v>596</v>
      </c>
    </row>
    <row r="143" customFormat="false" ht="15" hidden="false" customHeight="false" outlineLevel="0" collapsed="false">
      <c r="A143" s="16" t="s">
        <v>3441</v>
      </c>
      <c r="B143" s="16" t="s">
        <v>67</v>
      </c>
      <c r="C143" s="16" t="s">
        <v>3300</v>
      </c>
      <c r="D143" s="22" t="n">
        <v>46219</v>
      </c>
      <c r="E143" s="16" t="s">
        <v>596</v>
      </c>
    </row>
    <row r="144" customFormat="false" ht="15" hidden="false" customHeight="false" outlineLevel="0" collapsed="false">
      <c r="A144" s="16" t="s">
        <v>3442</v>
      </c>
      <c r="B144" s="16" t="s">
        <v>67</v>
      </c>
      <c r="C144" s="16" t="s">
        <v>3298</v>
      </c>
      <c r="D144" s="22" t="n">
        <v>46287</v>
      </c>
      <c r="E144" s="16" t="s">
        <v>596</v>
      </c>
    </row>
    <row r="145" customFormat="false" ht="15" hidden="false" customHeight="false" outlineLevel="0" collapsed="false">
      <c r="A145" s="16" t="s">
        <v>3443</v>
      </c>
      <c r="B145" s="16" t="s">
        <v>67</v>
      </c>
      <c r="C145" s="16" t="s">
        <v>3310</v>
      </c>
      <c r="D145" s="22" t="n">
        <v>46237</v>
      </c>
      <c r="E145" s="16" t="s">
        <v>596</v>
      </c>
    </row>
    <row r="146" customFormat="false" ht="15" hidden="false" customHeight="false" outlineLevel="0" collapsed="false">
      <c r="A146" s="16" t="s">
        <v>3444</v>
      </c>
      <c r="B146" s="16" t="s">
        <v>67</v>
      </c>
      <c r="C146" s="16" t="s">
        <v>3330</v>
      </c>
      <c r="D146" s="22" t="n">
        <v>46307</v>
      </c>
      <c r="E146" s="16" t="s">
        <v>596</v>
      </c>
    </row>
    <row r="147" customFormat="false" ht="15" hidden="false" customHeight="false" outlineLevel="0" collapsed="false">
      <c r="A147" s="16" t="s">
        <v>3445</v>
      </c>
      <c r="B147" s="16" t="s">
        <v>68</v>
      </c>
      <c r="C147" s="16" t="s">
        <v>3306</v>
      </c>
      <c r="D147" s="22" t="n">
        <v>46199</v>
      </c>
      <c r="E147" s="16" t="s">
        <v>704</v>
      </c>
    </row>
    <row r="148" customFormat="false" ht="15" hidden="false" customHeight="false" outlineLevel="0" collapsed="false">
      <c r="A148" s="16" t="s">
        <v>3446</v>
      </c>
      <c r="B148" s="16" t="s">
        <v>68</v>
      </c>
      <c r="C148" s="16" t="s">
        <v>3306</v>
      </c>
      <c r="D148" s="22" t="n">
        <v>46041</v>
      </c>
      <c r="E148" s="16" t="s">
        <v>704</v>
      </c>
    </row>
    <row r="149" customFormat="false" ht="15" hidden="false" customHeight="false" outlineLevel="0" collapsed="false">
      <c r="A149" s="16" t="s">
        <v>3447</v>
      </c>
      <c r="B149" s="16" t="s">
        <v>68</v>
      </c>
      <c r="C149" s="16" t="s">
        <v>3298</v>
      </c>
      <c r="D149" s="22" t="n">
        <v>46045</v>
      </c>
      <c r="E149" s="16" t="s">
        <v>704</v>
      </c>
    </row>
    <row r="150" customFormat="false" ht="15" hidden="false" customHeight="false" outlineLevel="0" collapsed="false">
      <c r="A150" s="16" t="s">
        <v>3448</v>
      </c>
      <c r="B150" s="16" t="s">
        <v>68</v>
      </c>
      <c r="C150" s="16" t="s">
        <v>3306</v>
      </c>
      <c r="D150" s="22" t="n">
        <v>46230</v>
      </c>
      <c r="E150" s="16" t="s">
        <v>704</v>
      </c>
    </row>
    <row r="151" customFormat="false" ht="15" hidden="false" customHeight="false" outlineLevel="0" collapsed="false">
      <c r="A151" s="16" t="s">
        <v>3449</v>
      </c>
      <c r="B151" s="16" t="s">
        <v>68</v>
      </c>
      <c r="C151" s="16" t="s">
        <v>3302</v>
      </c>
      <c r="D151" s="22" t="n">
        <v>46175</v>
      </c>
      <c r="E151" s="16" t="s">
        <v>704</v>
      </c>
    </row>
    <row r="152" customFormat="false" ht="15" hidden="false" customHeight="false" outlineLevel="0" collapsed="false">
      <c r="A152" s="16" t="s">
        <v>3450</v>
      </c>
      <c r="B152" s="16" t="s">
        <v>68</v>
      </c>
      <c r="C152" s="16" t="s">
        <v>3302</v>
      </c>
      <c r="D152" s="22" t="n">
        <v>46026</v>
      </c>
      <c r="E152" s="16" t="s">
        <v>704</v>
      </c>
    </row>
    <row r="153" customFormat="false" ht="15" hidden="false" customHeight="false" outlineLevel="0" collapsed="false">
      <c r="A153" s="16" t="s">
        <v>3451</v>
      </c>
      <c r="B153" s="16" t="s">
        <v>68</v>
      </c>
      <c r="C153" s="16" t="s">
        <v>3300</v>
      </c>
      <c r="D153" s="22" t="n">
        <v>45969</v>
      </c>
      <c r="E153" s="16" t="s">
        <v>704</v>
      </c>
    </row>
    <row r="154" customFormat="false" ht="15" hidden="false" customHeight="false" outlineLevel="0" collapsed="false">
      <c r="A154" s="16" t="s">
        <v>3452</v>
      </c>
      <c r="B154" s="16" t="s">
        <v>68</v>
      </c>
      <c r="C154" s="16" t="s">
        <v>3298</v>
      </c>
      <c r="D154" s="22" t="n">
        <v>46025</v>
      </c>
      <c r="E154" s="16" t="s">
        <v>704</v>
      </c>
    </row>
    <row r="155" customFormat="false" ht="15" hidden="false" customHeight="false" outlineLevel="0" collapsed="false">
      <c r="A155" s="16" t="s">
        <v>3453</v>
      </c>
      <c r="B155" s="16" t="s">
        <v>68</v>
      </c>
      <c r="C155" s="16" t="s">
        <v>3306</v>
      </c>
      <c r="D155" s="22" t="n">
        <v>46237</v>
      </c>
      <c r="E155" s="16" t="s">
        <v>704</v>
      </c>
    </row>
    <row r="156" customFormat="false" ht="15" hidden="false" customHeight="false" outlineLevel="0" collapsed="false">
      <c r="A156" s="16" t="s">
        <v>3454</v>
      </c>
      <c r="B156" s="16" t="s">
        <v>68</v>
      </c>
      <c r="C156" s="16" t="s">
        <v>3302</v>
      </c>
      <c r="D156" s="22" t="n">
        <v>45978</v>
      </c>
      <c r="E156" s="16" t="s">
        <v>704</v>
      </c>
    </row>
    <row r="157" customFormat="false" ht="15" hidden="false" customHeight="false" outlineLevel="0" collapsed="false">
      <c r="A157" s="16" t="s">
        <v>3455</v>
      </c>
      <c r="B157" s="16" t="s">
        <v>68</v>
      </c>
      <c r="C157" s="16" t="s">
        <v>3310</v>
      </c>
      <c r="D157" s="22" t="n">
        <v>46165</v>
      </c>
      <c r="E157" s="16" t="s">
        <v>704</v>
      </c>
    </row>
    <row r="158" customFormat="false" ht="15" hidden="false" customHeight="false" outlineLevel="0" collapsed="false">
      <c r="A158" s="16" t="s">
        <v>3456</v>
      </c>
      <c r="B158" s="16" t="s">
        <v>68</v>
      </c>
      <c r="C158" s="16" t="s">
        <v>3306</v>
      </c>
      <c r="D158" s="22" t="n">
        <v>46184</v>
      </c>
      <c r="E158" s="16" t="s">
        <v>704</v>
      </c>
    </row>
    <row r="159" customFormat="false" ht="15" hidden="false" customHeight="false" outlineLevel="0" collapsed="false">
      <c r="A159" s="16" t="s">
        <v>3457</v>
      </c>
      <c r="B159" s="16" t="s">
        <v>68</v>
      </c>
      <c r="C159" s="16" t="s">
        <v>3300</v>
      </c>
      <c r="D159" s="22" t="n">
        <v>46239</v>
      </c>
      <c r="E159" s="16" t="s">
        <v>704</v>
      </c>
    </row>
    <row r="160" customFormat="false" ht="15" hidden="false" customHeight="false" outlineLevel="0" collapsed="false">
      <c r="A160" s="16" t="s">
        <v>3458</v>
      </c>
      <c r="B160" s="16" t="s">
        <v>68</v>
      </c>
      <c r="C160" s="16" t="s">
        <v>3306</v>
      </c>
      <c r="D160" s="22" t="n">
        <v>45990</v>
      </c>
      <c r="E160" s="16" t="s">
        <v>704</v>
      </c>
    </row>
    <row r="161" customFormat="false" ht="15" hidden="false" customHeight="false" outlineLevel="0" collapsed="false">
      <c r="A161" s="16" t="s">
        <v>3459</v>
      </c>
      <c r="B161" s="16" t="s">
        <v>68</v>
      </c>
      <c r="C161" s="16" t="s">
        <v>3302</v>
      </c>
      <c r="D161" s="22" t="n">
        <v>46261</v>
      </c>
      <c r="E161" s="16" t="s">
        <v>704</v>
      </c>
    </row>
    <row r="162" customFormat="false" ht="15" hidden="false" customHeight="false" outlineLevel="0" collapsed="false">
      <c r="A162" s="16" t="s">
        <v>3460</v>
      </c>
      <c r="B162" s="16" t="s">
        <v>69</v>
      </c>
      <c r="C162" s="16" t="s">
        <v>3302</v>
      </c>
      <c r="D162" s="22" t="n">
        <v>46280</v>
      </c>
      <c r="E162" s="16" t="s">
        <v>604</v>
      </c>
    </row>
    <row r="163" customFormat="false" ht="15" hidden="false" customHeight="false" outlineLevel="0" collapsed="false">
      <c r="A163" s="16" t="s">
        <v>3461</v>
      </c>
      <c r="B163" s="16" t="s">
        <v>69</v>
      </c>
      <c r="C163" s="16" t="s">
        <v>3306</v>
      </c>
      <c r="D163" s="22" t="n">
        <v>46231</v>
      </c>
      <c r="E163" s="16" t="s">
        <v>604</v>
      </c>
    </row>
    <row r="164" customFormat="false" ht="15" hidden="false" customHeight="false" outlineLevel="0" collapsed="false">
      <c r="A164" s="16" t="s">
        <v>3462</v>
      </c>
      <c r="B164" s="16" t="s">
        <v>69</v>
      </c>
      <c r="C164" s="16" t="s">
        <v>3310</v>
      </c>
      <c r="D164" s="22" t="n">
        <v>46154</v>
      </c>
      <c r="E164" s="16" t="s">
        <v>604</v>
      </c>
    </row>
    <row r="165" customFormat="false" ht="15" hidden="false" customHeight="false" outlineLevel="0" collapsed="false">
      <c r="A165" s="16" t="s">
        <v>3463</v>
      </c>
      <c r="B165" s="16" t="s">
        <v>69</v>
      </c>
      <c r="C165" s="16" t="s">
        <v>3302</v>
      </c>
      <c r="D165" s="22" t="n">
        <v>46225</v>
      </c>
      <c r="E165" s="16" t="s">
        <v>604</v>
      </c>
    </row>
    <row r="166" customFormat="false" ht="15" hidden="false" customHeight="false" outlineLevel="0" collapsed="false">
      <c r="A166" s="16" t="s">
        <v>3464</v>
      </c>
      <c r="B166" s="16" t="s">
        <v>69</v>
      </c>
      <c r="C166" s="16" t="s">
        <v>3298</v>
      </c>
      <c r="D166" s="22" t="n">
        <v>46256</v>
      </c>
      <c r="E166" s="16" t="s">
        <v>604</v>
      </c>
    </row>
    <row r="167" customFormat="false" ht="15" hidden="false" customHeight="false" outlineLevel="0" collapsed="false">
      <c r="A167" s="16" t="s">
        <v>3465</v>
      </c>
      <c r="B167" s="16" t="s">
        <v>69</v>
      </c>
      <c r="C167" s="16" t="s">
        <v>3306</v>
      </c>
      <c r="D167" s="22" t="n">
        <v>46221</v>
      </c>
      <c r="E167" s="16" t="s">
        <v>604</v>
      </c>
    </row>
    <row r="168" customFormat="false" ht="15" hidden="false" customHeight="false" outlineLevel="0" collapsed="false">
      <c r="A168" s="16" t="s">
        <v>3466</v>
      </c>
      <c r="B168" s="16" t="s">
        <v>69</v>
      </c>
      <c r="C168" s="16" t="s">
        <v>3298</v>
      </c>
      <c r="D168" s="22" t="n">
        <v>46313</v>
      </c>
      <c r="E168" s="16" t="s">
        <v>604</v>
      </c>
    </row>
    <row r="169" customFormat="false" ht="15" hidden="false" customHeight="false" outlineLevel="0" collapsed="false">
      <c r="A169" s="16" t="s">
        <v>3467</v>
      </c>
      <c r="B169" s="16" t="s">
        <v>69</v>
      </c>
      <c r="C169" s="16" t="s">
        <v>3302</v>
      </c>
      <c r="D169" s="22" t="n">
        <v>46131</v>
      </c>
      <c r="E169" s="16" t="s">
        <v>604</v>
      </c>
    </row>
    <row r="170" customFormat="false" ht="15" hidden="false" customHeight="false" outlineLevel="0" collapsed="false">
      <c r="A170" s="16" t="s">
        <v>3468</v>
      </c>
      <c r="B170" s="16" t="s">
        <v>69</v>
      </c>
      <c r="C170" s="16" t="s">
        <v>3310</v>
      </c>
      <c r="D170" s="22" t="n">
        <v>46076</v>
      </c>
      <c r="E170" s="16" t="s">
        <v>604</v>
      </c>
    </row>
    <row r="171" customFormat="false" ht="15" hidden="false" customHeight="false" outlineLevel="0" collapsed="false">
      <c r="A171" s="16" t="s">
        <v>3469</v>
      </c>
      <c r="B171" s="16" t="s">
        <v>69</v>
      </c>
      <c r="C171" s="16" t="s">
        <v>3310</v>
      </c>
      <c r="D171" s="22" t="n">
        <v>46258</v>
      </c>
      <c r="E171" s="16" t="s">
        <v>604</v>
      </c>
    </row>
    <row r="172" customFormat="false" ht="15" hidden="false" customHeight="false" outlineLevel="0" collapsed="false">
      <c r="A172" s="16" t="s">
        <v>3470</v>
      </c>
      <c r="B172" s="16" t="s">
        <v>70</v>
      </c>
      <c r="C172" s="16" t="s">
        <v>3300</v>
      </c>
      <c r="D172" s="22" t="n">
        <v>46174</v>
      </c>
      <c r="E172" s="16" t="s">
        <v>633</v>
      </c>
    </row>
    <row r="173" customFormat="false" ht="15" hidden="false" customHeight="false" outlineLevel="0" collapsed="false">
      <c r="A173" s="16" t="s">
        <v>3471</v>
      </c>
      <c r="B173" s="16" t="s">
        <v>70</v>
      </c>
      <c r="C173" s="16" t="s">
        <v>3300</v>
      </c>
      <c r="D173" s="22" t="n">
        <v>45921</v>
      </c>
      <c r="E173" s="16" t="s">
        <v>633</v>
      </c>
    </row>
    <row r="174" customFormat="false" ht="15" hidden="false" customHeight="false" outlineLevel="0" collapsed="false">
      <c r="A174" s="16" t="s">
        <v>3472</v>
      </c>
      <c r="B174" s="16" t="s">
        <v>70</v>
      </c>
      <c r="C174" s="16" t="s">
        <v>3306</v>
      </c>
      <c r="D174" s="22" t="n">
        <v>46031</v>
      </c>
      <c r="E174" s="16" t="s">
        <v>633</v>
      </c>
    </row>
    <row r="175" customFormat="false" ht="15" hidden="false" customHeight="false" outlineLevel="0" collapsed="false">
      <c r="A175" s="16" t="s">
        <v>3473</v>
      </c>
      <c r="B175" s="16" t="s">
        <v>70</v>
      </c>
      <c r="C175" s="16" t="s">
        <v>3300</v>
      </c>
      <c r="D175" s="22" t="n">
        <v>45981</v>
      </c>
      <c r="E175" s="16" t="s">
        <v>633</v>
      </c>
    </row>
    <row r="176" customFormat="false" ht="15" hidden="false" customHeight="false" outlineLevel="0" collapsed="false">
      <c r="A176" s="16" t="s">
        <v>3474</v>
      </c>
      <c r="B176" s="16" t="s">
        <v>70</v>
      </c>
      <c r="C176" s="16" t="s">
        <v>3306</v>
      </c>
      <c r="D176" s="22" t="n">
        <v>46109</v>
      </c>
      <c r="E176" s="16" t="s">
        <v>633</v>
      </c>
    </row>
    <row r="177" customFormat="false" ht="15" hidden="false" customHeight="false" outlineLevel="0" collapsed="false">
      <c r="A177" s="16" t="s">
        <v>3475</v>
      </c>
      <c r="B177" s="16" t="s">
        <v>70</v>
      </c>
      <c r="C177" s="16" t="s">
        <v>3310</v>
      </c>
      <c r="D177" s="22" t="n">
        <v>45969</v>
      </c>
      <c r="E177" s="16" t="s">
        <v>633</v>
      </c>
    </row>
    <row r="178" customFormat="false" ht="15" hidden="false" customHeight="false" outlineLevel="0" collapsed="false">
      <c r="A178" s="16" t="s">
        <v>3476</v>
      </c>
      <c r="B178" s="16" t="s">
        <v>70</v>
      </c>
      <c r="C178" s="16" t="s">
        <v>3300</v>
      </c>
      <c r="D178" s="22" t="n">
        <v>46229</v>
      </c>
      <c r="E178" s="16" t="s">
        <v>633</v>
      </c>
    </row>
    <row r="179" customFormat="false" ht="15" hidden="false" customHeight="false" outlineLevel="0" collapsed="false">
      <c r="A179" s="16" t="s">
        <v>3477</v>
      </c>
      <c r="B179" s="16" t="s">
        <v>70</v>
      </c>
      <c r="C179" s="16" t="s">
        <v>3300</v>
      </c>
      <c r="D179" s="22" t="n">
        <v>46275</v>
      </c>
      <c r="E179" s="16" t="s">
        <v>633</v>
      </c>
    </row>
    <row r="180" customFormat="false" ht="15" hidden="false" customHeight="false" outlineLevel="0" collapsed="false">
      <c r="A180" s="16" t="s">
        <v>3478</v>
      </c>
      <c r="B180" s="16" t="s">
        <v>70</v>
      </c>
      <c r="C180" s="16" t="s">
        <v>3298</v>
      </c>
      <c r="D180" s="22" t="n">
        <v>46313</v>
      </c>
      <c r="E180" s="16" t="s">
        <v>633</v>
      </c>
    </row>
    <row r="181" customFormat="false" ht="15" hidden="false" customHeight="false" outlineLevel="0" collapsed="false">
      <c r="A181" s="16" t="s">
        <v>3479</v>
      </c>
      <c r="B181" s="16" t="s">
        <v>70</v>
      </c>
      <c r="C181" s="16" t="s">
        <v>3306</v>
      </c>
      <c r="D181" s="22" t="n">
        <v>46248</v>
      </c>
      <c r="E181" s="16" t="s">
        <v>633</v>
      </c>
    </row>
    <row r="182" customFormat="false" ht="15" hidden="false" customHeight="false" outlineLevel="0" collapsed="false">
      <c r="A182" s="16" t="s">
        <v>3480</v>
      </c>
      <c r="B182" s="16" t="s">
        <v>70</v>
      </c>
      <c r="C182" s="16" t="s">
        <v>3306</v>
      </c>
      <c r="D182" s="22" t="n">
        <v>46265</v>
      </c>
      <c r="E182" s="16" t="s">
        <v>633</v>
      </c>
    </row>
    <row r="183" customFormat="false" ht="15" hidden="false" customHeight="false" outlineLevel="0" collapsed="false">
      <c r="A183" s="16" t="s">
        <v>3481</v>
      </c>
      <c r="B183" s="16" t="s">
        <v>70</v>
      </c>
      <c r="C183" s="16" t="s">
        <v>3306</v>
      </c>
      <c r="D183" s="22" t="n">
        <v>45948</v>
      </c>
      <c r="E183" s="16" t="s">
        <v>633</v>
      </c>
    </row>
    <row r="184" customFormat="false" ht="15" hidden="false" customHeight="false" outlineLevel="0" collapsed="false">
      <c r="A184" s="16" t="s">
        <v>3482</v>
      </c>
      <c r="B184" s="16" t="s">
        <v>70</v>
      </c>
      <c r="C184" s="16" t="s">
        <v>3306</v>
      </c>
      <c r="D184" s="22" t="n">
        <v>46220</v>
      </c>
      <c r="E184" s="16" t="s">
        <v>633</v>
      </c>
    </row>
    <row r="185" customFormat="false" ht="15" hidden="false" customHeight="false" outlineLevel="0" collapsed="false">
      <c r="A185" s="16" t="s">
        <v>3483</v>
      </c>
      <c r="B185" s="16" t="s">
        <v>70</v>
      </c>
      <c r="C185" s="16" t="s">
        <v>3306</v>
      </c>
      <c r="D185" s="22" t="n">
        <v>45983</v>
      </c>
      <c r="E185" s="16" t="s">
        <v>633</v>
      </c>
    </row>
    <row r="186" customFormat="false" ht="15" hidden="false" customHeight="false" outlineLevel="0" collapsed="false">
      <c r="A186" s="16" t="s">
        <v>3484</v>
      </c>
      <c r="B186" s="16" t="s">
        <v>70</v>
      </c>
      <c r="C186" s="16" t="s">
        <v>3306</v>
      </c>
      <c r="D186" s="22" t="n">
        <v>46260</v>
      </c>
      <c r="E186" s="16" t="s">
        <v>633</v>
      </c>
    </row>
    <row r="187" customFormat="false" ht="15" hidden="false" customHeight="false" outlineLevel="0" collapsed="false">
      <c r="A187" s="16" t="s">
        <v>3485</v>
      </c>
      <c r="B187" s="16" t="s">
        <v>70</v>
      </c>
      <c r="C187" s="16" t="s">
        <v>3306</v>
      </c>
      <c r="D187" s="22" t="n">
        <v>46206</v>
      </c>
      <c r="E187" s="16" t="s">
        <v>633</v>
      </c>
    </row>
    <row r="188" customFormat="false" ht="15" hidden="false" customHeight="false" outlineLevel="0" collapsed="false">
      <c r="A188" s="16" t="s">
        <v>3486</v>
      </c>
      <c r="B188" s="16" t="s">
        <v>70</v>
      </c>
      <c r="C188" s="16" t="s">
        <v>3302</v>
      </c>
      <c r="D188" s="22" t="n">
        <v>45949</v>
      </c>
      <c r="E188" s="16" t="s">
        <v>633</v>
      </c>
    </row>
    <row r="189" customFormat="false" ht="15" hidden="false" customHeight="false" outlineLevel="0" collapsed="false">
      <c r="A189" s="16" t="s">
        <v>3487</v>
      </c>
      <c r="B189" s="16" t="s">
        <v>70</v>
      </c>
      <c r="C189" s="16" t="s">
        <v>3302</v>
      </c>
      <c r="D189" s="22" t="n">
        <v>45936</v>
      </c>
      <c r="E189" s="16" t="s">
        <v>633</v>
      </c>
    </row>
    <row r="190" customFormat="false" ht="15" hidden="false" customHeight="false" outlineLevel="0" collapsed="false">
      <c r="A190" s="16" t="s">
        <v>3488</v>
      </c>
      <c r="B190" s="16" t="s">
        <v>70</v>
      </c>
      <c r="C190" s="16" t="s">
        <v>3310</v>
      </c>
      <c r="D190" s="22" t="n">
        <v>45988</v>
      </c>
      <c r="E190" s="16" t="s">
        <v>633</v>
      </c>
    </row>
    <row r="191" customFormat="false" ht="15" hidden="false" customHeight="false" outlineLevel="0" collapsed="false">
      <c r="A191" s="16" t="s">
        <v>3489</v>
      </c>
      <c r="B191" s="16" t="s">
        <v>71</v>
      </c>
      <c r="C191" s="16" t="s">
        <v>3330</v>
      </c>
      <c r="D191" s="22" t="n">
        <v>46184</v>
      </c>
      <c r="E191" s="16" t="s">
        <v>691</v>
      </c>
    </row>
    <row r="192" customFormat="false" ht="15" hidden="false" customHeight="false" outlineLevel="0" collapsed="false">
      <c r="A192" s="16" t="s">
        <v>3490</v>
      </c>
      <c r="B192" s="16" t="s">
        <v>71</v>
      </c>
      <c r="C192" s="16" t="s">
        <v>3302</v>
      </c>
      <c r="D192" s="22" t="n">
        <v>46141</v>
      </c>
      <c r="E192" s="16" t="s">
        <v>691</v>
      </c>
    </row>
    <row r="193" customFormat="false" ht="15" hidden="false" customHeight="false" outlineLevel="0" collapsed="false">
      <c r="A193" s="16" t="s">
        <v>3491</v>
      </c>
      <c r="B193" s="16" t="s">
        <v>71</v>
      </c>
      <c r="C193" s="16" t="s">
        <v>3310</v>
      </c>
      <c r="D193" s="22" t="n">
        <v>46196</v>
      </c>
      <c r="E193" s="16" t="s">
        <v>691</v>
      </c>
    </row>
    <row r="194" customFormat="false" ht="15" hidden="false" customHeight="false" outlineLevel="0" collapsed="false">
      <c r="A194" s="16" t="s">
        <v>3492</v>
      </c>
      <c r="B194" s="16" t="s">
        <v>71</v>
      </c>
      <c r="C194" s="16" t="s">
        <v>3302</v>
      </c>
      <c r="D194" s="22" t="n">
        <v>46055</v>
      </c>
      <c r="E194" s="16" t="s">
        <v>691</v>
      </c>
    </row>
    <row r="195" customFormat="false" ht="15" hidden="false" customHeight="false" outlineLevel="0" collapsed="false">
      <c r="A195" s="16" t="s">
        <v>3493</v>
      </c>
      <c r="B195" s="16" t="s">
        <v>71</v>
      </c>
      <c r="C195" s="16" t="s">
        <v>3300</v>
      </c>
      <c r="D195" s="22" t="n">
        <v>46116</v>
      </c>
      <c r="E195" s="16" t="s">
        <v>691</v>
      </c>
    </row>
    <row r="196" customFormat="false" ht="15" hidden="false" customHeight="false" outlineLevel="0" collapsed="false">
      <c r="A196" s="16" t="s">
        <v>3494</v>
      </c>
      <c r="B196" s="16" t="s">
        <v>71</v>
      </c>
      <c r="C196" s="16" t="s">
        <v>3302</v>
      </c>
      <c r="D196" s="22" t="n">
        <v>45957</v>
      </c>
      <c r="E196" s="16" t="s">
        <v>691</v>
      </c>
    </row>
    <row r="197" customFormat="false" ht="15" hidden="false" customHeight="false" outlineLevel="0" collapsed="false">
      <c r="A197" s="16" t="s">
        <v>3495</v>
      </c>
      <c r="B197" s="16" t="s">
        <v>71</v>
      </c>
      <c r="C197" s="16" t="s">
        <v>3302</v>
      </c>
      <c r="D197" s="22" t="n">
        <v>46199</v>
      </c>
      <c r="E197" s="16" t="s">
        <v>691</v>
      </c>
    </row>
    <row r="198" customFormat="false" ht="15" hidden="false" customHeight="false" outlineLevel="0" collapsed="false">
      <c r="A198" s="16" t="s">
        <v>3496</v>
      </c>
      <c r="B198" s="16" t="s">
        <v>71</v>
      </c>
      <c r="C198" s="16" t="s">
        <v>3300</v>
      </c>
      <c r="D198" s="22" t="n">
        <v>45984</v>
      </c>
      <c r="E198" s="16" t="s">
        <v>691</v>
      </c>
    </row>
    <row r="199" customFormat="false" ht="15" hidden="false" customHeight="false" outlineLevel="0" collapsed="false">
      <c r="A199" s="16" t="s">
        <v>3497</v>
      </c>
      <c r="B199" s="16" t="s">
        <v>71</v>
      </c>
      <c r="C199" s="16" t="s">
        <v>3306</v>
      </c>
      <c r="D199" s="22" t="n">
        <v>46225</v>
      </c>
      <c r="E199" s="16" t="s">
        <v>691</v>
      </c>
    </row>
    <row r="200" customFormat="false" ht="15" hidden="false" customHeight="false" outlineLevel="0" collapsed="false">
      <c r="A200" s="16" t="s">
        <v>3498</v>
      </c>
      <c r="B200" s="16" t="s">
        <v>71</v>
      </c>
      <c r="C200" s="16" t="s">
        <v>3300</v>
      </c>
      <c r="D200" s="22" t="n">
        <v>46096</v>
      </c>
      <c r="E200" s="16" t="s">
        <v>691</v>
      </c>
    </row>
    <row r="201" customFormat="false" ht="15" hidden="false" customHeight="false" outlineLevel="0" collapsed="false">
      <c r="A201" s="16" t="s">
        <v>3499</v>
      </c>
      <c r="B201" s="16" t="s">
        <v>71</v>
      </c>
      <c r="C201" s="16" t="s">
        <v>3306</v>
      </c>
      <c r="D201" s="22" t="n">
        <v>45971</v>
      </c>
      <c r="E201" s="16" t="s">
        <v>691</v>
      </c>
    </row>
    <row r="202" customFormat="false" ht="15" hidden="false" customHeight="false" outlineLevel="0" collapsed="false">
      <c r="A202" s="16" t="s">
        <v>3500</v>
      </c>
      <c r="B202" s="16" t="s">
        <v>71</v>
      </c>
      <c r="C202" s="16" t="s">
        <v>3330</v>
      </c>
      <c r="D202" s="22" t="n">
        <v>46052</v>
      </c>
      <c r="E202" s="16" t="s">
        <v>691</v>
      </c>
    </row>
    <row r="203" customFormat="false" ht="15" hidden="false" customHeight="false" outlineLevel="0" collapsed="false">
      <c r="A203" s="16" t="s">
        <v>3501</v>
      </c>
      <c r="B203" s="16" t="s">
        <v>71</v>
      </c>
      <c r="C203" s="16" t="s">
        <v>3306</v>
      </c>
      <c r="D203" s="22" t="n">
        <v>45919</v>
      </c>
      <c r="E203" s="16" t="s">
        <v>691</v>
      </c>
    </row>
    <row r="204" customFormat="false" ht="15" hidden="false" customHeight="false" outlineLevel="0" collapsed="false">
      <c r="A204" s="16" t="s">
        <v>3502</v>
      </c>
      <c r="B204" s="16" t="s">
        <v>72</v>
      </c>
      <c r="C204" s="16" t="s">
        <v>3302</v>
      </c>
      <c r="D204" s="22" t="n">
        <v>46074</v>
      </c>
      <c r="E204" s="16" t="s">
        <v>654</v>
      </c>
    </row>
    <row r="205" customFormat="false" ht="15" hidden="false" customHeight="false" outlineLevel="0" collapsed="false">
      <c r="A205" s="16" t="s">
        <v>3503</v>
      </c>
      <c r="B205" s="16" t="s">
        <v>72</v>
      </c>
      <c r="C205" s="16" t="s">
        <v>3302</v>
      </c>
      <c r="D205" s="22" t="n">
        <v>46001</v>
      </c>
      <c r="E205" s="16" t="s">
        <v>654</v>
      </c>
    </row>
    <row r="206" customFormat="false" ht="15" hidden="false" customHeight="false" outlineLevel="0" collapsed="false">
      <c r="A206" s="16" t="s">
        <v>3504</v>
      </c>
      <c r="B206" s="16" t="s">
        <v>72</v>
      </c>
      <c r="C206" s="16" t="s">
        <v>3310</v>
      </c>
      <c r="D206" s="22" t="n">
        <v>46161</v>
      </c>
      <c r="E206" s="16" t="s">
        <v>654</v>
      </c>
    </row>
    <row r="207" customFormat="false" ht="15" hidden="false" customHeight="false" outlineLevel="0" collapsed="false">
      <c r="A207" s="16" t="s">
        <v>3505</v>
      </c>
      <c r="B207" s="16" t="s">
        <v>72</v>
      </c>
      <c r="C207" s="16" t="s">
        <v>3300</v>
      </c>
      <c r="D207" s="22" t="n">
        <v>46200</v>
      </c>
      <c r="E207" s="16" t="s">
        <v>654</v>
      </c>
    </row>
    <row r="208" customFormat="false" ht="15" hidden="false" customHeight="false" outlineLevel="0" collapsed="false">
      <c r="A208" s="16" t="s">
        <v>3506</v>
      </c>
      <c r="B208" s="16" t="s">
        <v>72</v>
      </c>
      <c r="C208" s="16" t="s">
        <v>3302</v>
      </c>
      <c r="D208" s="22" t="n">
        <v>46072</v>
      </c>
      <c r="E208" s="16" t="s">
        <v>654</v>
      </c>
    </row>
    <row r="209" customFormat="false" ht="15" hidden="false" customHeight="false" outlineLevel="0" collapsed="false">
      <c r="A209" s="16" t="s">
        <v>3507</v>
      </c>
      <c r="B209" s="16" t="s">
        <v>72</v>
      </c>
      <c r="C209" s="16" t="s">
        <v>3306</v>
      </c>
      <c r="D209" s="22" t="n">
        <v>46180</v>
      </c>
      <c r="E209" s="16" t="s">
        <v>654</v>
      </c>
    </row>
    <row r="210" customFormat="false" ht="15" hidden="false" customHeight="false" outlineLevel="0" collapsed="false">
      <c r="A210" s="16" t="s">
        <v>3508</v>
      </c>
      <c r="B210" s="16" t="s">
        <v>72</v>
      </c>
      <c r="C210" s="16" t="s">
        <v>3302</v>
      </c>
      <c r="D210" s="22" t="n">
        <v>46231</v>
      </c>
      <c r="E210" s="16" t="s">
        <v>654</v>
      </c>
    </row>
    <row r="211" customFormat="false" ht="15" hidden="false" customHeight="false" outlineLevel="0" collapsed="false">
      <c r="A211" s="16" t="s">
        <v>3509</v>
      </c>
      <c r="B211" s="16" t="s">
        <v>72</v>
      </c>
      <c r="C211" s="16" t="s">
        <v>3302</v>
      </c>
      <c r="D211" s="22" t="n">
        <v>45982</v>
      </c>
      <c r="E211" s="16" t="s">
        <v>654</v>
      </c>
    </row>
    <row r="212" customFormat="false" ht="15" hidden="false" customHeight="false" outlineLevel="0" collapsed="false">
      <c r="A212" s="16" t="s">
        <v>3510</v>
      </c>
      <c r="B212" s="16" t="s">
        <v>72</v>
      </c>
      <c r="C212" s="16" t="s">
        <v>3306</v>
      </c>
      <c r="D212" s="22" t="n">
        <v>46097</v>
      </c>
      <c r="E212" s="16" t="s">
        <v>654</v>
      </c>
    </row>
    <row r="213" customFormat="false" ht="15" hidden="false" customHeight="false" outlineLevel="0" collapsed="false">
      <c r="A213" s="16" t="s">
        <v>3511</v>
      </c>
      <c r="B213" s="16" t="s">
        <v>72</v>
      </c>
      <c r="C213" s="16" t="s">
        <v>3300</v>
      </c>
      <c r="D213" s="22" t="n">
        <v>46128</v>
      </c>
      <c r="E213" s="16" t="s">
        <v>654</v>
      </c>
    </row>
    <row r="214" customFormat="false" ht="15" hidden="false" customHeight="false" outlineLevel="0" collapsed="false">
      <c r="A214" s="16" t="s">
        <v>3512</v>
      </c>
      <c r="B214" s="16" t="s">
        <v>72</v>
      </c>
      <c r="C214" s="16" t="s">
        <v>3302</v>
      </c>
      <c r="D214" s="22" t="n">
        <v>46200</v>
      </c>
      <c r="E214" s="16" t="s">
        <v>654</v>
      </c>
    </row>
    <row r="215" customFormat="false" ht="15" hidden="false" customHeight="false" outlineLevel="0" collapsed="false">
      <c r="A215" s="16" t="s">
        <v>3513</v>
      </c>
      <c r="B215" s="16" t="s">
        <v>72</v>
      </c>
      <c r="C215" s="16" t="s">
        <v>3306</v>
      </c>
      <c r="D215" s="22" t="n">
        <v>46108</v>
      </c>
      <c r="E215" s="16" t="s">
        <v>654</v>
      </c>
    </row>
    <row r="216" customFormat="false" ht="15" hidden="false" customHeight="false" outlineLevel="0" collapsed="false">
      <c r="A216" s="16" t="s">
        <v>3514</v>
      </c>
      <c r="B216" s="16" t="s">
        <v>72</v>
      </c>
      <c r="C216" s="16" t="s">
        <v>3300</v>
      </c>
      <c r="D216" s="22" t="n">
        <v>46196</v>
      </c>
      <c r="E216" s="16" t="s">
        <v>654</v>
      </c>
    </row>
    <row r="217" customFormat="false" ht="15" hidden="false" customHeight="false" outlineLevel="0" collapsed="false">
      <c r="A217" s="16" t="s">
        <v>3515</v>
      </c>
      <c r="B217" s="16" t="s">
        <v>72</v>
      </c>
      <c r="C217" s="16" t="s">
        <v>3330</v>
      </c>
      <c r="D217" s="22" t="n">
        <v>46165</v>
      </c>
      <c r="E217" s="16" t="s">
        <v>654</v>
      </c>
    </row>
    <row r="218" customFormat="false" ht="15" hidden="false" customHeight="false" outlineLevel="0" collapsed="false">
      <c r="A218" s="16" t="s">
        <v>3516</v>
      </c>
      <c r="B218" s="16" t="s">
        <v>72</v>
      </c>
      <c r="C218" s="16" t="s">
        <v>3302</v>
      </c>
      <c r="D218" s="22" t="n">
        <v>46166</v>
      </c>
      <c r="E218" s="16" t="s">
        <v>654</v>
      </c>
    </row>
    <row r="219" customFormat="false" ht="15" hidden="false" customHeight="false" outlineLevel="0" collapsed="false">
      <c r="A219" s="16" t="s">
        <v>3517</v>
      </c>
      <c r="B219" s="16" t="s">
        <v>73</v>
      </c>
      <c r="C219" s="16" t="s">
        <v>3310</v>
      </c>
      <c r="D219" s="22" t="n">
        <v>45981</v>
      </c>
      <c r="E219" s="16" t="s">
        <v>640</v>
      </c>
    </row>
    <row r="220" customFormat="false" ht="15" hidden="false" customHeight="false" outlineLevel="0" collapsed="false">
      <c r="A220" s="16" t="s">
        <v>3518</v>
      </c>
      <c r="B220" s="16" t="s">
        <v>73</v>
      </c>
      <c r="C220" s="16" t="s">
        <v>3298</v>
      </c>
      <c r="D220" s="22" t="n">
        <v>46197</v>
      </c>
      <c r="E220" s="16" t="s">
        <v>640</v>
      </c>
    </row>
    <row r="221" customFormat="false" ht="15" hidden="false" customHeight="false" outlineLevel="0" collapsed="false">
      <c r="A221" s="16" t="s">
        <v>3519</v>
      </c>
      <c r="B221" s="16" t="s">
        <v>73</v>
      </c>
      <c r="C221" s="16" t="s">
        <v>3300</v>
      </c>
      <c r="D221" s="22" t="n">
        <v>46060</v>
      </c>
      <c r="E221" s="16" t="s">
        <v>640</v>
      </c>
    </row>
    <row r="222" customFormat="false" ht="15" hidden="false" customHeight="false" outlineLevel="0" collapsed="false">
      <c r="A222" s="16" t="s">
        <v>3520</v>
      </c>
      <c r="B222" s="16" t="s">
        <v>73</v>
      </c>
      <c r="C222" s="16" t="s">
        <v>3302</v>
      </c>
      <c r="D222" s="22" t="n">
        <v>46266</v>
      </c>
      <c r="E222" s="16" t="s">
        <v>640</v>
      </c>
    </row>
    <row r="223" customFormat="false" ht="15" hidden="false" customHeight="false" outlineLevel="0" collapsed="false">
      <c r="A223" s="16" t="s">
        <v>3521</v>
      </c>
      <c r="B223" s="16" t="s">
        <v>73</v>
      </c>
      <c r="C223" s="16" t="s">
        <v>3306</v>
      </c>
      <c r="D223" s="22" t="n">
        <v>46127</v>
      </c>
      <c r="E223" s="16" t="s">
        <v>640</v>
      </c>
    </row>
    <row r="224" customFormat="false" ht="15" hidden="false" customHeight="false" outlineLevel="0" collapsed="false">
      <c r="A224" s="16" t="s">
        <v>3522</v>
      </c>
      <c r="B224" s="16" t="s">
        <v>73</v>
      </c>
      <c r="C224" s="16" t="s">
        <v>3302</v>
      </c>
      <c r="D224" s="22" t="n">
        <v>46107</v>
      </c>
      <c r="E224" s="16" t="s">
        <v>640</v>
      </c>
    </row>
    <row r="225" customFormat="false" ht="15" hidden="false" customHeight="false" outlineLevel="0" collapsed="false">
      <c r="A225" s="16" t="s">
        <v>3523</v>
      </c>
      <c r="B225" s="16" t="s">
        <v>73</v>
      </c>
      <c r="C225" s="16" t="s">
        <v>3306</v>
      </c>
      <c r="D225" s="22" t="n">
        <v>46112</v>
      </c>
      <c r="E225" s="16" t="s">
        <v>640</v>
      </c>
    </row>
    <row r="226" customFormat="false" ht="15" hidden="false" customHeight="false" outlineLevel="0" collapsed="false">
      <c r="A226" s="16" t="s">
        <v>3524</v>
      </c>
      <c r="B226" s="16" t="s">
        <v>73</v>
      </c>
      <c r="C226" s="16" t="s">
        <v>3330</v>
      </c>
      <c r="D226" s="22" t="n">
        <v>45925</v>
      </c>
      <c r="E226" s="16" t="s">
        <v>640</v>
      </c>
    </row>
    <row r="227" customFormat="false" ht="15" hidden="false" customHeight="false" outlineLevel="0" collapsed="false">
      <c r="A227" s="16" t="s">
        <v>3525</v>
      </c>
      <c r="B227" s="16" t="s">
        <v>73</v>
      </c>
      <c r="C227" s="16" t="s">
        <v>3302</v>
      </c>
      <c r="D227" s="22" t="n">
        <v>45936</v>
      </c>
      <c r="E227" s="16" t="s">
        <v>640</v>
      </c>
    </row>
    <row r="228" customFormat="false" ht="15" hidden="false" customHeight="false" outlineLevel="0" collapsed="false">
      <c r="A228" s="16" t="s">
        <v>3526</v>
      </c>
      <c r="B228" s="16" t="s">
        <v>73</v>
      </c>
      <c r="C228" s="16" t="s">
        <v>3306</v>
      </c>
      <c r="D228" s="22" t="n">
        <v>46289</v>
      </c>
      <c r="E228" s="16" t="s">
        <v>640</v>
      </c>
    </row>
    <row r="229" customFormat="false" ht="15" hidden="false" customHeight="false" outlineLevel="0" collapsed="false">
      <c r="A229" s="16" t="s">
        <v>3527</v>
      </c>
      <c r="B229" s="16" t="s">
        <v>73</v>
      </c>
      <c r="C229" s="16" t="s">
        <v>3302</v>
      </c>
      <c r="D229" s="22" t="n">
        <v>46226</v>
      </c>
      <c r="E229" s="16" t="s">
        <v>640</v>
      </c>
    </row>
    <row r="230" customFormat="false" ht="15" hidden="false" customHeight="false" outlineLevel="0" collapsed="false">
      <c r="A230" s="16" t="s">
        <v>3528</v>
      </c>
      <c r="B230" s="16" t="s">
        <v>73</v>
      </c>
      <c r="C230" s="16" t="s">
        <v>3330</v>
      </c>
      <c r="D230" s="22" t="n">
        <v>46275</v>
      </c>
      <c r="E230" s="16" t="s">
        <v>640</v>
      </c>
    </row>
    <row r="231" customFormat="false" ht="15" hidden="false" customHeight="false" outlineLevel="0" collapsed="false">
      <c r="A231" s="16" t="s">
        <v>3529</v>
      </c>
      <c r="B231" s="16" t="s">
        <v>73</v>
      </c>
      <c r="C231" s="16" t="s">
        <v>3300</v>
      </c>
      <c r="D231" s="22" t="n">
        <v>46012</v>
      </c>
      <c r="E231" s="16" t="s">
        <v>640</v>
      </c>
    </row>
    <row r="232" customFormat="false" ht="15" hidden="false" customHeight="false" outlineLevel="0" collapsed="false">
      <c r="A232" s="16" t="s">
        <v>3530</v>
      </c>
      <c r="B232" s="16" t="s">
        <v>73</v>
      </c>
      <c r="C232" s="16" t="s">
        <v>3330</v>
      </c>
      <c r="D232" s="22" t="n">
        <v>45991</v>
      </c>
      <c r="E232" s="16" t="s">
        <v>640</v>
      </c>
    </row>
    <row r="233" customFormat="false" ht="15" hidden="false" customHeight="false" outlineLevel="0" collapsed="false">
      <c r="A233" s="16" t="s">
        <v>3531</v>
      </c>
      <c r="B233" s="16" t="s">
        <v>74</v>
      </c>
      <c r="C233" s="16" t="s">
        <v>3330</v>
      </c>
      <c r="D233" s="22" t="n">
        <v>45925</v>
      </c>
      <c r="E233" s="16" t="s">
        <v>596</v>
      </c>
    </row>
    <row r="234" customFormat="false" ht="15" hidden="false" customHeight="false" outlineLevel="0" collapsed="false">
      <c r="A234" s="16" t="s">
        <v>3532</v>
      </c>
      <c r="B234" s="16" t="s">
        <v>74</v>
      </c>
      <c r="C234" s="16" t="s">
        <v>3310</v>
      </c>
      <c r="D234" s="22" t="n">
        <v>46144</v>
      </c>
      <c r="E234" s="16" t="s">
        <v>596</v>
      </c>
    </row>
    <row r="235" customFormat="false" ht="15" hidden="false" customHeight="false" outlineLevel="0" collapsed="false">
      <c r="A235" s="16" t="s">
        <v>3533</v>
      </c>
      <c r="B235" s="16" t="s">
        <v>74</v>
      </c>
      <c r="C235" s="16" t="s">
        <v>3302</v>
      </c>
      <c r="D235" s="22" t="n">
        <v>46006</v>
      </c>
      <c r="E235" s="16" t="s">
        <v>596</v>
      </c>
    </row>
    <row r="236" customFormat="false" ht="15" hidden="false" customHeight="false" outlineLevel="0" collapsed="false">
      <c r="A236" s="16" t="s">
        <v>3534</v>
      </c>
      <c r="B236" s="16" t="s">
        <v>74</v>
      </c>
      <c r="C236" s="16" t="s">
        <v>3330</v>
      </c>
      <c r="D236" s="22" t="n">
        <v>46241</v>
      </c>
      <c r="E236" s="16" t="s">
        <v>596</v>
      </c>
    </row>
    <row r="237" customFormat="false" ht="15" hidden="false" customHeight="false" outlineLevel="0" collapsed="false">
      <c r="A237" s="16" t="s">
        <v>3535</v>
      </c>
      <c r="B237" s="16" t="s">
        <v>74</v>
      </c>
      <c r="C237" s="16" t="s">
        <v>3302</v>
      </c>
      <c r="D237" s="22" t="n">
        <v>46207</v>
      </c>
      <c r="E237" s="16" t="s">
        <v>596</v>
      </c>
    </row>
    <row r="238" customFormat="false" ht="15" hidden="false" customHeight="false" outlineLevel="0" collapsed="false">
      <c r="A238" s="16" t="s">
        <v>3536</v>
      </c>
      <c r="B238" s="16" t="s">
        <v>74</v>
      </c>
      <c r="C238" s="16" t="s">
        <v>3306</v>
      </c>
      <c r="D238" s="22" t="n">
        <v>46070</v>
      </c>
      <c r="E238" s="16" t="s">
        <v>596</v>
      </c>
    </row>
    <row r="239" customFormat="false" ht="15" hidden="false" customHeight="false" outlineLevel="0" collapsed="false">
      <c r="A239" s="16" t="s">
        <v>3537</v>
      </c>
      <c r="B239" s="16" t="s">
        <v>74</v>
      </c>
      <c r="C239" s="16" t="s">
        <v>3330</v>
      </c>
      <c r="D239" s="22" t="n">
        <v>46211</v>
      </c>
      <c r="E239" s="16" t="s">
        <v>596</v>
      </c>
    </row>
    <row r="240" customFormat="false" ht="15" hidden="false" customHeight="false" outlineLevel="0" collapsed="false">
      <c r="A240" s="16" t="s">
        <v>3538</v>
      </c>
      <c r="B240" s="16" t="s">
        <v>74</v>
      </c>
      <c r="C240" s="16" t="s">
        <v>3300</v>
      </c>
      <c r="D240" s="22" t="n">
        <v>46200</v>
      </c>
      <c r="E240" s="16" t="s">
        <v>596</v>
      </c>
    </row>
    <row r="241" customFormat="false" ht="15" hidden="false" customHeight="false" outlineLevel="0" collapsed="false">
      <c r="A241" s="16" t="s">
        <v>3539</v>
      </c>
      <c r="B241" s="16" t="s">
        <v>74</v>
      </c>
      <c r="C241" s="16" t="s">
        <v>3300</v>
      </c>
      <c r="D241" s="22" t="n">
        <v>46023</v>
      </c>
      <c r="E241" s="16" t="s">
        <v>596</v>
      </c>
    </row>
    <row r="242" customFormat="false" ht="15" hidden="false" customHeight="false" outlineLevel="0" collapsed="false">
      <c r="A242" s="16" t="s">
        <v>3540</v>
      </c>
      <c r="B242" s="16" t="s">
        <v>74</v>
      </c>
      <c r="C242" s="16" t="s">
        <v>3310</v>
      </c>
      <c r="D242" s="22" t="n">
        <v>46252</v>
      </c>
      <c r="E242" s="16" t="s">
        <v>596</v>
      </c>
    </row>
    <row r="243" customFormat="false" ht="15" hidden="false" customHeight="false" outlineLevel="0" collapsed="false">
      <c r="A243" s="16" t="s">
        <v>3541</v>
      </c>
      <c r="B243" s="16" t="s">
        <v>74</v>
      </c>
      <c r="C243" s="16" t="s">
        <v>3298</v>
      </c>
      <c r="D243" s="22" t="n">
        <v>46090</v>
      </c>
      <c r="E243" s="16" t="s">
        <v>596</v>
      </c>
    </row>
    <row r="244" customFormat="false" ht="15" hidden="false" customHeight="false" outlineLevel="0" collapsed="false">
      <c r="A244" s="16" t="s">
        <v>3542</v>
      </c>
      <c r="B244" s="16" t="s">
        <v>74</v>
      </c>
      <c r="C244" s="16" t="s">
        <v>3302</v>
      </c>
      <c r="D244" s="22" t="n">
        <v>45982</v>
      </c>
      <c r="E244" s="16" t="s">
        <v>596</v>
      </c>
    </row>
    <row r="245" customFormat="false" ht="15" hidden="false" customHeight="false" outlineLevel="0" collapsed="false">
      <c r="A245" s="16" t="s">
        <v>3543</v>
      </c>
      <c r="B245" s="16" t="s">
        <v>74</v>
      </c>
      <c r="C245" s="16" t="s">
        <v>3310</v>
      </c>
      <c r="D245" s="22" t="n">
        <v>45978</v>
      </c>
      <c r="E245" s="16" t="s">
        <v>596</v>
      </c>
    </row>
    <row r="246" customFormat="false" ht="15" hidden="false" customHeight="false" outlineLevel="0" collapsed="false">
      <c r="A246" s="16" t="s">
        <v>3544</v>
      </c>
      <c r="B246" s="16" t="s">
        <v>74</v>
      </c>
      <c r="C246" s="16" t="s">
        <v>3302</v>
      </c>
      <c r="D246" s="22" t="n">
        <v>46171</v>
      </c>
      <c r="E246" s="16" t="s">
        <v>596</v>
      </c>
    </row>
    <row r="247" customFormat="false" ht="15" hidden="false" customHeight="false" outlineLevel="0" collapsed="false">
      <c r="A247" s="16" t="s">
        <v>3545</v>
      </c>
      <c r="B247" s="16" t="s">
        <v>74</v>
      </c>
      <c r="C247" s="16" t="s">
        <v>3306</v>
      </c>
      <c r="D247" s="22" t="n">
        <v>46031</v>
      </c>
      <c r="E247" s="16" t="s">
        <v>596</v>
      </c>
    </row>
    <row r="248" customFormat="false" ht="15" hidden="false" customHeight="false" outlineLevel="0" collapsed="false">
      <c r="A248" s="16" t="s">
        <v>3546</v>
      </c>
      <c r="B248" s="16" t="s">
        <v>75</v>
      </c>
      <c r="C248" s="16" t="s">
        <v>3330</v>
      </c>
      <c r="D248" s="22" t="n">
        <v>46061</v>
      </c>
      <c r="E248" s="16" t="s">
        <v>704</v>
      </c>
    </row>
    <row r="249" customFormat="false" ht="15" hidden="false" customHeight="false" outlineLevel="0" collapsed="false">
      <c r="A249" s="16" t="s">
        <v>3547</v>
      </c>
      <c r="B249" s="16" t="s">
        <v>75</v>
      </c>
      <c r="C249" s="16" t="s">
        <v>3310</v>
      </c>
      <c r="D249" s="22" t="n">
        <v>46204</v>
      </c>
      <c r="E249" s="16" t="s">
        <v>704</v>
      </c>
    </row>
    <row r="250" customFormat="false" ht="15" hidden="false" customHeight="false" outlineLevel="0" collapsed="false">
      <c r="A250" s="16" t="s">
        <v>3548</v>
      </c>
      <c r="B250" s="16" t="s">
        <v>75</v>
      </c>
      <c r="C250" s="16" t="s">
        <v>3306</v>
      </c>
      <c r="D250" s="22" t="n">
        <v>46234</v>
      </c>
      <c r="E250" s="16" t="s">
        <v>704</v>
      </c>
    </row>
    <row r="251" customFormat="false" ht="15" hidden="false" customHeight="false" outlineLevel="0" collapsed="false">
      <c r="A251" s="16" t="s">
        <v>3549</v>
      </c>
      <c r="B251" s="16" t="s">
        <v>75</v>
      </c>
      <c r="C251" s="16" t="s">
        <v>3306</v>
      </c>
      <c r="D251" s="22" t="n">
        <v>46275</v>
      </c>
      <c r="E251" s="16" t="s">
        <v>704</v>
      </c>
    </row>
    <row r="252" customFormat="false" ht="15" hidden="false" customHeight="false" outlineLevel="0" collapsed="false">
      <c r="A252" s="16" t="s">
        <v>3550</v>
      </c>
      <c r="B252" s="16" t="s">
        <v>75</v>
      </c>
      <c r="C252" s="16" t="s">
        <v>3300</v>
      </c>
      <c r="D252" s="22" t="n">
        <v>46222</v>
      </c>
      <c r="E252" s="16" t="s">
        <v>704</v>
      </c>
    </row>
    <row r="253" customFormat="false" ht="15" hidden="false" customHeight="false" outlineLevel="0" collapsed="false">
      <c r="A253" s="16" t="s">
        <v>3551</v>
      </c>
      <c r="B253" s="16" t="s">
        <v>75</v>
      </c>
      <c r="C253" s="16" t="s">
        <v>3302</v>
      </c>
      <c r="D253" s="22" t="n">
        <v>46253</v>
      </c>
      <c r="E253" s="16" t="s">
        <v>704</v>
      </c>
    </row>
    <row r="254" customFormat="false" ht="15" hidden="false" customHeight="false" outlineLevel="0" collapsed="false">
      <c r="A254" s="16" t="s">
        <v>3552</v>
      </c>
      <c r="B254" s="16" t="s">
        <v>75</v>
      </c>
      <c r="C254" s="16" t="s">
        <v>3310</v>
      </c>
      <c r="D254" s="22" t="n">
        <v>45955</v>
      </c>
      <c r="E254" s="16" t="s">
        <v>704</v>
      </c>
    </row>
    <row r="255" customFormat="false" ht="15" hidden="false" customHeight="false" outlineLevel="0" collapsed="false">
      <c r="A255" s="16" t="s">
        <v>3553</v>
      </c>
      <c r="B255" s="16" t="s">
        <v>75</v>
      </c>
      <c r="C255" s="16" t="s">
        <v>3330</v>
      </c>
      <c r="D255" s="22" t="n">
        <v>46057</v>
      </c>
      <c r="E255" s="16" t="s">
        <v>704</v>
      </c>
    </row>
    <row r="256" customFormat="false" ht="15" hidden="false" customHeight="false" outlineLevel="0" collapsed="false">
      <c r="A256" s="16" t="s">
        <v>3554</v>
      </c>
      <c r="B256" s="16" t="s">
        <v>75</v>
      </c>
      <c r="C256" s="16" t="s">
        <v>3310</v>
      </c>
      <c r="D256" s="22" t="n">
        <v>46038</v>
      </c>
      <c r="E256" s="16" t="s">
        <v>704</v>
      </c>
    </row>
    <row r="257" customFormat="false" ht="15" hidden="false" customHeight="false" outlineLevel="0" collapsed="false">
      <c r="A257" s="16" t="s">
        <v>3555</v>
      </c>
      <c r="B257" s="16" t="s">
        <v>75</v>
      </c>
      <c r="C257" s="16" t="s">
        <v>3300</v>
      </c>
      <c r="D257" s="22" t="n">
        <v>46166</v>
      </c>
      <c r="E257" s="16" t="s">
        <v>704</v>
      </c>
    </row>
    <row r="258" customFormat="false" ht="15" hidden="false" customHeight="false" outlineLevel="0" collapsed="false">
      <c r="A258" s="16" t="s">
        <v>3556</v>
      </c>
      <c r="B258" s="16" t="s">
        <v>75</v>
      </c>
      <c r="C258" s="16" t="s">
        <v>3306</v>
      </c>
      <c r="D258" s="22" t="n">
        <v>45991</v>
      </c>
      <c r="E258" s="16" t="s">
        <v>704</v>
      </c>
    </row>
    <row r="259" customFormat="false" ht="15" hidden="false" customHeight="false" outlineLevel="0" collapsed="false">
      <c r="A259" s="16" t="s">
        <v>3557</v>
      </c>
      <c r="B259" s="16" t="s">
        <v>75</v>
      </c>
      <c r="C259" s="16" t="s">
        <v>3310</v>
      </c>
      <c r="D259" s="22" t="n">
        <v>46144</v>
      </c>
      <c r="E259" s="16" t="s">
        <v>704</v>
      </c>
    </row>
    <row r="260" customFormat="false" ht="15" hidden="false" customHeight="false" outlineLevel="0" collapsed="false">
      <c r="A260" s="16" t="s">
        <v>3558</v>
      </c>
      <c r="B260" s="16" t="s">
        <v>75</v>
      </c>
      <c r="C260" s="16" t="s">
        <v>3306</v>
      </c>
      <c r="D260" s="22" t="n">
        <v>46045</v>
      </c>
      <c r="E260" s="16" t="s">
        <v>704</v>
      </c>
    </row>
    <row r="261" customFormat="false" ht="15" hidden="false" customHeight="false" outlineLevel="0" collapsed="false">
      <c r="A261" s="16" t="s">
        <v>3559</v>
      </c>
      <c r="B261" s="16" t="s">
        <v>76</v>
      </c>
      <c r="C261" s="16" t="s">
        <v>3298</v>
      </c>
      <c r="D261" s="22" t="n">
        <v>46136</v>
      </c>
      <c r="E261" s="16" t="s">
        <v>604</v>
      </c>
    </row>
    <row r="262" customFormat="false" ht="15" hidden="false" customHeight="false" outlineLevel="0" collapsed="false">
      <c r="A262" s="16" t="s">
        <v>3560</v>
      </c>
      <c r="B262" s="16" t="s">
        <v>76</v>
      </c>
      <c r="C262" s="16" t="s">
        <v>3302</v>
      </c>
      <c r="D262" s="22" t="n">
        <v>46050</v>
      </c>
      <c r="E262" s="16" t="s">
        <v>604</v>
      </c>
    </row>
    <row r="263" customFormat="false" ht="15" hidden="false" customHeight="false" outlineLevel="0" collapsed="false">
      <c r="A263" s="16" t="s">
        <v>3561</v>
      </c>
      <c r="B263" s="16" t="s">
        <v>76</v>
      </c>
      <c r="C263" s="16" t="s">
        <v>3306</v>
      </c>
      <c r="D263" s="22" t="n">
        <v>45995</v>
      </c>
      <c r="E263" s="16" t="s">
        <v>604</v>
      </c>
    </row>
    <row r="264" customFormat="false" ht="15" hidden="false" customHeight="false" outlineLevel="0" collapsed="false">
      <c r="A264" s="16" t="s">
        <v>3562</v>
      </c>
      <c r="B264" s="16" t="s">
        <v>76</v>
      </c>
      <c r="C264" s="16" t="s">
        <v>3310</v>
      </c>
      <c r="D264" s="22" t="n">
        <v>46236</v>
      </c>
      <c r="E264" s="16" t="s">
        <v>604</v>
      </c>
    </row>
    <row r="265" customFormat="false" ht="15" hidden="false" customHeight="false" outlineLevel="0" collapsed="false">
      <c r="A265" s="16" t="s">
        <v>3563</v>
      </c>
      <c r="B265" s="16" t="s">
        <v>76</v>
      </c>
      <c r="C265" s="16" t="s">
        <v>3302</v>
      </c>
      <c r="D265" s="22" t="n">
        <v>46022</v>
      </c>
      <c r="E265" s="16" t="s">
        <v>604</v>
      </c>
    </row>
    <row r="266" customFormat="false" ht="15" hidden="false" customHeight="false" outlineLevel="0" collapsed="false">
      <c r="A266" s="16" t="s">
        <v>3564</v>
      </c>
      <c r="B266" s="16" t="s">
        <v>76</v>
      </c>
      <c r="C266" s="16" t="s">
        <v>3300</v>
      </c>
      <c r="D266" s="22" t="n">
        <v>46296</v>
      </c>
      <c r="E266" s="16" t="s">
        <v>604</v>
      </c>
    </row>
    <row r="267" customFormat="false" ht="15" hidden="false" customHeight="false" outlineLevel="0" collapsed="false">
      <c r="A267" s="16" t="s">
        <v>3565</v>
      </c>
      <c r="B267" s="16" t="s">
        <v>76</v>
      </c>
      <c r="C267" s="16" t="s">
        <v>3300</v>
      </c>
      <c r="D267" s="22" t="n">
        <v>46167</v>
      </c>
      <c r="E267" s="16" t="s">
        <v>604</v>
      </c>
    </row>
    <row r="268" customFormat="false" ht="15" hidden="false" customHeight="false" outlineLevel="0" collapsed="false">
      <c r="A268" s="16" t="s">
        <v>3566</v>
      </c>
      <c r="B268" s="16" t="s">
        <v>76</v>
      </c>
      <c r="C268" s="16" t="s">
        <v>3306</v>
      </c>
      <c r="D268" s="22" t="n">
        <v>46098</v>
      </c>
      <c r="E268" s="16" t="s">
        <v>604</v>
      </c>
    </row>
    <row r="269" customFormat="false" ht="15" hidden="false" customHeight="false" outlineLevel="0" collapsed="false">
      <c r="A269" s="16" t="s">
        <v>3567</v>
      </c>
      <c r="B269" s="16" t="s">
        <v>76</v>
      </c>
      <c r="C269" s="16" t="s">
        <v>3302</v>
      </c>
      <c r="D269" s="22" t="n">
        <v>46236</v>
      </c>
      <c r="E269" s="16" t="s">
        <v>604</v>
      </c>
    </row>
    <row r="270" customFormat="false" ht="15" hidden="false" customHeight="false" outlineLevel="0" collapsed="false">
      <c r="A270" s="16" t="s">
        <v>3568</v>
      </c>
      <c r="B270" s="16" t="s">
        <v>76</v>
      </c>
      <c r="C270" s="16" t="s">
        <v>3330</v>
      </c>
      <c r="D270" s="22" t="n">
        <v>45918</v>
      </c>
      <c r="E270" s="16" t="s">
        <v>604</v>
      </c>
    </row>
    <row r="271" customFormat="false" ht="15" hidden="false" customHeight="false" outlineLevel="0" collapsed="false">
      <c r="A271" s="16" t="s">
        <v>3569</v>
      </c>
      <c r="B271" s="16" t="s">
        <v>76</v>
      </c>
      <c r="C271" s="16" t="s">
        <v>3330</v>
      </c>
      <c r="D271" s="22" t="n">
        <v>46175</v>
      </c>
      <c r="E271" s="16" t="s">
        <v>604</v>
      </c>
    </row>
    <row r="272" customFormat="false" ht="15" hidden="false" customHeight="false" outlineLevel="0" collapsed="false">
      <c r="A272" s="16" t="s">
        <v>3570</v>
      </c>
      <c r="B272" s="16" t="s">
        <v>76</v>
      </c>
      <c r="C272" s="16" t="s">
        <v>3306</v>
      </c>
      <c r="D272" s="22" t="n">
        <v>46190</v>
      </c>
      <c r="E272" s="16" t="s">
        <v>604</v>
      </c>
    </row>
    <row r="273" customFormat="false" ht="15" hidden="false" customHeight="false" outlineLevel="0" collapsed="false">
      <c r="A273" s="16" t="s">
        <v>3571</v>
      </c>
      <c r="B273" s="16" t="s">
        <v>76</v>
      </c>
      <c r="C273" s="16" t="s">
        <v>3330</v>
      </c>
      <c r="D273" s="22" t="n">
        <v>46121</v>
      </c>
      <c r="E273" s="16" t="s">
        <v>604</v>
      </c>
    </row>
    <row r="274" customFormat="false" ht="15" hidden="false" customHeight="false" outlineLevel="0" collapsed="false">
      <c r="A274" s="16" t="s">
        <v>3572</v>
      </c>
      <c r="B274" s="16" t="s">
        <v>76</v>
      </c>
      <c r="C274" s="16" t="s">
        <v>3302</v>
      </c>
      <c r="D274" s="22" t="n">
        <v>46024</v>
      </c>
      <c r="E274" s="16" t="s">
        <v>604</v>
      </c>
    </row>
    <row r="275" customFormat="false" ht="15" hidden="false" customHeight="false" outlineLevel="0" collapsed="false">
      <c r="A275" s="16" t="s">
        <v>3573</v>
      </c>
      <c r="B275" s="16" t="s">
        <v>76</v>
      </c>
      <c r="C275" s="16" t="s">
        <v>3302</v>
      </c>
      <c r="D275" s="22" t="n">
        <v>46181</v>
      </c>
      <c r="E275" s="16" t="s">
        <v>604</v>
      </c>
    </row>
    <row r="276" customFormat="false" ht="15" hidden="false" customHeight="false" outlineLevel="0" collapsed="false">
      <c r="A276" s="16" t="s">
        <v>3574</v>
      </c>
      <c r="B276" s="16" t="s">
        <v>77</v>
      </c>
      <c r="C276" s="16" t="s">
        <v>3306</v>
      </c>
      <c r="D276" s="22" t="n">
        <v>45990</v>
      </c>
      <c r="E276" s="16" t="s">
        <v>633</v>
      </c>
    </row>
    <row r="277" customFormat="false" ht="15" hidden="false" customHeight="false" outlineLevel="0" collapsed="false">
      <c r="A277" s="16" t="s">
        <v>3575</v>
      </c>
      <c r="B277" s="16" t="s">
        <v>77</v>
      </c>
      <c r="C277" s="16" t="s">
        <v>3302</v>
      </c>
      <c r="D277" s="22" t="n">
        <v>46082</v>
      </c>
      <c r="E277" s="16" t="s">
        <v>633</v>
      </c>
    </row>
    <row r="278" customFormat="false" ht="15" hidden="false" customHeight="false" outlineLevel="0" collapsed="false">
      <c r="A278" s="16" t="s">
        <v>3576</v>
      </c>
      <c r="B278" s="16" t="s">
        <v>77</v>
      </c>
      <c r="C278" s="16" t="s">
        <v>3306</v>
      </c>
      <c r="D278" s="22" t="n">
        <v>46146</v>
      </c>
      <c r="E278" s="16" t="s">
        <v>633</v>
      </c>
    </row>
    <row r="279" customFormat="false" ht="15" hidden="false" customHeight="false" outlineLevel="0" collapsed="false">
      <c r="A279" s="16" t="s">
        <v>3577</v>
      </c>
      <c r="B279" s="16" t="s">
        <v>77</v>
      </c>
      <c r="C279" s="16" t="s">
        <v>3302</v>
      </c>
      <c r="D279" s="22" t="n">
        <v>46171</v>
      </c>
      <c r="E279" s="16" t="s">
        <v>633</v>
      </c>
    </row>
    <row r="280" customFormat="false" ht="15" hidden="false" customHeight="false" outlineLevel="0" collapsed="false">
      <c r="A280" s="16" t="s">
        <v>3578</v>
      </c>
      <c r="B280" s="16" t="s">
        <v>77</v>
      </c>
      <c r="C280" s="16" t="s">
        <v>3310</v>
      </c>
      <c r="D280" s="22" t="n">
        <v>46106</v>
      </c>
      <c r="E280" s="16" t="s">
        <v>633</v>
      </c>
    </row>
    <row r="281" customFormat="false" ht="15" hidden="false" customHeight="false" outlineLevel="0" collapsed="false">
      <c r="A281" s="16" t="s">
        <v>3579</v>
      </c>
      <c r="B281" s="16" t="s">
        <v>77</v>
      </c>
      <c r="C281" s="16" t="s">
        <v>3302</v>
      </c>
      <c r="D281" s="22" t="n">
        <v>46077</v>
      </c>
      <c r="E281" s="16" t="s">
        <v>633</v>
      </c>
    </row>
    <row r="282" customFormat="false" ht="15" hidden="false" customHeight="false" outlineLevel="0" collapsed="false">
      <c r="A282" s="16" t="s">
        <v>3580</v>
      </c>
      <c r="B282" s="16" t="s">
        <v>77</v>
      </c>
      <c r="C282" s="16" t="s">
        <v>3302</v>
      </c>
      <c r="D282" s="22" t="n">
        <v>46019</v>
      </c>
      <c r="E282" s="16" t="s">
        <v>633</v>
      </c>
    </row>
    <row r="283" customFormat="false" ht="15" hidden="false" customHeight="false" outlineLevel="0" collapsed="false">
      <c r="A283" s="16" t="s">
        <v>3581</v>
      </c>
      <c r="B283" s="16" t="s">
        <v>77</v>
      </c>
      <c r="C283" s="16" t="s">
        <v>3310</v>
      </c>
      <c r="D283" s="22" t="n">
        <v>45964</v>
      </c>
      <c r="E283" s="16" t="s">
        <v>633</v>
      </c>
    </row>
    <row r="284" customFormat="false" ht="15" hidden="false" customHeight="false" outlineLevel="0" collapsed="false">
      <c r="A284" s="16" t="s">
        <v>3582</v>
      </c>
      <c r="B284" s="16" t="s">
        <v>77</v>
      </c>
      <c r="C284" s="16" t="s">
        <v>3300</v>
      </c>
      <c r="D284" s="22" t="n">
        <v>46156</v>
      </c>
      <c r="E284" s="16" t="s">
        <v>633</v>
      </c>
    </row>
    <row r="285" customFormat="false" ht="15" hidden="false" customHeight="false" outlineLevel="0" collapsed="false">
      <c r="A285" s="16" t="s">
        <v>3583</v>
      </c>
      <c r="B285" s="16" t="s">
        <v>77</v>
      </c>
      <c r="C285" s="16" t="s">
        <v>3298</v>
      </c>
      <c r="D285" s="22" t="n">
        <v>46038</v>
      </c>
      <c r="E285" s="16" t="s">
        <v>633</v>
      </c>
    </row>
    <row r="286" customFormat="false" ht="15" hidden="false" customHeight="false" outlineLevel="0" collapsed="false">
      <c r="A286" s="16" t="s">
        <v>3584</v>
      </c>
      <c r="B286" s="16" t="s">
        <v>77</v>
      </c>
      <c r="C286" s="16" t="s">
        <v>3298</v>
      </c>
      <c r="D286" s="22" t="n">
        <v>46169</v>
      </c>
      <c r="E286" s="16" t="s">
        <v>633</v>
      </c>
    </row>
    <row r="287" customFormat="false" ht="15" hidden="false" customHeight="false" outlineLevel="0" collapsed="false">
      <c r="A287" s="16" t="s">
        <v>3585</v>
      </c>
      <c r="B287" s="16" t="s">
        <v>77</v>
      </c>
      <c r="C287" s="16" t="s">
        <v>3302</v>
      </c>
      <c r="D287" s="22" t="n">
        <v>46053</v>
      </c>
      <c r="E287" s="16" t="s">
        <v>633</v>
      </c>
    </row>
    <row r="288" customFormat="false" ht="15" hidden="false" customHeight="false" outlineLevel="0" collapsed="false">
      <c r="A288" s="16" t="s">
        <v>3586</v>
      </c>
      <c r="B288" s="16" t="s">
        <v>77</v>
      </c>
      <c r="C288" s="16" t="s">
        <v>3306</v>
      </c>
      <c r="D288" s="22" t="n">
        <v>45935</v>
      </c>
      <c r="E288" s="16" t="s">
        <v>633</v>
      </c>
    </row>
    <row r="289" customFormat="false" ht="15" hidden="false" customHeight="false" outlineLevel="0" collapsed="false">
      <c r="A289" s="16" t="s">
        <v>3587</v>
      </c>
      <c r="B289" s="16" t="s">
        <v>78</v>
      </c>
      <c r="C289" s="16" t="s">
        <v>3300</v>
      </c>
      <c r="D289" s="22" t="n">
        <v>46082</v>
      </c>
      <c r="E289" s="16" t="s">
        <v>691</v>
      </c>
    </row>
    <row r="290" customFormat="false" ht="15" hidden="false" customHeight="false" outlineLevel="0" collapsed="false">
      <c r="A290" s="16" t="s">
        <v>3588</v>
      </c>
      <c r="B290" s="16" t="s">
        <v>78</v>
      </c>
      <c r="C290" s="16" t="s">
        <v>3302</v>
      </c>
      <c r="D290" s="22" t="n">
        <v>45978</v>
      </c>
      <c r="E290" s="16" t="s">
        <v>691</v>
      </c>
    </row>
    <row r="291" customFormat="false" ht="15" hidden="false" customHeight="false" outlineLevel="0" collapsed="false">
      <c r="A291" s="16" t="s">
        <v>3589</v>
      </c>
      <c r="B291" s="16" t="s">
        <v>78</v>
      </c>
      <c r="C291" s="16" t="s">
        <v>3302</v>
      </c>
      <c r="D291" s="22" t="n">
        <v>46270</v>
      </c>
      <c r="E291" s="16" t="s">
        <v>691</v>
      </c>
    </row>
    <row r="292" customFormat="false" ht="15" hidden="false" customHeight="false" outlineLevel="0" collapsed="false">
      <c r="A292" s="16" t="s">
        <v>3590</v>
      </c>
      <c r="B292" s="16" t="s">
        <v>78</v>
      </c>
      <c r="C292" s="16" t="s">
        <v>3310</v>
      </c>
      <c r="D292" s="22" t="n">
        <v>46180</v>
      </c>
      <c r="E292" s="16" t="s">
        <v>691</v>
      </c>
    </row>
    <row r="293" customFormat="false" ht="15" hidden="false" customHeight="false" outlineLevel="0" collapsed="false">
      <c r="A293" s="16" t="s">
        <v>3591</v>
      </c>
      <c r="B293" s="16" t="s">
        <v>78</v>
      </c>
      <c r="C293" s="16" t="s">
        <v>3306</v>
      </c>
      <c r="D293" s="22" t="n">
        <v>45940</v>
      </c>
      <c r="E293" s="16" t="s">
        <v>691</v>
      </c>
    </row>
    <row r="294" customFormat="false" ht="15" hidden="false" customHeight="false" outlineLevel="0" collapsed="false">
      <c r="A294" s="16" t="s">
        <v>3592</v>
      </c>
      <c r="B294" s="16" t="s">
        <v>78</v>
      </c>
      <c r="C294" s="16" t="s">
        <v>3310</v>
      </c>
      <c r="D294" s="22" t="n">
        <v>46280</v>
      </c>
      <c r="E294" s="16" t="s">
        <v>691</v>
      </c>
    </row>
    <row r="295" customFormat="false" ht="15" hidden="false" customHeight="false" outlineLevel="0" collapsed="false">
      <c r="A295" s="16" t="s">
        <v>3593</v>
      </c>
      <c r="B295" s="16" t="s">
        <v>78</v>
      </c>
      <c r="C295" s="16" t="s">
        <v>3330</v>
      </c>
      <c r="D295" s="22" t="n">
        <v>46026</v>
      </c>
      <c r="E295" s="16" t="s">
        <v>691</v>
      </c>
    </row>
    <row r="296" customFormat="false" ht="15" hidden="false" customHeight="false" outlineLevel="0" collapsed="false">
      <c r="A296" s="16" t="s">
        <v>3594</v>
      </c>
      <c r="B296" s="16" t="s">
        <v>78</v>
      </c>
      <c r="C296" s="16" t="s">
        <v>3298</v>
      </c>
      <c r="D296" s="22" t="n">
        <v>46123</v>
      </c>
      <c r="E296" s="16" t="s">
        <v>691</v>
      </c>
    </row>
    <row r="297" customFormat="false" ht="15" hidden="false" customHeight="false" outlineLevel="0" collapsed="false">
      <c r="A297" s="16" t="s">
        <v>3595</v>
      </c>
      <c r="B297" s="16" t="s">
        <v>78</v>
      </c>
      <c r="C297" s="16" t="s">
        <v>3306</v>
      </c>
      <c r="D297" s="22" t="n">
        <v>46279</v>
      </c>
      <c r="E297" s="16" t="s">
        <v>691</v>
      </c>
    </row>
    <row r="298" customFormat="false" ht="15" hidden="false" customHeight="false" outlineLevel="0" collapsed="false">
      <c r="A298" s="16" t="s">
        <v>3596</v>
      </c>
      <c r="B298" s="16" t="s">
        <v>78</v>
      </c>
      <c r="C298" s="16" t="s">
        <v>3298</v>
      </c>
      <c r="D298" s="22" t="n">
        <v>46108</v>
      </c>
      <c r="E298" s="16" t="s">
        <v>691</v>
      </c>
    </row>
    <row r="299" customFormat="false" ht="15" hidden="false" customHeight="false" outlineLevel="0" collapsed="false">
      <c r="A299" s="16" t="s">
        <v>3597</v>
      </c>
      <c r="B299" s="16" t="s">
        <v>78</v>
      </c>
      <c r="C299" s="16" t="s">
        <v>3310</v>
      </c>
      <c r="D299" s="22" t="n">
        <v>46069</v>
      </c>
      <c r="E299" s="16" t="s">
        <v>691</v>
      </c>
    </row>
    <row r="300" customFormat="false" ht="15" hidden="false" customHeight="false" outlineLevel="0" collapsed="false">
      <c r="A300" s="16" t="s">
        <v>3598</v>
      </c>
      <c r="B300" s="16" t="s">
        <v>78</v>
      </c>
      <c r="C300" s="16" t="s">
        <v>3306</v>
      </c>
      <c r="D300" s="22" t="n">
        <v>45923</v>
      </c>
      <c r="E300" s="16" t="s">
        <v>691</v>
      </c>
    </row>
    <row r="301" customFormat="false" ht="15" hidden="false" customHeight="false" outlineLevel="0" collapsed="false">
      <c r="A301" s="16" t="s">
        <v>3599</v>
      </c>
      <c r="B301" s="16" t="s">
        <v>79</v>
      </c>
      <c r="C301" s="16" t="s">
        <v>3310</v>
      </c>
      <c r="D301" s="22" t="n">
        <v>46238</v>
      </c>
      <c r="E301" s="16" t="s">
        <v>654</v>
      </c>
    </row>
    <row r="302" customFormat="false" ht="15" hidden="false" customHeight="false" outlineLevel="0" collapsed="false">
      <c r="A302" s="16" t="s">
        <v>3600</v>
      </c>
      <c r="B302" s="16" t="s">
        <v>79</v>
      </c>
      <c r="C302" s="16" t="s">
        <v>3298</v>
      </c>
      <c r="D302" s="22" t="n">
        <v>45915</v>
      </c>
      <c r="E302" s="16" t="s">
        <v>654</v>
      </c>
    </row>
    <row r="303" customFormat="false" ht="15" hidden="false" customHeight="false" outlineLevel="0" collapsed="false">
      <c r="A303" s="16" t="s">
        <v>3601</v>
      </c>
      <c r="B303" s="16" t="s">
        <v>79</v>
      </c>
      <c r="C303" s="16" t="s">
        <v>3298</v>
      </c>
      <c r="D303" s="22" t="n">
        <v>46266</v>
      </c>
      <c r="E303" s="16" t="s">
        <v>654</v>
      </c>
    </row>
    <row r="304" customFormat="false" ht="15" hidden="false" customHeight="false" outlineLevel="0" collapsed="false">
      <c r="A304" s="16" t="s">
        <v>3602</v>
      </c>
      <c r="B304" s="16" t="s">
        <v>79</v>
      </c>
      <c r="C304" s="16" t="s">
        <v>3306</v>
      </c>
      <c r="D304" s="22" t="n">
        <v>46129</v>
      </c>
      <c r="E304" s="16" t="s">
        <v>654</v>
      </c>
    </row>
    <row r="305" customFormat="false" ht="15" hidden="false" customHeight="false" outlineLevel="0" collapsed="false">
      <c r="A305" s="16" t="s">
        <v>3603</v>
      </c>
      <c r="B305" s="16" t="s">
        <v>79</v>
      </c>
      <c r="C305" s="16" t="s">
        <v>3302</v>
      </c>
      <c r="D305" s="22" t="n">
        <v>46304</v>
      </c>
      <c r="E305" s="16" t="s">
        <v>654</v>
      </c>
    </row>
    <row r="306" customFormat="false" ht="15" hidden="false" customHeight="false" outlineLevel="0" collapsed="false">
      <c r="A306" s="16" t="s">
        <v>3604</v>
      </c>
      <c r="B306" s="16" t="s">
        <v>79</v>
      </c>
      <c r="C306" s="16" t="s">
        <v>3302</v>
      </c>
      <c r="D306" s="22" t="n">
        <v>46300</v>
      </c>
      <c r="E306" s="16" t="s">
        <v>654</v>
      </c>
    </row>
    <row r="307" customFormat="false" ht="15" hidden="false" customHeight="false" outlineLevel="0" collapsed="false">
      <c r="A307" s="16" t="s">
        <v>3605</v>
      </c>
      <c r="B307" s="16" t="s">
        <v>79</v>
      </c>
      <c r="C307" s="16" t="s">
        <v>3330</v>
      </c>
      <c r="D307" s="22" t="n">
        <v>46210</v>
      </c>
      <c r="E307" s="16" t="s">
        <v>654</v>
      </c>
    </row>
    <row r="308" customFormat="false" ht="15" hidden="false" customHeight="false" outlineLevel="0" collapsed="false">
      <c r="A308" s="16" t="s">
        <v>3606</v>
      </c>
      <c r="B308" s="16" t="s">
        <v>79</v>
      </c>
      <c r="C308" s="16" t="s">
        <v>3306</v>
      </c>
      <c r="D308" s="22" t="n">
        <v>45929</v>
      </c>
      <c r="E308" s="16" t="s">
        <v>654</v>
      </c>
    </row>
    <row r="309" customFormat="false" ht="15" hidden="false" customHeight="false" outlineLevel="0" collapsed="false">
      <c r="A309" s="16" t="s">
        <v>3607</v>
      </c>
      <c r="B309" s="16" t="s">
        <v>79</v>
      </c>
      <c r="C309" s="16" t="s">
        <v>3310</v>
      </c>
      <c r="D309" s="22" t="n">
        <v>46059</v>
      </c>
      <c r="E309" s="16" t="s">
        <v>654</v>
      </c>
    </row>
    <row r="310" customFormat="false" ht="15" hidden="false" customHeight="false" outlineLevel="0" collapsed="false">
      <c r="A310" s="16" t="s">
        <v>3608</v>
      </c>
      <c r="B310" s="16" t="s">
        <v>79</v>
      </c>
      <c r="C310" s="16" t="s">
        <v>3310</v>
      </c>
      <c r="D310" s="22" t="n">
        <v>46172</v>
      </c>
      <c r="E310" s="16" t="s">
        <v>654</v>
      </c>
    </row>
    <row r="311" customFormat="false" ht="15" hidden="false" customHeight="false" outlineLevel="0" collapsed="false">
      <c r="A311" s="16" t="s">
        <v>3609</v>
      </c>
      <c r="B311" s="16" t="s">
        <v>79</v>
      </c>
      <c r="C311" s="16" t="s">
        <v>3302</v>
      </c>
      <c r="D311" s="22" t="n">
        <v>46281</v>
      </c>
      <c r="E311" s="16" t="s">
        <v>654</v>
      </c>
    </row>
    <row r="312" customFormat="false" ht="15" hidden="false" customHeight="false" outlineLevel="0" collapsed="false">
      <c r="A312" s="16" t="s">
        <v>3610</v>
      </c>
      <c r="B312" s="16" t="s">
        <v>80</v>
      </c>
      <c r="C312" s="16" t="s">
        <v>3300</v>
      </c>
      <c r="D312" s="22" t="n">
        <v>45958</v>
      </c>
      <c r="E312" s="16" t="s">
        <v>640</v>
      </c>
    </row>
    <row r="313" customFormat="false" ht="15" hidden="false" customHeight="false" outlineLevel="0" collapsed="false">
      <c r="A313" s="16" t="s">
        <v>3611</v>
      </c>
      <c r="B313" s="16" t="s">
        <v>80</v>
      </c>
      <c r="C313" s="16" t="s">
        <v>3306</v>
      </c>
      <c r="D313" s="22" t="n">
        <v>46085</v>
      </c>
      <c r="E313" s="16" t="s">
        <v>640</v>
      </c>
    </row>
    <row r="314" customFormat="false" ht="15" hidden="false" customHeight="false" outlineLevel="0" collapsed="false">
      <c r="A314" s="16" t="s">
        <v>3612</v>
      </c>
      <c r="B314" s="16" t="s">
        <v>80</v>
      </c>
      <c r="C314" s="16" t="s">
        <v>3306</v>
      </c>
      <c r="D314" s="22" t="n">
        <v>46112</v>
      </c>
      <c r="E314" s="16" t="s">
        <v>640</v>
      </c>
    </row>
    <row r="315" customFormat="false" ht="15" hidden="false" customHeight="false" outlineLevel="0" collapsed="false">
      <c r="A315" s="16" t="s">
        <v>3613</v>
      </c>
      <c r="B315" s="16" t="s">
        <v>80</v>
      </c>
      <c r="C315" s="16" t="s">
        <v>3302</v>
      </c>
      <c r="D315" s="22" t="n">
        <v>46066</v>
      </c>
      <c r="E315" s="16" t="s">
        <v>640</v>
      </c>
    </row>
    <row r="316" customFormat="false" ht="15" hidden="false" customHeight="false" outlineLevel="0" collapsed="false">
      <c r="A316" s="16" t="s">
        <v>3614</v>
      </c>
      <c r="B316" s="16" t="s">
        <v>80</v>
      </c>
      <c r="C316" s="16" t="s">
        <v>3310</v>
      </c>
      <c r="D316" s="22" t="n">
        <v>46245</v>
      </c>
      <c r="E316" s="16" t="s">
        <v>640</v>
      </c>
    </row>
    <row r="317" customFormat="false" ht="15" hidden="false" customHeight="false" outlineLevel="0" collapsed="false">
      <c r="A317" s="16" t="s">
        <v>3615</v>
      </c>
      <c r="B317" s="16" t="s">
        <v>80</v>
      </c>
      <c r="C317" s="16" t="s">
        <v>3300</v>
      </c>
      <c r="D317" s="22" t="n">
        <v>46184</v>
      </c>
      <c r="E317" s="16" t="s">
        <v>640</v>
      </c>
    </row>
    <row r="318" customFormat="false" ht="15" hidden="false" customHeight="false" outlineLevel="0" collapsed="false">
      <c r="A318" s="16" t="s">
        <v>3616</v>
      </c>
      <c r="B318" s="16" t="s">
        <v>80</v>
      </c>
      <c r="C318" s="16" t="s">
        <v>3302</v>
      </c>
      <c r="D318" s="22" t="n">
        <v>46309</v>
      </c>
      <c r="E318" s="16" t="s">
        <v>640</v>
      </c>
    </row>
    <row r="319" customFormat="false" ht="15" hidden="false" customHeight="false" outlineLevel="0" collapsed="false">
      <c r="A319" s="16" t="s">
        <v>3617</v>
      </c>
      <c r="B319" s="16" t="s">
        <v>80</v>
      </c>
      <c r="C319" s="16" t="s">
        <v>3306</v>
      </c>
      <c r="D319" s="22" t="n">
        <v>46002</v>
      </c>
      <c r="E319" s="16" t="s">
        <v>640</v>
      </c>
    </row>
    <row r="320" customFormat="false" ht="15" hidden="false" customHeight="false" outlineLevel="0" collapsed="false">
      <c r="A320" s="16" t="s">
        <v>3618</v>
      </c>
      <c r="B320" s="16" t="s">
        <v>80</v>
      </c>
      <c r="C320" s="16" t="s">
        <v>3298</v>
      </c>
      <c r="D320" s="22" t="n">
        <v>46150</v>
      </c>
      <c r="E320" s="16" t="s">
        <v>640</v>
      </c>
    </row>
    <row r="321" customFormat="false" ht="15" hidden="false" customHeight="false" outlineLevel="0" collapsed="false">
      <c r="A321" s="16" t="s">
        <v>3619</v>
      </c>
      <c r="B321" s="16" t="s">
        <v>80</v>
      </c>
      <c r="C321" s="16" t="s">
        <v>3310</v>
      </c>
      <c r="D321" s="22" t="n">
        <v>45982</v>
      </c>
      <c r="E321" s="16" t="s">
        <v>640</v>
      </c>
    </row>
    <row r="322" customFormat="false" ht="15" hidden="false" customHeight="false" outlineLevel="0" collapsed="false">
      <c r="A322" s="16" t="s">
        <v>3620</v>
      </c>
      <c r="B322" s="16" t="s">
        <v>80</v>
      </c>
      <c r="C322" s="16" t="s">
        <v>3310</v>
      </c>
      <c r="D322" s="22" t="n">
        <v>46076</v>
      </c>
      <c r="E322" s="16" t="s">
        <v>640</v>
      </c>
    </row>
    <row r="323" customFormat="false" ht="15" hidden="false" customHeight="false" outlineLevel="0" collapsed="false">
      <c r="A323" s="16" t="s">
        <v>3621</v>
      </c>
      <c r="B323" s="16" t="s">
        <v>80</v>
      </c>
      <c r="C323" s="16" t="s">
        <v>3306</v>
      </c>
      <c r="D323" s="22" t="n">
        <v>46265</v>
      </c>
      <c r="E323" s="16" t="s">
        <v>640</v>
      </c>
    </row>
    <row r="324" customFormat="false" ht="15" hidden="false" customHeight="false" outlineLevel="0" collapsed="false">
      <c r="A324" s="16" t="s">
        <v>3622</v>
      </c>
      <c r="B324" s="16" t="s">
        <v>80</v>
      </c>
      <c r="C324" s="16" t="s">
        <v>3306</v>
      </c>
      <c r="D324" s="22" t="n">
        <v>46235</v>
      </c>
      <c r="E324" s="16" t="s">
        <v>640</v>
      </c>
    </row>
    <row r="325" customFormat="false" ht="15" hidden="false" customHeight="false" outlineLevel="0" collapsed="false">
      <c r="A325" s="16" t="s">
        <v>3623</v>
      </c>
      <c r="B325" s="16" t="s">
        <v>80</v>
      </c>
      <c r="C325" s="16" t="s">
        <v>3306</v>
      </c>
      <c r="D325" s="22" t="n">
        <v>46219</v>
      </c>
      <c r="E325" s="16" t="s">
        <v>640</v>
      </c>
    </row>
    <row r="326" customFormat="false" ht="15" hidden="false" customHeight="false" outlineLevel="0" collapsed="false">
      <c r="A326" s="16" t="s">
        <v>3624</v>
      </c>
      <c r="B326" s="16" t="s">
        <v>80</v>
      </c>
      <c r="C326" s="16" t="s">
        <v>3302</v>
      </c>
      <c r="D326" s="22" t="n">
        <v>46162</v>
      </c>
      <c r="E326" s="16" t="s">
        <v>640</v>
      </c>
    </row>
    <row r="327" customFormat="false" ht="15" hidden="false" customHeight="false" outlineLevel="0" collapsed="false">
      <c r="A327" s="16" t="s">
        <v>3625</v>
      </c>
      <c r="B327" s="16" t="s">
        <v>81</v>
      </c>
      <c r="C327" s="16" t="s">
        <v>3300</v>
      </c>
      <c r="D327" s="22" t="n">
        <v>45915</v>
      </c>
      <c r="E327" s="16" t="s">
        <v>596</v>
      </c>
    </row>
    <row r="328" customFormat="false" ht="15" hidden="false" customHeight="false" outlineLevel="0" collapsed="false">
      <c r="A328" s="16" t="s">
        <v>3626</v>
      </c>
      <c r="B328" s="16" t="s">
        <v>81</v>
      </c>
      <c r="C328" s="16" t="s">
        <v>3330</v>
      </c>
      <c r="D328" s="22" t="n">
        <v>46295</v>
      </c>
      <c r="E328" s="16" t="s">
        <v>596</v>
      </c>
    </row>
    <row r="329" customFormat="false" ht="15" hidden="false" customHeight="false" outlineLevel="0" collapsed="false">
      <c r="A329" s="16" t="s">
        <v>3627</v>
      </c>
      <c r="B329" s="16" t="s">
        <v>81</v>
      </c>
      <c r="C329" s="16" t="s">
        <v>3302</v>
      </c>
      <c r="D329" s="22" t="n">
        <v>46255</v>
      </c>
      <c r="E329" s="16" t="s">
        <v>596</v>
      </c>
    </row>
    <row r="330" customFormat="false" ht="15" hidden="false" customHeight="false" outlineLevel="0" collapsed="false">
      <c r="A330" s="16" t="s">
        <v>3628</v>
      </c>
      <c r="B330" s="16" t="s">
        <v>81</v>
      </c>
      <c r="C330" s="16" t="s">
        <v>3298</v>
      </c>
      <c r="D330" s="22" t="n">
        <v>46280</v>
      </c>
      <c r="E330" s="16" t="s">
        <v>596</v>
      </c>
    </row>
    <row r="331" customFormat="false" ht="15" hidden="false" customHeight="false" outlineLevel="0" collapsed="false">
      <c r="A331" s="16" t="s">
        <v>3629</v>
      </c>
      <c r="B331" s="16" t="s">
        <v>81</v>
      </c>
      <c r="C331" s="16" t="s">
        <v>3310</v>
      </c>
      <c r="D331" s="22" t="n">
        <v>46254</v>
      </c>
      <c r="E331" s="16" t="s">
        <v>596</v>
      </c>
    </row>
    <row r="332" customFormat="false" ht="15" hidden="false" customHeight="false" outlineLevel="0" collapsed="false">
      <c r="A332" s="16" t="s">
        <v>3630</v>
      </c>
      <c r="B332" s="16" t="s">
        <v>81</v>
      </c>
      <c r="C332" s="16" t="s">
        <v>3302</v>
      </c>
      <c r="D332" s="22" t="n">
        <v>46263</v>
      </c>
      <c r="E332" s="16" t="s">
        <v>596</v>
      </c>
    </row>
    <row r="333" customFormat="false" ht="15" hidden="false" customHeight="false" outlineLevel="0" collapsed="false">
      <c r="A333" s="16" t="s">
        <v>3631</v>
      </c>
      <c r="B333" s="16" t="s">
        <v>81</v>
      </c>
      <c r="C333" s="16" t="s">
        <v>3310</v>
      </c>
      <c r="D333" s="22" t="n">
        <v>46232</v>
      </c>
      <c r="E333" s="16" t="s">
        <v>596</v>
      </c>
    </row>
    <row r="334" customFormat="false" ht="15" hidden="false" customHeight="false" outlineLevel="0" collapsed="false">
      <c r="A334" s="16" t="s">
        <v>3632</v>
      </c>
      <c r="B334" s="16" t="s">
        <v>81</v>
      </c>
      <c r="C334" s="16" t="s">
        <v>3300</v>
      </c>
      <c r="D334" s="22" t="n">
        <v>45979</v>
      </c>
      <c r="E334" s="16" t="s">
        <v>596</v>
      </c>
    </row>
    <row r="335" customFormat="false" ht="15" hidden="false" customHeight="false" outlineLevel="0" collapsed="false">
      <c r="A335" s="16" t="s">
        <v>3633</v>
      </c>
      <c r="B335" s="16" t="s">
        <v>81</v>
      </c>
      <c r="C335" s="16" t="s">
        <v>3300</v>
      </c>
      <c r="D335" s="22" t="n">
        <v>46051</v>
      </c>
      <c r="E335" s="16" t="s">
        <v>596</v>
      </c>
    </row>
    <row r="336" customFormat="false" ht="15" hidden="false" customHeight="false" outlineLevel="0" collapsed="false">
      <c r="A336" s="16" t="s">
        <v>3634</v>
      </c>
      <c r="B336" s="16" t="s">
        <v>81</v>
      </c>
      <c r="C336" s="16" t="s">
        <v>3300</v>
      </c>
      <c r="D336" s="22" t="n">
        <v>46009</v>
      </c>
      <c r="E336" s="16" t="s">
        <v>596</v>
      </c>
    </row>
    <row r="337" customFormat="false" ht="15" hidden="false" customHeight="false" outlineLevel="0" collapsed="false">
      <c r="A337" s="16" t="s">
        <v>3635</v>
      </c>
      <c r="B337" s="16" t="s">
        <v>81</v>
      </c>
      <c r="C337" s="16" t="s">
        <v>3298</v>
      </c>
      <c r="D337" s="22" t="n">
        <v>46055</v>
      </c>
      <c r="E337" s="16" t="s">
        <v>596</v>
      </c>
    </row>
    <row r="338" customFormat="false" ht="15" hidden="false" customHeight="false" outlineLevel="0" collapsed="false">
      <c r="A338" s="16" t="s">
        <v>3636</v>
      </c>
      <c r="B338" s="16" t="s">
        <v>82</v>
      </c>
      <c r="C338" s="16" t="s">
        <v>3300</v>
      </c>
      <c r="D338" s="22" t="n">
        <v>46209</v>
      </c>
      <c r="E338" s="16" t="s">
        <v>704</v>
      </c>
    </row>
    <row r="339" customFormat="false" ht="15" hidden="false" customHeight="false" outlineLevel="0" collapsed="false">
      <c r="A339" s="16" t="s">
        <v>3637</v>
      </c>
      <c r="B339" s="16" t="s">
        <v>82</v>
      </c>
      <c r="C339" s="16" t="s">
        <v>3302</v>
      </c>
      <c r="D339" s="22" t="n">
        <v>46189</v>
      </c>
      <c r="E339" s="16" t="s">
        <v>704</v>
      </c>
    </row>
    <row r="340" customFormat="false" ht="15" hidden="false" customHeight="false" outlineLevel="0" collapsed="false">
      <c r="A340" s="16" t="s">
        <v>3638</v>
      </c>
      <c r="B340" s="16" t="s">
        <v>82</v>
      </c>
      <c r="C340" s="16" t="s">
        <v>3302</v>
      </c>
      <c r="D340" s="22" t="n">
        <v>46106</v>
      </c>
      <c r="E340" s="16" t="s">
        <v>704</v>
      </c>
    </row>
    <row r="341" customFormat="false" ht="15" hidden="false" customHeight="false" outlineLevel="0" collapsed="false">
      <c r="A341" s="16" t="s">
        <v>3639</v>
      </c>
      <c r="B341" s="16" t="s">
        <v>82</v>
      </c>
      <c r="C341" s="16" t="s">
        <v>3298</v>
      </c>
      <c r="D341" s="22" t="n">
        <v>46020</v>
      </c>
      <c r="E341" s="16" t="s">
        <v>704</v>
      </c>
    </row>
    <row r="342" customFormat="false" ht="15" hidden="false" customHeight="false" outlineLevel="0" collapsed="false">
      <c r="A342" s="16" t="s">
        <v>3640</v>
      </c>
      <c r="B342" s="16" t="s">
        <v>82</v>
      </c>
      <c r="C342" s="16" t="s">
        <v>3300</v>
      </c>
      <c r="D342" s="22" t="n">
        <v>46127</v>
      </c>
      <c r="E342" s="16" t="s">
        <v>704</v>
      </c>
    </row>
    <row r="343" customFormat="false" ht="15" hidden="false" customHeight="false" outlineLevel="0" collapsed="false">
      <c r="A343" s="16" t="s">
        <v>3641</v>
      </c>
      <c r="B343" s="16" t="s">
        <v>82</v>
      </c>
      <c r="C343" s="16" t="s">
        <v>3330</v>
      </c>
      <c r="D343" s="22" t="n">
        <v>46273</v>
      </c>
      <c r="E343" s="16" t="s">
        <v>704</v>
      </c>
    </row>
    <row r="344" customFormat="false" ht="15" hidden="false" customHeight="false" outlineLevel="0" collapsed="false">
      <c r="A344" s="16" t="s">
        <v>3642</v>
      </c>
      <c r="B344" s="16" t="s">
        <v>82</v>
      </c>
      <c r="C344" s="16" t="s">
        <v>3310</v>
      </c>
      <c r="D344" s="22" t="n">
        <v>46277</v>
      </c>
      <c r="E344" s="16" t="s">
        <v>704</v>
      </c>
    </row>
    <row r="345" customFormat="false" ht="15" hidden="false" customHeight="false" outlineLevel="0" collapsed="false">
      <c r="A345" s="16" t="s">
        <v>3643</v>
      </c>
      <c r="B345" s="16" t="s">
        <v>82</v>
      </c>
      <c r="C345" s="16" t="s">
        <v>3302</v>
      </c>
      <c r="D345" s="22" t="n">
        <v>46263</v>
      </c>
      <c r="E345" s="16" t="s">
        <v>704</v>
      </c>
    </row>
    <row r="346" customFormat="false" ht="15" hidden="false" customHeight="false" outlineLevel="0" collapsed="false">
      <c r="A346" s="16" t="s">
        <v>3644</v>
      </c>
      <c r="B346" s="16" t="s">
        <v>82</v>
      </c>
      <c r="C346" s="16" t="s">
        <v>3310</v>
      </c>
      <c r="D346" s="22" t="n">
        <v>46229</v>
      </c>
      <c r="E346" s="16" t="s">
        <v>704</v>
      </c>
    </row>
    <row r="347" customFormat="false" ht="15" hidden="false" customHeight="false" outlineLevel="0" collapsed="false">
      <c r="A347" s="16" t="s">
        <v>3645</v>
      </c>
      <c r="B347" s="16" t="s">
        <v>82</v>
      </c>
      <c r="C347" s="16" t="s">
        <v>3330</v>
      </c>
      <c r="D347" s="22" t="n">
        <v>46107</v>
      </c>
      <c r="E347" s="16" t="s">
        <v>704</v>
      </c>
    </row>
    <row r="348" customFormat="false" ht="15" hidden="false" customHeight="false" outlineLevel="0" collapsed="false">
      <c r="A348" s="16" t="s">
        <v>3646</v>
      </c>
      <c r="B348" s="16" t="s">
        <v>83</v>
      </c>
      <c r="C348" s="16" t="s">
        <v>3330</v>
      </c>
      <c r="D348" s="22" t="n">
        <v>46147</v>
      </c>
      <c r="E348" s="16" t="s">
        <v>604</v>
      </c>
    </row>
    <row r="349" customFormat="false" ht="15" hidden="false" customHeight="false" outlineLevel="0" collapsed="false">
      <c r="A349" s="16" t="s">
        <v>3647</v>
      </c>
      <c r="B349" s="16" t="s">
        <v>83</v>
      </c>
      <c r="C349" s="16" t="s">
        <v>3310</v>
      </c>
      <c r="D349" s="22" t="n">
        <v>46250</v>
      </c>
      <c r="E349" s="16" t="s">
        <v>604</v>
      </c>
    </row>
    <row r="350" customFormat="false" ht="15" hidden="false" customHeight="false" outlineLevel="0" collapsed="false">
      <c r="A350" s="16" t="s">
        <v>3648</v>
      </c>
      <c r="B350" s="16" t="s">
        <v>83</v>
      </c>
      <c r="C350" s="16" t="s">
        <v>3306</v>
      </c>
      <c r="D350" s="22" t="n">
        <v>46119</v>
      </c>
      <c r="E350" s="16" t="s">
        <v>604</v>
      </c>
    </row>
    <row r="351" customFormat="false" ht="15" hidden="false" customHeight="false" outlineLevel="0" collapsed="false">
      <c r="A351" s="16" t="s">
        <v>3649</v>
      </c>
      <c r="B351" s="16" t="s">
        <v>83</v>
      </c>
      <c r="C351" s="16" t="s">
        <v>3310</v>
      </c>
      <c r="D351" s="22" t="n">
        <v>45994</v>
      </c>
      <c r="E351" s="16" t="s">
        <v>604</v>
      </c>
    </row>
    <row r="352" customFormat="false" ht="15" hidden="false" customHeight="false" outlineLevel="0" collapsed="false">
      <c r="A352" s="16" t="s">
        <v>3650</v>
      </c>
      <c r="B352" s="16" t="s">
        <v>83</v>
      </c>
      <c r="C352" s="16" t="s">
        <v>3300</v>
      </c>
      <c r="D352" s="22" t="n">
        <v>46263</v>
      </c>
      <c r="E352" s="16" t="s">
        <v>604</v>
      </c>
    </row>
    <row r="353" customFormat="false" ht="15" hidden="false" customHeight="false" outlineLevel="0" collapsed="false">
      <c r="A353" s="16" t="s">
        <v>3651</v>
      </c>
      <c r="B353" s="16" t="s">
        <v>83</v>
      </c>
      <c r="C353" s="16" t="s">
        <v>3306</v>
      </c>
      <c r="D353" s="22" t="n">
        <v>46295</v>
      </c>
      <c r="E353" s="16" t="s">
        <v>604</v>
      </c>
    </row>
    <row r="354" customFormat="false" ht="15" hidden="false" customHeight="false" outlineLevel="0" collapsed="false">
      <c r="A354" s="16" t="s">
        <v>3652</v>
      </c>
      <c r="B354" s="16" t="s">
        <v>83</v>
      </c>
      <c r="C354" s="16" t="s">
        <v>3306</v>
      </c>
      <c r="D354" s="22" t="n">
        <v>46280</v>
      </c>
      <c r="E354" s="16" t="s">
        <v>604</v>
      </c>
    </row>
    <row r="355" customFormat="false" ht="15" hidden="false" customHeight="false" outlineLevel="0" collapsed="false">
      <c r="A355" s="16" t="s">
        <v>3653</v>
      </c>
      <c r="B355" s="16" t="s">
        <v>83</v>
      </c>
      <c r="C355" s="16" t="s">
        <v>3302</v>
      </c>
      <c r="D355" s="22" t="n">
        <v>46034</v>
      </c>
      <c r="E355" s="16" t="s">
        <v>604</v>
      </c>
    </row>
    <row r="356" customFormat="false" ht="15" hidden="false" customHeight="false" outlineLevel="0" collapsed="false">
      <c r="A356" s="16" t="s">
        <v>3654</v>
      </c>
      <c r="B356" s="16" t="s">
        <v>83</v>
      </c>
      <c r="C356" s="16" t="s">
        <v>3298</v>
      </c>
      <c r="D356" s="22" t="n">
        <v>46064</v>
      </c>
      <c r="E356" s="16" t="s">
        <v>604</v>
      </c>
    </row>
    <row r="357" customFormat="false" ht="15" hidden="false" customHeight="false" outlineLevel="0" collapsed="false">
      <c r="A357" s="16" t="s">
        <v>3655</v>
      </c>
      <c r="B357" s="16" t="s">
        <v>83</v>
      </c>
      <c r="C357" s="16" t="s">
        <v>3300</v>
      </c>
      <c r="D357" s="22" t="n">
        <v>46264</v>
      </c>
      <c r="E357" s="16" t="s">
        <v>604</v>
      </c>
    </row>
    <row r="358" customFormat="false" ht="15" hidden="false" customHeight="false" outlineLevel="0" collapsed="false">
      <c r="A358" s="16" t="s">
        <v>3656</v>
      </c>
      <c r="B358" s="16" t="s">
        <v>83</v>
      </c>
      <c r="C358" s="16" t="s">
        <v>3306</v>
      </c>
      <c r="D358" s="22" t="n">
        <v>45927</v>
      </c>
      <c r="E358" s="16" t="s">
        <v>604</v>
      </c>
    </row>
    <row r="359" customFormat="false" ht="15" hidden="false" customHeight="false" outlineLevel="0" collapsed="false">
      <c r="A359" s="16" t="s">
        <v>3657</v>
      </c>
      <c r="B359" s="16" t="s">
        <v>83</v>
      </c>
      <c r="C359" s="16" t="s">
        <v>3306</v>
      </c>
      <c r="D359" s="22" t="n">
        <v>46294</v>
      </c>
      <c r="E359" s="16" t="s">
        <v>604</v>
      </c>
    </row>
    <row r="360" customFormat="false" ht="15" hidden="false" customHeight="false" outlineLevel="0" collapsed="false">
      <c r="A360" s="16" t="s">
        <v>3658</v>
      </c>
      <c r="B360" s="16" t="s">
        <v>83</v>
      </c>
      <c r="C360" s="16" t="s">
        <v>3302</v>
      </c>
      <c r="D360" s="22" t="n">
        <v>45919</v>
      </c>
      <c r="E360" s="16" t="s">
        <v>604</v>
      </c>
    </row>
    <row r="361" customFormat="false" ht="15" hidden="false" customHeight="false" outlineLevel="0" collapsed="false">
      <c r="A361" s="16" t="s">
        <v>3659</v>
      </c>
      <c r="B361" s="16" t="s">
        <v>84</v>
      </c>
      <c r="C361" s="16" t="s">
        <v>3302</v>
      </c>
      <c r="D361" s="22" t="n">
        <v>46288</v>
      </c>
      <c r="E361" s="16" t="s">
        <v>633</v>
      </c>
    </row>
    <row r="362" customFormat="false" ht="15" hidden="false" customHeight="false" outlineLevel="0" collapsed="false">
      <c r="A362" s="16" t="s">
        <v>3660</v>
      </c>
      <c r="B362" s="16" t="s">
        <v>84</v>
      </c>
      <c r="C362" s="16" t="s">
        <v>3306</v>
      </c>
      <c r="D362" s="22" t="n">
        <v>46173</v>
      </c>
      <c r="E362" s="16" t="s">
        <v>633</v>
      </c>
    </row>
    <row r="363" customFormat="false" ht="15" hidden="false" customHeight="false" outlineLevel="0" collapsed="false">
      <c r="A363" s="16" t="s">
        <v>3661</v>
      </c>
      <c r="B363" s="16" t="s">
        <v>84</v>
      </c>
      <c r="C363" s="16" t="s">
        <v>3300</v>
      </c>
      <c r="D363" s="22" t="n">
        <v>45937</v>
      </c>
      <c r="E363" s="16" t="s">
        <v>633</v>
      </c>
    </row>
    <row r="364" customFormat="false" ht="15" hidden="false" customHeight="false" outlineLevel="0" collapsed="false">
      <c r="A364" s="16" t="s">
        <v>3662</v>
      </c>
      <c r="B364" s="16" t="s">
        <v>84</v>
      </c>
      <c r="C364" s="16" t="s">
        <v>3298</v>
      </c>
      <c r="D364" s="22" t="n">
        <v>46208</v>
      </c>
      <c r="E364" s="16" t="s">
        <v>633</v>
      </c>
    </row>
    <row r="365" customFormat="false" ht="15" hidden="false" customHeight="false" outlineLevel="0" collapsed="false">
      <c r="A365" s="16" t="s">
        <v>3663</v>
      </c>
      <c r="B365" s="16" t="s">
        <v>84</v>
      </c>
      <c r="C365" s="16" t="s">
        <v>3298</v>
      </c>
      <c r="D365" s="22" t="n">
        <v>46205</v>
      </c>
      <c r="E365" s="16" t="s">
        <v>633</v>
      </c>
    </row>
    <row r="366" customFormat="false" ht="15" hidden="false" customHeight="false" outlineLevel="0" collapsed="false">
      <c r="A366" s="16" t="s">
        <v>3664</v>
      </c>
      <c r="B366" s="16" t="s">
        <v>84</v>
      </c>
      <c r="C366" s="16" t="s">
        <v>3306</v>
      </c>
      <c r="D366" s="22" t="n">
        <v>46150</v>
      </c>
      <c r="E366" s="16" t="s">
        <v>633</v>
      </c>
    </row>
    <row r="367" customFormat="false" ht="15" hidden="false" customHeight="false" outlineLevel="0" collapsed="false">
      <c r="A367" s="16" t="s">
        <v>3665</v>
      </c>
      <c r="B367" s="16" t="s">
        <v>84</v>
      </c>
      <c r="C367" s="16" t="s">
        <v>3300</v>
      </c>
      <c r="D367" s="22" t="n">
        <v>46037</v>
      </c>
      <c r="E367" s="16" t="s">
        <v>633</v>
      </c>
    </row>
    <row r="368" customFormat="false" ht="15" hidden="false" customHeight="false" outlineLevel="0" collapsed="false">
      <c r="A368" s="16" t="s">
        <v>3666</v>
      </c>
      <c r="B368" s="16" t="s">
        <v>84</v>
      </c>
      <c r="C368" s="16" t="s">
        <v>3300</v>
      </c>
      <c r="D368" s="22" t="n">
        <v>46040</v>
      </c>
      <c r="E368" s="16" t="s">
        <v>633</v>
      </c>
    </row>
    <row r="369" customFormat="false" ht="15" hidden="false" customHeight="false" outlineLevel="0" collapsed="false">
      <c r="A369" s="16" t="s">
        <v>3667</v>
      </c>
      <c r="B369" s="16" t="s">
        <v>85</v>
      </c>
      <c r="C369" s="16" t="s">
        <v>3302</v>
      </c>
      <c r="D369" s="22" t="n">
        <v>46250</v>
      </c>
      <c r="E369" s="16" t="s">
        <v>691</v>
      </c>
    </row>
    <row r="370" customFormat="false" ht="15" hidden="false" customHeight="false" outlineLevel="0" collapsed="false">
      <c r="A370" s="16" t="s">
        <v>3668</v>
      </c>
      <c r="B370" s="16" t="s">
        <v>85</v>
      </c>
      <c r="C370" s="16" t="s">
        <v>3310</v>
      </c>
      <c r="D370" s="22" t="n">
        <v>46110</v>
      </c>
      <c r="E370" s="16" t="s">
        <v>691</v>
      </c>
    </row>
    <row r="371" customFormat="false" ht="15" hidden="false" customHeight="false" outlineLevel="0" collapsed="false">
      <c r="A371" s="16" t="s">
        <v>3669</v>
      </c>
      <c r="B371" s="16" t="s">
        <v>85</v>
      </c>
      <c r="C371" s="16" t="s">
        <v>3306</v>
      </c>
      <c r="D371" s="22" t="n">
        <v>46136</v>
      </c>
      <c r="E371" s="16" t="s">
        <v>691</v>
      </c>
    </row>
    <row r="372" customFormat="false" ht="15" hidden="false" customHeight="false" outlineLevel="0" collapsed="false">
      <c r="A372" s="16" t="s">
        <v>3670</v>
      </c>
      <c r="B372" s="16" t="s">
        <v>85</v>
      </c>
      <c r="C372" s="16" t="s">
        <v>3310</v>
      </c>
      <c r="D372" s="22" t="n">
        <v>46230</v>
      </c>
      <c r="E372" s="16" t="s">
        <v>691</v>
      </c>
    </row>
    <row r="373" customFormat="false" ht="15" hidden="false" customHeight="false" outlineLevel="0" collapsed="false">
      <c r="A373" s="16" t="s">
        <v>3671</v>
      </c>
      <c r="B373" s="16" t="s">
        <v>85</v>
      </c>
      <c r="C373" s="16" t="s">
        <v>3300</v>
      </c>
      <c r="D373" s="22" t="n">
        <v>46104</v>
      </c>
      <c r="E373" s="16" t="s">
        <v>691</v>
      </c>
    </row>
    <row r="374" customFormat="false" ht="15" hidden="false" customHeight="false" outlineLevel="0" collapsed="false">
      <c r="A374" s="16" t="s">
        <v>3672</v>
      </c>
      <c r="B374" s="16" t="s">
        <v>85</v>
      </c>
      <c r="C374" s="16" t="s">
        <v>3310</v>
      </c>
      <c r="D374" s="22" t="n">
        <v>46017</v>
      </c>
      <c r="E374" s="16" t="s">
        <v>691</v>
      </c>
    </row>
    <row r="375" customFormat="false" ht="15" hidden="false" customHeight="false" outlineLevel="0" collapsed="false">
      <c r="A375" s="16" t="s">
        <v>3673</v>
      </c>
      <c r="B375" s="16" t="s">
        <v>85</v>
      </c>
      <c r="C375" s="16" t="s">
        <v>3302</v>
      </c>
      <c r="D375" s="22" t="n">
        <v>45979</v>
      </c>
      <c r="E375" s="16" t="s">
        <v>691</v>
      </c>
    </row>
    <row r="376" customFormat="false" ht="15" hidden="false" customHeight="false" outlineLevel="0" collapsed="false">
      <c r="A376" s="16" t="s">
        <v>3674</v>
      </c>
      <c r="B376" s="16" t="s">
        <v>85</v>
      </c>
      <c r="C376" s="16" t="s">
        <v>3302</v>
      </c>
      <c r="D376" s="22" t="n">
        <v>45929</v>
      </c>
      <c r="E376" s="16" t="s">
        <v>691</v>
      </c>
    </row>
    <row r="377" customFormat="false" ht="15" hidden="false" customHeight="false" outlineLevel="0" collapsed="false">
      <c r="A377" s="16" t="s">
        <v>3675</v>
      </c>
      <c r="B377" s="16" t="s">
        <v>85</v>
      </c>
      <c r="C377" s="16" t="s">
        <v>3300</v>
      </c>
      <c r="D377" s="22" t="n">
        <v>46160</v>
      </c>
      <c r="E377" s="16" t="s">
        <v>691</v>
      </c>
    </row>
    <row r="378" customFormat="false" ht="15" hidden="false" customHeight="false" outlineLevel="0" collapsed="false">
      <c r="A378" s="16" t="s">
        <v>3676</v>
      </c>
      <c r="B378" s="16" t="s">
        <v>85</v>
      </c>
      <c r="C378" s="16" t="s">
        <v>3302</v>
      </c>
      <c r="D378" s="22" t="n">
        <v>45948</v>
      </c>
      <c r="E378" s="16" t="s">
        <v>691</v>
      </c>
    </row>
    <row r="379" customFormat="false" ht="15" hidden="false" customHeight="false" outlineLevel="0" collapsed="false">
      <c r="A379" s="16" t="s">
        <v>3677</v>
      </c>
      <c r="B379" s="16" t="s">
        <v>85</v>
      </c>
      <c r="C379" s="16" t="s">
        <v>3330</v>
      </c>
      <c r="D379" s="22" t="n">
        <v>45939</v>
      </c>
      <c r="E379" s="16" t="s">
        <v>691</v>
      </c>
    </row>
    <row r="380" customFormat="false" ht="15" hidden="false" customHeight="false" outlineLevel="0" collapsed="false">
      <c r="A380" s="16" t="s">
        <v>3678</v>
      </c>
      <c r="B380" s="16" t="s">
        <v>85</v>
      </c>
      <c r="C380" s="16" t="s">
        <v>3300</v>
      </c>
      <c r="D380" s="22" t="n">
        <v>45921</v>
      </c>
      <c r="E380" s="16" t="s">
        <v>691</v>
      </c>
    </row>
    <row r="381" customFormat="false" ht="15" hidden="false" customHeight="false" outlineLevel="0" collapsed="false">
      <c r="A381" s="16" t="s">
        <v>3679</v>
      </c>
      <c r="B381" s="16" t="s">
        <v>85</v>
      </c>
      <c r="C381" s="16" t="s">
        <v>3298</v>
      </c>
      <c r="D381" s="22" t="n">
        <v>46133</v>
      </c>
      <c r="E381" s="16" t="s">
        <v>691</v>
      </c>
    </row>
    <row r="382" customFormat="false" ht="15" hidden="false" customHeight="false" outlineLevel="0" collapsed="false">
      <c r="A382" s="16" t="s">
        <v>3680</v>
      </c>
      <c r="B382" s="16" t="s">
        <v>85</v>
      </c>
      <c r="C382" s="16" t="s">
        <v>3302</v>
      </c>
      <c r="D382" s="22" t="n">
        <v>46205</v>
      </c>
      <c r="E382" s="16" t="s">
        <v>691</v>
      </c>
    </row>
    <row r="383" customFormat="false" ht="15" hidden="false" customHeight="false" outlineLevel="0" collapsed="false">
      <c r="A383" s="16" t="s">
        <v>3681</v>
      </c>
      <c r="B383" s="16" t="s">
        <v>85</v>
      </c>
      <c r="C383" s="16" t="s">
        <v>3310</v>
      </c>
      <c r="D383" s="22" t="n">
        <v>46148</v>
      </c>
      <c r="E383" s="16" t="s">
        <v>691</v>
      </c>
    </row>
    <row r="384" customFormat="false" ht="15" hidden="false" customHeight="false" outlineLevel="0" collapsed="false">
      <c r="A384" s="16" t="s">
        <v>3682</v>
      </c>
      <c r="B384" s="16" t="s">
        <v>85</v>
      </c>
      <c r="C384" s="16" t="s">
        <v>3310</v>
      </c>
      <c r="D384" s="22" t="n">
        <v>45999</v>
      </c>
      <c r="E384" s="16" t="s">
        <v>691</v>
      </c>
    </row>
    <row r="385" customFormat="false" ht="15" hidden="false" customHeight="false" outlineLevel="0" collapsed="false">
      <c r="A385" s="16" t="s">
        <v>3683</v>
      </c>
      <c r="B385" s="16" t="s">
        <v>85</v>
      </c>
      <c r="C385" s="16" t="s">
        <v>3298</v>
      </c>
      <c r="D385" s="22" t="n">
        <v>46307</v>
      </c>
      <c r="E385" s="16" t="s">
        <v>691</v>
      </c>
    </row>
    <row r="386" customFormat="false" ht="15" hidden="false" customHeight="false" outlineLevel="0" collapsed="false">
      <c r="A386" s="16" t="s">
        <v>3684</v>
      </c>
      <c r="B386" s="16" t="s">
        <v>86</v>
      </c>
      <c r="C386" s="16" t="s">
        <v>3330</v>
      </c>
      <c r="D386" s="22" t="n">
        <v>46236</v>
      </c>
      <c r="E386" s="16" t="s">
        <v>654</v>
      </c>
    </row>
    <row r="387" customFormat="false" ht="15" hidden="false" customHeight="false" outlineLevel="0" collapsed="false">
      <c r="A387" s="16" t="s">
        <v>3685</v>
      </c>
      <c r="B387" s="16" t="s">
        <v>86</v>
      </c>
      <c r="C387" s="16" t="s">
        <v>3306</v>
      </c>
      <c r="D387" s="22" t="n">
        <v>46086</v>
      </c>
      <c r="E387" s="16" t="s">
        <v>654</v>
      </c>
    </row>
    <row r="388" customFormat="false" ht="15" hidden="false" customHeight="false" outlineLevel="0" collapsed="false">
      <c r="A388" s="16" t="s">
        <v>3686</v>
      </c>
      <c r="B388" s="16" t="s">
        <v>86</v>
      </c>
      <c r="C388" s="16" t="s">
        <v>3302</v>
      </c>
      <c r="D388" s="22" t="n">
        <v>46074</v>
      </c>
      <c r="E388" s="16" t="s">
        <v>654</v>
      </c>
    </row>
    <row r="389" customFormat="false" ht="15" hidden="false" customHeight="false" outlineLevel="0" collapsed="false">
      <c r="A389" s="16" t="s">
        <v>3687</v>
      </c>
      <c r="B389" s="16" t="s">
        <v>86</v>
      </c>
      <c r="C389" s="16" t="s">
        <v>3302</v>
      </c>
      <c r="D389" s="22" t="n">
        <v>46114</v>
      </c>
      <c r="E389" s="16" t="s">
        <v>654</v>
      </c>
    </row>
    <row r="390" customFormat="false" ht="15" hidden="false" customHeight="false" outlineLevel="0" collapsed="false">
      <c r="A390" s="16" t="s">
        <v>3688</v>
      </c>
      <c r="B390" s="16" t="s">
        <v>86</v>
      </c>
      <c r="C390" s="16" t="s">
        <v>3298</v>
      </c>
      <c r="D390" s="22" t="n">
        <v>46144</v>
      </c>
      <c r="E390" s="16" t="s">
        <v>654</v>
      </c>
    </row>
    <row r="391" customFormat="false" ht="15" hidden="false" customHeight="false" outlineLevel="0" collapsed="false">
      <c r="A391" s="16" t="s">
        <v>3689</v>
      </c>
      <c r="B391" s="16" t="s">
        <v>86</v>
      </c>
      <c r="C391" s="16" t="s">
        <v>3330</v>
      </c>
      <c r="D391" s="22" t="n">
        <v>46063</v>
      </c>
      <c r="E391" s="16" t="s">
        <v>654</v>
      </c>
    </row>
    <row r="392" customFormat="false" ht="15" hidden="false" customHeight="false" outlineLevel="0" collapsed="false">
      <c r="A392" s="16" t="s">
        <v>3690</v>
      </c>
      <c r="B392" s="16" t="s">
        <v>86</v>
      </c>
      <c r="C392" s="16" t="s">
        <v>3300</v>
      </c>
      <c r="D392" s="22" t="n">
        <v>46308</v>
      </c>
      <c r="E392" s="16" t="s">
        <v>654</v>
      </c>
    </row>
    <row r="393" customFormat="false" ht="15" hidden="false" customHeight="false" outlineLevel="0" collapsed="false">
      <c r="A393" s="16" t="s">
        <v>3691</v>
      </c>
      <c r="B393" s="16" t="s">
        <v>86</v>
      </c>
      <c r="C393" s="16" t="s">
        <v>3302</v>
      </c>
      <c r="D393" s="22" t="n">
        <v>46068</v>
      </c>
      <c r="E393" s="16" t="s">
        <v>654</v>
      </c>
    </row>
    <row r="394" customFormat="false" ht="15" hidden="false" customHeight="false" outlineLevel="0" collapsed="false">
      <c r="A394" s="16" t="s">
        <v>3692</v>
      </c>
      <c r="B394" s="16" t="s">
        <v>86</v>
      </c>
      <c r="C394" s="16" t="s">
        <v>3302</v>
      </c>
      <c r="D394" s="22" t="n">
        <v>45941</v>
      </c>
      <c r="E394" s="16" t="s">
        <v>654</v>
      </c>
    </row>
    <row r="395" customFormat="false" ht="15" hidden="false" customHeight="false" outlineLevel="0" collapsed="false">
      <c r="A395" s="16" t="s">
        <v>3693</v>
      </c>
      <c r="B395" s="16" t="s">
        <v>86</v>
      </c>
      <c r="C395" s="16" t="s">
        <v>3300</v>
      </c>
      <c r="D395" s="22" t="n">
        <v>46273</v>
      </c>
      <c r="E395" s="16" t="s">
        <v>654</v>
      </c>
    </row>
    <row r="396" customFormat="false" ht="15" hidden="false" customHeight="false" outlineLevel="0" collapsed="false">
      <c r="A396" s="16" t="s">
        <v>3694</v>
      </c>
      <c r="B396" s="16" t="s">
        <v>86</v>
      </c>
      <c r="C396" s="16" t="s">
        <v>3300</v>
      </c>
      <c r="D396" s="22" t="n">
        <v>46268</v>
      </c>
      <c r="E396" s="16" t="s">
        <v>654</v>
      </c>
    </row>
    <row r="397" customFormat="false" ht="15" hidden="false" customHeight="false" outlineLevel="0" collapsed="false">
      <c r="A397" s="16" t="s">
        <v>3695</v>
      </c>
      <c r="B397" s="16" t="s">
        <v>86</v>
      </c>
      <c r="C397" s="16" t="s">
        <v>3330</v>
      </c>
      <c r="D397" s="22" t="n">
        <v>46248</v>
      </c>
      <c r="E397" s="16" t="s">
        <v>654</v>
      </c>
    </row>
    <row r="398" customFormat="false" ht="15" hidden="false" customHeight="false" outlineLevel="0" collapsed="false">
      <c r="A398" s="16" t="s">
        <v>3696</v>
      </c>
      <c r="B398" s="16" t="s">
        <v>86</v>
      </c>
      <c r="C398" s="16" t="s">
        <v>3330</v>
      </c>
      <c r="D398" s="22" t="n">
        <v>46029</v>
      </c>
      <c r="E398" s="16" t="s">
        <v>654</v>
      </c>
    </row>
    <row r="399" customFormat="false" ht="15" hidden="false" customHeight="false" outlineLevel="0" collapsed="false">
      <c r="A399" s="16" t="s">
        <v>3697</v>
      </c>
      <c r="B399" s="16" t="s">
        <v>86</v>
      </c>
      <c r="C399" s="16" t="s">
        <v>3310</v>
      </c>
      <c r="D399" s="22" t="n">
        <v>45980</v>
      </c>
      <c r="E399" s="16" t="s">
        <v>654</v>
      </c>
    </row>
    <row r="400" customFormat="false" ht="15" hidden="false" customHeight="false" outlineLevel="0" collapsed="false">
      <c r="A400" s="16" t="s">
        <v>3698</v>
      </c>
      <c r="B400" s="16" t="s">
        <v>86</v>
      </c>
      <c r="C400" s="16" t="s">
        <v>3310</v>
      </c>
      <c r="D400" s="22" t="n">
        <v>46229</v>
      </c>
      <c r="E400" s="16" t="s">
        <v>654</v>
      </c>
    </row>
    <row r="401" customFormat="false" ht="15" hidden="false" customHeight="false" outlineLevel="0" collapsed="false">
      <c r="A401" s="16" t="s">
        <v>3699</v>
      </c>
      <c r="B401" s="16" t="s">
        <v>86</v>
      </c>
      <c r="C401" s="16" t="s">
        <v>3330</v>
      </c>
      <c r="D401" s="22" t="n">
        <v>46239</v>
      </c>
      <c r="E401" s="16" t="s">
        <v>654</v>
      </c>
    </row>
    <row r="402" customFormat="false" ht="15" hidden="false" customHeight="false" outlineLevel="0" collapsed="false">
      <c r="A402" s="16" t="s">
        <v>3700</v>
      </c>
      <c r="B402" s="16" t="s">
        <v>86</v>
      </c>
      <c r="C402" s="16" t="s">
        <v>3298</v>
      </c>
      <c r="D402" s="22" t="n">
        <v>45971</v>
      </c>
      <c r="E402" s="16" t="s">
        <v>654</v>
      </c>
    </row>
    <row r="403" customFormat="false" ht="15" hidden="false" customHeight="false" outlineLevel="0" collapsed="false">
      <c r="A403" s="16" t="s">
        <v>3701</v>
      </c>
      <c r="B403" s="16" t="s">
        <v>86</v>
      </c>
      <c r="C403" s="16" t="s">
        <v>3298</v>
      </c>
      <c r="D403" s="22" t="n">
        <v>46215</v>
      </c>
      <c r="E403" s="16" t="s">
        <v>654</v>
      </c>
    </row>
    <row r="404" customFormat="false" ht="15" hidden="false" customHeight="false" outlineLevel="0" collapsed="false">
      <c r="A404" s="16" t="s">
        <v>3702</v>
      </c>
      <c r="B404" s="16" t="s">
        <v>87</v>
      </c>
      <c r="C404" s="16" t="s">
        <v>3298</v>
      </c>
      <c r="D404" s="22" t="n">
        <v>46279</v>
      </c>
      <c r="E404" s="16" t="s">
        <v>640</v>
      </c>
    </row>
    <row r="405" customFormat="false" ht="15" hidden="false" customHeight="false" outlineLevel="0" collapsed="false">
      <c r="A405" s="16" t="s">
        <v>3703</v>
      </c>
      <c r="B405" s="16" t="s">
        <v>87</v>
      </c>
      <c r="C405" s="16" t="s">
        <v>3310</v>
      </c>
      <c r="D405" s="22" t="n">
        <v>46312</v>
      </c>
      <c r="E405" s="16" t="s">
        <v>640</v>
      </c>
    </row>
    <row r="406" customFormat="false" ht="15" hidden="false" customHeight="false" outlineLevel="0" collapsed="false">
      <c r="A406" s="16" t="s">
        <v>3704</v>
      </c>
      <c r="B406" s="16" t="s">
        <v>87</v>
      </c>
      <c r="C406" s="16" t="s">
        <v>3300</v>
      </c>
      <c r="D406" s="22" t="n">
        <v>46222</v>
      </c>
      <c r="E406" s="16" t="s">
        <v>640</v>
      </c>
    </row>
    <row r="407" customFormat="false" ht="15" hidden="false" customHeight="false" outlineLevel="0" collapsed="false">
      <c r="A407" s="16" t="s">
        <v>3705</v>
      </c>
      <c r="B407" s="16" t="s">
        <v>87</v>
      </c>
      <c r="C407" s="16" t="s">
        <v>3302</v>
      </c>
      <c r="D407" s="22" t="n">
        <v>46109</v>
      </c>
      <c r="E407" s="16" t="s">
        <v>640</v>
      </c>
    </row>
    <row r="408" customFormat="false" ht="15" hidden="false" customHeight="false" outlineLevel="0" collapsed="false">
      <c r="A408" s="16" t="s">
        <v>3706</v>
      </c>
      <c r="B408" s="16" t="s">
        <v>87</v>
      </c>
      <c r="C408" s="16" t="s">
        <v>3302</v>
      </c>
      <c r="D408" s="22" t="n">
        <v>46163</v>
      </c>
      <c r="E408" s="16" t="s">
        <v>640</v>
      </c>
    </row>
    <row r="409" customFormat="false" ht="15" hidden="false" customHeight="false" outlineLevel="0" collapsed="false">
      <c r="A409" s="16" t="s">
        <v>3707</v>
      </c>
      <c r="B409" s="16" t="s">
        <v>87</v>
      </c>
      <c r="C409" s="16" t="s">
        <v>3306</v>
      </c>
      <c r="D409" s="22" t="n">
        <v>46077</v>
      </c>
      <c r="E409" s="16" t="s">
        <v>640</v>
      </c>
    </row>
    <row r="410" customFormat="false" ht="15" hidden="false" customHeight="false" outlineLevel="0" collapsed="false">
      <c r="A410" s="16" t="s">
        <v>3708</v>
      </c>
      <c r="B410" s="16" t="s">
        <v>87</v>
      </c>
      <c r="C410" s="16" t="s">
        <v>3302</v>
      </c>
      <c r="D410" s="22" t="n">
        <v>46212</v>
      </c>
      <c r="E410" s="16" t="s">
        <v>640</v>
      </c>
    </row>
    <row r="411" customFormat="false" ht="15" hidden="false" customHeight="false" outlineLevel="0" collapsed="false">
      <c r="A411" s="16" t="s">
        <v>3709</v>
      </c>
      <c r="B411" s="16" t="s">
        <v>87</v>
      </c>
      <c r="C411" s="16" t="s">
        <v>3306</v>
      </c>
      <c r="D411" s="22" t="n">
        <v>45961</v>
      </c>
      <c r="E411" s="16" t="s">
        <v>640</v>
      </c>
    </row>
    <row r="412" customFormat="false" ht="15" hidden="false" customHeight="false" outlineLevel="0" collapsed="false">
      <c r="A412" s="16" t="s">
        <v>3710</v>
      </c>
      <c r="B412" s="16" t="s">
        <v>87</v>
      </c>
      <c r="C412" s="16" t="s">
        <v>3310</v>
      </c>
      <c r="D412" s="22" t="n">
        <v>46014</v>
      </c>
      <c r="E412" s="16" t="s">
        <v>640</v>
      </c>
    </row>
    <row r="413" customFormat="false" ht="15" hidden="false" customHeight="false" outlineLevel="0" collapsed="false">
      <c r="A413" s="16" t="s">
        <v>3711</v>
      </c>
      <c r="B413" s="16" t="s">
        <v>87</v>
      </c>
      <c r="C413" s="16" t="s">
        <v>3298</v>
      </c>
      <c r="D413" s="22" t="n">
        <v>45976</v>
      </c>
      <c r="E413" s="16" t="s">
        <v>640</v>
      </c>
    </row>
    <row r="414" customFormat="false" ht="15" hidden="false" customHeight="false" outlineLevel="0" collapsed="false">
      <c r="A414" s="16" t="s">
        <v>3712</v>
      </c>
      <c r="B414" s="16" t="s">
        <v>87</v>
      </c>
      <c r="C414" s="16" t="s">
        <v>3302</v>
      </c>
      <c r="D414" s="22" t="n">
        <v>45942</v>
      </c>
      <c r="E414" s="16" t="s">
        <v>640</v>
      </c>
    </row>
    <row r="415" customFormat="false" ht="15" hidden="false" customHeight="false" outlineLevel="0" collapsed="false">
      <c r="A415" s="16" t="s">
        <v>3713</v>
      </c>
      <c r="B415" s="16" t="s">
        <v>87</v>
      </c>
      <c r="C415" s="16" t="s">
        <v>3300</v>
      </c>
      <c r="D415" s="22" t="n">
        <v>45942</v>
      </c>
      <c r="E415" s="16" t="s">
        <v>640</v>
      </c>
    </row>
    <row r="416" customFormat="false" ht="15" hidden="false" customHeight="false" outlineLevel="0" collapsed="false">
      <c r="A416" s="16" t="s">
        <v>3714</v>
      </c>
      <c r="B416" s="16" t="s">
        <v>87</v>
      </c>
      <c r="C416" s="16" t="s">
        <v>3300</v>
      </c>
      <c r="D416" s="22" t="n">
        <v>45920</v>
      </c>
      <c r="E416" s="16" t="s">
        <v>640</v>
      </c>
    </row>
    <row r="417" customFormat="false" ht="15" hidden="false" customHeight="false" outlineLevel="0" collapsed="false">
      <c r="A417" s="16" t="s">
        <v>3715</v>
      </c>
      <c r="B417" s="16" t="s">
        <v>87</v>
      </c>
      <c r="C417" s="16" t="s">
        <v>3310</v>
      </c>
      <c r="D417" s="22" t="n">
        <v>46297</v>
      </c>
      <c r="E417" s="16" t="s">
        <v>640</v>
      </c>
    </row>
    <row r="418" customFormat="false" ht="15" hidden="false" customHeight="false" outlineLevel="0" collapsed="false">
      <c r="A418" s="16" t="s">
        <v>3716</v>
      </c>
      <c r="B418" s="16" t="s">
        <v>88</v>
      </c>
      <c r="C418" s="16" t="s">
        <v>3300</v>
      </c>
      <c r="D418" s="22" t="n">
        <v>46144</v>
      </c>
      <c r="E418" s="16" t="s">
        <v>596</v>
      </c>
    </row>
    <row r="419" customFormat="false" ht="15" hidden="false" customHeight="false" outlineLevel="0" collapsed="false">
      <c r="A419" s="16" t="s">
        <v>3717</v>
      </c>
      <c r="B419" s="16" t="s">
        <v>88</v>
      </c>
      <c r="C419" s="16" t="s">
        <v>3310</v>
      </c>
      <c r="D419" s="22" t="n">
        <v>46014</v>
      </c>
      <c r="E419" s="16" t="s">
        <v>596</v>
      </c>
    </row>
    <row r="420" customFormat="false" ht="15" hidden="false" customHeight="false" outlineLevel="0" collapsed="false">
      <c r="A420" s="16" t="s">
        <v>3718</v>
      </c>
      <c r="B420" s="16" t="s">
        <v>88</v>
      </c>
      <c r="C420" s="16" t="s">
        <v>3300</v>
      </c>
      <c r="D420" s="22" t="n">
        <v>46281</v>
      </c>
      <c r="E420" s="16" t="s">
        <v>596</v>
      </c>
    </row>
    <row r="421" customFormat="false" ht="15" hidden="false" customHeight="false" outlineLevel="0" collapsed="false">
      <c r="A421" s="16" t="s">
        <v>3719</v>
      </c>
      <c r="B421" s="16" t="s">
        <v>88</v>
      </c>
      <c r="C421" s="16" t="s">
        <v>3306</v>
      </c>
      <c r="D421" s="22" t="n">
        <v>46011</v>
      </c>
      <c r="E421" s="16" t="s">
        <v>596</v>
      </c>
    </row>
    <row r="422" customFormat="false" ht="15" hidden="false" customHeight="false" outlineLevel="0" collapsed="false">
      <c r="A422" s="16" t="s">
        <v>3720</v>
      </c>
      <c r="B422" s="16" t="s">
        <v>88</v>
      </c>
      <c r="C422" s="16" t="s">
        <v>3300</v>
      </c>
      <c r="D422" s="22" t="n">
        <v>46031</v>
      </c>
      <c r="E422" s="16" t="s">
        <v>596</v>
      </c>
    </row>
    <row r="423" customFormat="false" ht="15" hidden="false" customHeight="false" outlineLevel="0" collapsed="false">
      <c r="A423" s="16" t="s">
        <v>3721</v>
      </c>
      <c r="B423" s="16" t="s">
        <v>88</v>
      </c>
      <c r="C423" s="16" t="s">
        <v>3302</v>
      </c>
      <c r="D423" s="22" t="n">
        <v>46212</v>
      </c>
      <c r="E423" s="16" t="s">
        <v>596</v>
      </c>
    </row>
    <row r="424" customFormat="false" ht="15" hidden="false" customHeight="false" outlineLevel="0" collapsed="false">
      <c r="A424" s="16" t="s">
        <v>3722</v>
      </c>
      <c r="B424" s="16" t="s">
        <v>88</v>
      </c>
      <c r="C424" s="16" t="s">
        <v>3330</v>
      </c>
      <c r="D424" s="22" t="n">
        <v>46091</v>
      </c>
      <c r="E424" s="16" t="s">
        <v>596</v>
      </c>
    </row>
    <row r="425" customFormat="false" ht="15" hidden="false" customHeight="false" outlineLevel="0" collapsed="false">
      <c r="A425" s="16" t="s">
        <v>3723</v>
      </c>
      <c r="B425" s="16" t="s">
        <v>88</v>
      </c>
      <c r="C425" s="16" t="s">
        <v>3302</v>
      </c>
      <c r="D425" s="22" t="n">
        <v>45963</v>
      </c>
      <c r="E425" s="16" t="s">
        <v>596</v>
      </c>
    </row>
    <row r="426" customFormat="false" ht="15" hidden="false" customHeight="false" outlineLevel="0" collapsed="false">
      <c r="A426" s="16" t="s">
        <v>3724</v>
      </c>
      <c r="B426" s="16" t="s">
        <v>88</v>
      </c>
      <c r="C426" s="16" t="s">
        <v>3298</v>
      </c>
      <c r="D426" s="22" t="n">
        <v>46279</v>
      </c>
      <c r="E426" s="16" t="s">
        <v>596</v>
      </c>
    </row>
    <row r="427" customFormat="false" ht="15" hidden="false" customHeight="false" outlineLevel="0" collapsed="false">
      <c r="A427" s="16" t="s">
        <v>3725</v>
      </c>
      <c r="B427" s="16" t="s">
        <v>88</v>
      </c>
      <c r="C427" s="16" t="s">
        <v>3300</v>
      </c>
      <c r="D427" s="22" t="n">
        <v>46228</v>
      </c>
      <c r="E427" s="16" t="s">
        <v>596</v>
      </c>
    </row>
    <row r="428" customFormat="false" ht="15" hidden="false" customHeight="false" outlineLevel="0" collapsed="false">
      <c r="A428" s="16" t="s">
        <v>3726</v>
      </c>
      <c r="B428" s="16" t="s">
        <v>88</v>
      </c>
      <c r="C428" s="16" t="s">
        <v>3302</v>
      </c>
      <c r="D428" s="22" t="n">
        <v>46281</v>
      </c>
      <c r="E428" s="16" t="s">
        <v>596</v>
      </c>
    </row>
    <row r="429" customFormat="false" ht="15" hidden="false" customHeight="false" outlineLevel="0" collapsed="false">
      <c r="A429" s="16" t="s">
        <v>3727</v>
      </c>
      <c r="B429" s="16" t="s">
        <v>88</v>
      </c>
      <c r="C429" s="16" t="s">
        <v>3310</v>
      </c>
      <c r="D429" s="22" t="n">
        <v>46013</v>
      </c>
      <c r="E429" s="16" t="s">
        <v>596</v>
      </c>
    </row>
    <row r="430" customFormat="false" ht="15" hidden="false" customHeight="false" outlineLevel="0" collapsed="false">
      <c r="A430" s="16" t="s">
        <v>3728</v>
      </c>
      <c r="B430" s="16" t="s">
        <v>88</v>
      </c>
      <c r="C430" s="16" t="s">
        <v>3330</v>
      </c>
      <c r="D430" s="22" t="n">
        <v>46009</v>
      </c>
      <c r="E430" s="16" t="s">
        <v>596</v>
      </c>
    </row>
    <row r="431" customFormat="false" ht="15" hidden="false" customHeight="false" outlineLevel="0" collapsed="false">
      <c r="A431" s="16" t="s">
        <v>3729</v>
      </c>
      <c r="B431" s="16" t="s">
        <v>88</v>
      </c>
      <c r="C431" s="16" t="s">
        <v>3330</v>
      </c>
      <c r="D431" s="22" t="n">
        <v>45933</v>
      </c>
      <c r="E431" s="16" t="s">
        <v>596</v>
      </c>
    </row>
    <row r="432" customFormat="false" ht="15" hidden="false" customHeight="false" outlineLevel="0" collapsed="false">
      <c r="A432" s="16" t="s">
        <v>3730</v>
      </c>
      <c r="B432" s="16" t="s">
        <v>88</v>
      </c>
      <c r="C432" s="16" t="s">
        <v>3302</v>
      </c>
      <c r="D432" s="22" t="n">
        <v>46298</v>
      </c>
      <c r="E432" s="16" t="s">
        <v>596</v>
      </c>
    </row>
    <row r="433" customFormat="false" ht="15" hidden="false" customHeight="false" outlineLevel="0" collapsed="false">
      <c r="A433" s="16" t="s">
        <v>3731</v>
      </c>
      <c r="B433" s="16" t="s">
        <v>88</v>
      </c>
      <c r="C433" s="16" t="s">
        <v>3310</v>
      </c>
      <c r="D433" s="22" t="n">
        <v>46015</v>
      </c>
      <c r="E433" s="16" t="s">
        <v>596</v>
      </c>
    </row>
    <row r="434" customFormat="false" ht="15" hidden="false" customHeight="false" outlineLevel="0" collapsed="false">
      <c r="A434" s="16" t="s">
        <v>3732</v>
      </c>
      <c r="B434" s="16" t="s">
        <v>89</v>
      </c>
      <c r="C434" s="16" t="s">
        <v>3298</v>
      </c>
      <c r="D434" s="22" t="n">
        <v>45917</v>
      </c>
      <c r="E434" s="16" t="s">
        <v>704</v>
      </c>
    </row>
    <row r="435" customFormat="false" ht="15" hidden="false" customHeight="false" outlineLevel="0" collapsed="false">
      <c r="A435" s="16" t="s">
        <v>3733</v>
      </c>
      <c r="B435" s="16" t="s">
        <v>89</v>
      </c>
      <c r="C435" s="16" t="s">
        <v>3306</v>
      </c>
      <c r="D435" s="22" t="n">
        <v>46266</v>
      </c>
      <c r="E435" s="16" t="s">
        <v>704</v>
      </c>
    </row>
    <row r="436" customFormat="false" ht="15" hidden="false" customHeight="false" outlineLevel="0" collapsed="false">
      <c r="A436" s="16" t="s">
        <v>3734</v>
      </c>
      <c r="B436" s="16" t="s">
        <v>89</v>
      </c>
      <c r="C436" s="16" t="s">
        <v>3310</v>
      </c>
      <c r="D436" s="22" t="n">
        <v>46204</v>
      </c>
      <c r="E436" s="16" t="s">
        <v>704</v>
      </c>
    </row>
    <row r="437" customFormat="false" ht="15" hidden="false" customHeight="false" outlineLevel="0" collapsed="false">
      <c r="A437" s="16" t="s">
        <v>3735</v>
      </c>
      <c r="B437" s="16" t="s">
        <v>89</v>
      </c>
      <c r="C437" s="16" t="s">
        <v>3330</v>
      </c>
      <c r="D437" s="22" t="n">
        <v>45932</v>
      </c>
      <c r="E437" s="16" t="s">
        <v>704</v>
      </c>
    </row>
    <row r="438" customFormat="false" ht="15" hidden="false" customHeight="false" outlineLevel="0" collapsed="false">
      <c r="A438" s="16" t="s">
        <v>3736</v>
      </c>
      <c r="B438" s="16" t="s">
        <v>89</v>
      </c>
      <c r="C438" s="16" t="s">
        <v>3310</v>
      </c>
      <c r="D438" s="22" t="n">
        <v>46168</v>
      </c>
      <c r="E438" s="16" t="s">
        <v>704</v>
      </c>
    </row>
    <row r="439" customFormat="false" ht="15" hidden="false" customHeight="false" outlineLevel="0" collapsed="false">
      <c r="A439" s="16" t="s">
        <v>3737</v>
      </c>
      <c r="B439" s="16" t="s">
        <v>89</v>
      </c>
      <c r="C439" s="16" t="s">
        <v>3306</v>
      </c>
      <c r="D439" s="22" t="n">
        <v>46131</v>
      </c>
      <c r="E439" s="16" t="s">
        <v>704</v>
      </c>
    </row>
    <row r="440" customFormat="false" ht="15" hidden="false" customHeight="false" outlineLevel="0" collapsed="false">
      <c r="A440" s="16" t="s">
        <v>3738</v>
      </c>
      <c r="B440" s="16" t="s">
        <v>89</v>
      </c>
      <c r="C440" s="16" t="s">
        <v>3302</v>
      </c>
      <c r="D440" s="22" t="n">
        <v>46094</v>
      </c>
      <c r="E440" s="16" t="s">
        <v>704</v>
      </c>
    </row>
    <row r="441" customFormat="false" ht="15" hidden="false" customHeight="false" outlineLevel="0" collapsed="false">
      <c r="A441" s="16" t="s">
        <v>3739</v>
      </c>
      <c r="B441" s="16" t="s">
        <v>89</v>
      </c>
      <c r="C441" s="16" t="s">
        <v>3330</v>
      </c>
      <c r="D441" s="22" t="n">
        <v>46239</v>
      </c>
      <c r="E441" s="16" t="s">
        <v>704</v>
      </c>
    </row>
    <row r="442" customFormat="false" ht="15" hidden="false" customHeight="false" outlineLevel="0" collapsed="false">
      <c r="A442" s="16" t="s">
        <v>3740</v>
      </c>
      <c r="B442" s="16" t="s">
        <v>89</v>
      </c>
      <c r="C442" s="16" t="s">
        <v>3306</v>
      </c>
      <c r="D442" s="22" t="n">
        <v>46010</v>
      </c>
      <c r="E442" s="16" t="s">
        <v>704</v>
      </c>
    </row>
    <row r="443" customFormat="false" ht="15" hidden="false" customHeight="false" outlineLevel="0" collapsed="false">
      <c r="A443" s="16" t="s">
        <v>3741</v>
      </c>
      <c r="B443" s="16" t="s">
        <v>89</v>
      </c>
      <c r="C443" s="16" t="s">
        <v>3330</v>
      </c>
      <c r="D443" s="22" t="n">
        <v>46022</v>
      </c>
      <c r="E443" s="16" t="s">
        <v>704</v>
      </c>
    </row>
    <row r="444" customFormat="false" ht="15" hidden="false" customHeight="false" outlineLevel="0" collapsed="false">
      <c r="A444" s="16" t="s">
        <v>3742</v>
      </c>
      <c r="B444" s="16" t="s">
        <v>89</v>
      </c>
      <c r="C444" s="16" t="s">
        <v>3302</v>
      </c>
      <c r="D444" s="22" t="n">
        <v>46150</v>
      </c>
      <c r="E444" s="16" t="s">
        <v>704</v>
      </c>
    </row>
    <row r="445" customFormat="false" ht="15" hidden="false" customHeight="false" outlineLevel="0" collapsed="false">
      <c r="A445" s="16" t="s">
        <v>3743</v>
      </c>
      <c r="B445" s="16" t="s">
        <v>89</v>
      </c>
      <c r="C445" s="16" t="s">
        <v>3306</v>
      </c>
      <c r="D445" s="22" t="n">
        <v>46027</v>
      </c>
      <c r="E445" s="16" t="s">
        <v>704</v>
      </c>
    </row>
    <row r="446" customFormat="false" ht="15" hidden="false" customHeight="false" outlineLevel="0" collapsed="false">
      <c r="A446" s="16" t="s">
        <v>3744</v>
      </c>
      <c r="B446" s="16" t="s">
        <v>89</v>
      </c>
      <c r="C446" s="16" t="s">
        <v>3330</v>
      </c>
      <c r="D446" s="22" t="n">
        <v>46222</v>
      </c>
      <c r="E446" s="16" t="s">
        <v>704</v>
      </c>
    </row>
    <row r="447" customFormat="false" ht="15" hidden="false" customHeight="false" outlineLevel="0" collapsed="false">
      <c r="A447" s="16" t="s">
        <v>3745</v>
      </c>
      <c r="B447" s="16" t="s">
        <v>89</v>
      </c>
      <c r="C447" s="16" t="s">
        <v>3330</v>
      </c>
      <c r="D447" s="22" t="n">
        <v>46123</v>
      </c>
      <c r="E447" s="16" t="s">
        <v>704</v>
      </c>
    </row>
    <row r="448" customFormat="false" ht="15" hidden="false" customHeight="false" outlineLevel="0" collapsed="false">
      <c r="A448" s="16" t="s">
        <v>3746</v>
      </c>
      <c r="B448" s="16" t="s">
        <v>89</v>
      </c>
      <c r="C448" s="16" t="s">
        <v>3306</v>
      </c>
      <c r="D448" s="22" t="n">
        <v>46277</v>
      </c>
      <c r="E448" s="16" t="s">
        <v>704</v>
      </c>
    </row>
    <row r="449" customFormat="false" ht="15" hidden="false" customHeight="false" outlineLevel="0" collapsed="false">
      <c r="A449" s="16" t="s">
        <v>3747</v>
      </c>
      <c r="B449" s="16" t="s">
        <v>90</v>
      </c>
      <c r="C449" s="16" t="s">
        <v>3298</v>
      </c>
      <c r="D449" s="22" t="n">
        <v>46056</v>
      </c>
      <c r="E449" s="16" t="s">
        <v>604</v>
      </c>
    </row>
    <row r="450" customFormat="false" ht="15" hidden="false" customHeight="false" outlineLevel="0" collapsed="false">
      <c r="A450" s="16" t="s">
        <v>3748</v>
      </c>
      <c r="B450" s="16" t="s">
        <v>90</v>
      </c>
      <c r="C450" s="16" t="s">
        <v>3310</v>
      </c>
      <c r="D450" s="22" t="n">
        <v>46067</v>
      </c>
      <c r="E450" s="16" t="s">
        <v>604</v>
      </c>
    </row>
    <row r="451" customFormat="false" ht="15" hidden="false" customHeight="false" outlineLevel="0" collapsed="false">
      <c r="A451" s="16" t="s">
        <v>3749</v>
      </c>
      <c r="B451" s="16" t="s">
        <v>90</v>
      </c>
      <c r="C451" s="16" t="s">
        <v>3302</v>
      </c>
      <c r="D451" s="22" t="n">
        <v>46156</v>
      </c>
      <c r="E451" s="16" t="s">
        <v>604</v>
      </c>
    </row>
    <row r="452" customFormat="false" ht="15" hidden="false" customHeight="false" outlineLevel="0" collapsed="false">
      <c r="A452" s="16" t="s">
        <v>3750</v>
      </c>
      <c r="B452" s="16" t="s">
        <v>90</v>
      </c>
      <c r="C452" s="16" t="s">
        <v>3310</v>
      </c>
      <c r="D452" s="22" t="n">
        <v>45959</v>
      </c>
      <c r="E452" s="16" t="s">
        <v>604</v>
      </c>
    </row>
    <row r="453" customFormat="false" ht="15" hidden="false" customHeight="false" outlineLevel="0" collapsed="false">
      <c r="A453" s="16" t="s">
        <v>3751</v>
      </c>
      <c r="B453" s="16" t="s">
        <v>90</v>
      </c>
      <c r="C453" s="16" t="s">
        <v>3300</v>
      </c>
      <c r="D453" s="22" t="n">
        <v>45923</v>
      </c>
      <c r="E453" s="16" t="s">
        <v>604</v>
      </c>
    </row>
    <row r="454" customFormat="false" ht="15" hidden="false" customHeight="false" outlineLevel="0" collapsed="false">
      <c r="A454" s="16" t="s">
        <v>3752</v>
      </c>
      <c r="B454" s="16" t="s">
        <v>90</v>
      </c>
      <c r="C454" s="16" t="s">
        <v>3302</v>
      </c>
      <c r="D454" s="22" t="n">
        <v>46139</v>
      </c>
      <c r="E454" s="16" t="s">
        <v>604</v>
      </c>
    </row>
    <row r="455" customFormat="false" ht="15" hidden="false" customHeight="false" outlineLevel="0" collapsed="false">
      <c r="A455" s="16" t="s">
        <v>3753</v>
      </c>
      <c r="B455" s="16" t="s">
        <v>90</v>
      </c>
      <c r="C455" s="16" t="s">
        <v>3298</v>
      </c>
      <c r="D455" s="22" t="n">
        <v>45968</v>
      </c>
      <c r="E455" s="16" t="s">
        <v>604</v>
      </c>
    </row>
    <row r="456" customFormat="false" ht="15" hidden="false" customHeight="false" outlineLevel="0" collapsed="false">
      <c r="A456" s="16" t="s">
        <v>3754</v>
      </c>
      <c r="B456" s="16" t="s">
        <v>90</v>
      </c>
      <c r="C456" s="16" t="s">
        <v>3330</v>
      </c>
      <c r="D456" s="22" t="n">
        <v>45976</v>
      </c>
      <c r="E456" s="16" t="s">
        <v>604</v>
      </c>
    </row>
    <row r="457" customFormat="false" ht="15" hidden="false" customHeight="false" outlineLevel="0" collapsed="false">
      <c r="A457" s="16" t="s">
        <v>3755</v>
      </c>
      <c r="B457" s="16" t="s">
        <v>90</v>
      </c>
      <c r="C457" s="16" t="s">
        <v>3306</v>
      </c>
      <c r="D457" s="22" t="n">
        <v>46193</v>
      </c>
      <c r="E457" s="16" t="s">
        <v>604</v>
      </c>
    </row>
    <row r="458" customFormat="false" ht="15" hidden="false" customHeight="false" outlineLevel="0" collapsed="false">
      <c r="A458" s="16" t="s">
        <v>3756</v>
      </c>
      <c r="B458" s="16" t="s">
        <v>90</v>
      </c>
      <c r="C458" s="16" t="s">
        <v>3306</v>
      </c>
      <c r="D458" s="22" t="n">
        <v>46171</v>
      </c>
      <c r="E458" s="16" t="s">
        <v>604</v>
      </c>
    </row>
    <row r="459" customFormat="false" ht="15" hidden="false" customHeight="false" outlineLevel="0" collapsed="false">
      <c r="A459" s="16" t="s">
        <v>3757</v>
      </c>
      <c r="B459" s="16" t="s">
        <v>90</v>
      </c>
      <c r="C459" s="16" t="s">
        <v>3300</v>
      </c>
      <c r="D459" s="22" t="n">
        <v>45925</v>
      </c>
      <c r="E459" s="16" t="s">
        <v>604</v>
      </c>
    </row>
    <row r="460" customFormat="false" ht="15" hidden="false" customHeight="false" outlineLevel="0" collapsed="false">
      <c r="A460" s="16" t="s">
        <v>3758</v>
      </c>
      <c r="B460" s="16" t="s">
        <v>90</v>
      </c>
      <c r="C460" s="16" t="s">
        <v>3300</v>
      </c>
      <c r="D460" s="22" t="n">
        <v>46186</v>
      </c>
      <c r="E460" s="16" t="s">
        <v>604</v>
      </c>
    </row>
    <row r="461" customFormat="false" ht="15" hidden="false" customHeight="false" outlineLevel="0" collapsed="false">
      <c r="A461" s="16" t="s">
        <v>3759</v>
      </c>
      <c r="B461" s="16" t="s">
        <v>90</v>
      </c>
      <c r="C461" s="16" t="s">
        <v>3300</v>
      </c>
      <c r="D461" s="22" t="n">
        <v>46054</v>
      </c>
      <c r="E461" s="16" t="s">
        <v>604</v>
      </c>
    </row>
    <row r="462" customFormat="false" ht="15" hidden="false" customHeight="false" outlineLevel="0" collapsed="false">
      <c r="A462" s="16" t="s">
        <v>3760</v>
      </c>
      <c r="B462" s="16" t="s">
        <v>90</v>
      </c>
      <c r="C462" s="16" t="s">
        <v>3330</v>
      </c>
      <c r="D462" s="22" t="n">
        <v>45923</v>
      </c>
      <c r="E462" s="16" t="s">
        <v>604</v>
      </c>
    </row>
    <row r="463" customFormat="false" ht="15" hidden="false" customHeight="false" outlineLevel="0" collapsed="false">
      <c r="A463" s="16" t="s">
        <v>3761</v>
      </c>
      <c r="B463" s="16" t="s">
        <v>90</v>
      </c>
      <c r="C463" s="16" t="s">
        <v>3310</v>
      </c>
      <c r="D463" s="22" t="n">
        <v>46174</v>
      </c>
      <c r="E463" s="16" t="s">
        <v>604</v>
      </c>
    </row>
    <row r="464" customFormat="false" ht="15" hidden="false" customHeight="false" outlineLevel="0" collapsed="false">
      <c r="A464" s="16" t="s">
        <v>3762</v>
      </c>
      <c r="B464" s="16" t="s">
        <v>90</v>
      </c>
      <c r="C464" s="16" t="s">
        <v>3302</v>
      </c>
      <c r="D464" s="22" t="n">
        <v>45973</v>
      </c>
      <c r="E464" s="16" t="s">
        <v>604</v>
      </c>
    </row>
    <row r="465" customFormat="false" ht="15" hidden="false" customHeight="false" outlineLevel="0" collapsed="false">
      <c r="A465" s="16" t="s">
        <v>3763</v>
      </c>
      <c r="B465" s="16" t="s">
        <v>91</v>
      </c>
      <c r="C465" s="16" t="s">
        <v>3330</v>
      </c>
      <c r="D465" s="22" t="n">
        <v>46018</v>
      </c>
      <c r="E465" s="16" t="s">
        <v>633</v>
      </c>
    </row>
    <row r="466" customFormat="false" ht="15" hidden="false" customHeight="false" outlineLevel="0" collapsed="false">
      <c r="A466" s="16" t="s">
        <v>3764</v>
      </c>
      <c r="B466" s="16" t="s">
        <v>91</v>
      </c>
      <c r="C466" s="16" t="s">
        <v>3306</v>
      </c>
      <c r="D466" s="22" t="n">
        <v>46144</v>
      </c>
      <c r="E466" s="16" t="s">
        <v>633</v>
      </c>
    </row>
    <row r="467" customFormat="false" ht="15" hidden="false" customHeight="false" outlineLevel="0" collapsed="false">
      <c r="A467" s="16" t="s">
        <v>3765</v>
      </c>
      <c r="B467" s="16" t="s">
        <v>91</v>
      </c>
      <c r="C467" s="16" t="s">
        <v>3298</v>
      </c>
      <c r="D467" s="22" t="n">
        <v>46130</v>
      </c>
      <c r="E467" s="16" t="s">
        <v>633</v>
      </c>
    </row>
    <row r="468" customFormat="false" ht="15" hidden="false" customHeight="false" outlineLevel="0" collapsed="false">
      <c r="A468" s="16" t="s">
        <v>3766</v>
      </c>
      <c r="B468" s="16" t="s">
        <v>91</v>
      </c>
      <c r="C468" s="16" t="s">
        <v>3330</v>
      </c>
      <c r="D468" s="22" t="n">
        <v>46016</v>
      </c>
      <c r="E468" s="16" t="s">
        <v>633</v>
      </c>
    </row>
    <row r="469" customFormat="false" ht="15" hidden="false" customHeight="false" outlineLevel="0" collapsed="false">
      <c r="A469" s="16" t="s">
        <v>3767</v>
      </c>
      <c r="B469" s="16" t="s">
        <v>91</v>
      </c>
      <c r="C469" s="16" t="s">
        <v>3330</v>
      </c>
      <c r="D469" s="22" t="n">
        <v>46077</v>
      </c>
      <c r="E469" s="16" t="s">
        <v>633</v>
      </c>
    </row>
    <row r="470" customFormat="false" ht="15" hidden="false" customHeight="false" outlineLevel="0" collapsed="false">
      <c r="A470" s="16" t="s">
        <v>3768</v>
      </c>
      <c r="B470" s="16" t="s">
        <v>91</v>
      </c>
      <c r="C470" s="16" t="s">
        <v>3306</v>
      </c>
      <c r="D470" s="22" t="n">
        <v>45992</v>
      </c>
      <c r="E470" s="16" t="s">
        <v>633</v>
      </c>
    </row>
    <row r="471" customFormat="false" ht="15" hidden="false" customHeight="false" outlineLevel="0" collapsed="false">
      <c r="A471" s="16" t="s">
        <v>3769</v>
      </c>
      <c r="B471" s="16" t="s">
        <v>91</v>
      </c>
      <c r="C471" s="16" t="s">
        <v>3306</v>
      </c>
      <c r="D471" s="22" t="n">
        <v>46216</v>
      </c>
      <c r="E471" s="16" t="s">
        <v>633</v>
      </c>
    </row>
    <row r="472" customFormat="false" ht="15" hidden="false" customHeight="false" outlineLevel="0" collapsed="false">
      <c r="A472" s="16" t="s">
        <v>3770</v>
      </c>
      <c r="B472" s="16" t="s">
        <v>91</v>
      </c>
      <c r="C472" s="16" t="s">
        <v>3302</v>
      </c>
      <c r="D472" s="22" t="n">
        <v>46206</v>
      </c>
      <c r="E472" s="16" t="s">
        <v>633</v>
      </c>
    </row>
    <row r="473" customFormat="false" ht="15" hidden="false" customHeight="false" outlineLevel="0" collapsed="false">
      <c r="A473" s="16" t="s">
        <v>3771</v>
      </c>
      <c r="B473" s="16" t="s">
        <v>91</v>
      </c>
      <c r="C473" s="16" t="s">
        <v>3300</v>
      </c>
      <c r="D473" s="22" t="n">
        <v>45999</v>
      </c>
      <c r="E473" s="16" t="s">
        <v>633</v>
      </c>
    </row>
    <row r="474" customFormat="false" ht="15" hidden="false" customHeight="false" outlineLevel="0" collapsed="false">
      <c r="A474" s="16" t="s">
        <v>3772</v>
      </c>
      <c r="B474" s="16" t="s">
        <v>91</v>
      </c>
      <c r="C474" s="16" t="s">
        <v>3306</v>
      </c>
      <c r="D474" s="22" t="n">
        <v>46152</v>
      </c>
      <c r="E474" s="16" t="s">
        <v>633</v>
      </c>
    </row>
    <row r="475" customFormat="false" ht="15" hidden="false" customHeight="false" outlineLevel="0" collapsed="false">
      <c r="A475" s="16" t="s">
        <v>3773</v>
      </c>
      <c r="B475" s="16" t="s">
        <v>91</v>
      </c>
      <c r="C475" s="16" t="s">
        <v>3310</v>
      </c>
      <c r="D475" s="22" t="n">
        <v>46011</v>
      </c>
      <c r="E475" s="16" t="s">
        <v>633</v>
      </c>
    </row>
    <row r="476" customFormat="false" ht="15" hidden="false" customHeight="false" outlineLevel="0" collapsed="false">
      <c r="A476" s="16" t="s">
        <v>3774</v>
      </c>
      <c r="B476" s="16" t="s">
        <v>91</v>
      </c>
      <c r="C476" s="16" t="s">
        <v>3330</v>
      </c>
      <c r="D476" s="22" t="n">
        <v>45918</v>
      </c>
      <c r="E476" s="16" t="s">
        <v>633</v>
      </c>
    </row>
    <row r="477" customFormat="false" ht="15" hidden="false" customHeight="false" outlineLevel="0" collapsed="false">
      <c r="A477" s="16" t="s">
        <v>3775</v>
      </c>
      <c r="B477" s="16" t="s">
        <v>91</v>
      </c>
      <c r="C477" s="16" t="s">
        <v>3306</v>
      </c>
      <c r="D477" s="22" t="n">
        <v>46293</v>
      </c>
      <c r="E477" s="16" t="s">
        <v>633</v>
      </c>
    </row>
    <row r="478" customFormat="false" ht="15" hidden="false" customHeight="false" outlineLevel="0" collapsed="false">
      <c r="A478" s="16" t="s">
        <v>3776</v>
      </c>
      <c r="B478" s="16" t="s">
        <v>92</v>
      </c>
      <c r="C478" s="16" t="s">
        <v>3298</v>
      </c>
      <c r="D478" s="22" t="n">
        <v>46063</v>
      </c>
      <c r="E478" s="16" t="s">
        <v>691</v>
      </c>
    </row>
    <row r="479" customFormat="false" ht="15" hidden="false" customHeight="false" outlineLevel="0" collapsed="false">
      <c r="A479" s="16" t="s">
        <v>3777</v>
      </c>
      <c r="B479" s="16" t="s">
        <v>92</v>
      </c>
      <c r="C479" s="16" t="s">
        <v>3310</v>
      </c>
      <c r="D479" s="22" t="n">
        <v>45949</v>
      </c>
      <c r="E479" s="16" t="s">
        <v>691</v>
      </c>
    </row>
    <row r="480" customFormat="false" ht="15" hidden="false" customHeight="false" outlineLevel="0" collapsed="false">
      <c r="A480" s="16" t="s">
        <v>3778</v>
      </c>
      <c r="B480" s="16" t="s">
        <v>92</v>
      </c>
      <c r="C480" s="16" t="s">
        <v>3306</v>
      </c>
      <c r="D480" s="22" t="n">
        <v>46100</v>
      </c>
      <c r="E480" s="16" t="s">
        <v>691</v>
      </c>
    </row>
    <row r="481" customFormat="false" ht="15" hidden="false" customHeight="false" outlineLevel="0" collapsed="false">
      <c r="A481" s="16" t="s">
        <v>3779</v>
      </c>
      <c r="B481" s="16" t="s">
        <v>92</v>
      </c>
      <c r="C481" s="16" t="s">
        <v>3300</v>
      </c>
      <c r="D481" s="22" t="n">
        <v>46012</v>
      </c>
      <c r="E481" s="16" t="s">
        <v>691</v>
      </c>
    </row>
    <row r="482" customFormat="false" ht="15" hidden="false" customHeight="false" outlineLevel="0" collapsed="false">
      <c r="A482" s="16" t="s">
        <v>3780</v>
      </c>
      <c r="B482" s="16" t="s">
        <v>92</v>
      </c>
      <c r="C482" s="16" t="s">
        <v>3330</v>
      </c>
      <c r="D482" s="22" t="n">
        <v>46248</v>
      </c>
      <c r="E482" s="16" t="s">
        <v>691</v>
      </c>
    </row>
    <row r="483" customFormat="false" ht="15" hidden="false" customHeight="false" outlineLevel="0" collapsed="false">
      <c r="A483" s="16" t="s">
        <v>3781</v>
      </c>
      <c r="B483" s="16" t="s">
        <v>92</v>
      </c>
      <c r="C483" s="16" t="s">
        <v>3302</v>
      </c>
      <c r="D483" s="22" t="n">
        <v>46236</v>
      </c>
      <c r="E483" s="16" t="s">
        <v>691</v>
      </c>
    </row>
    <row r="484" customFormat="false" ht="15" hidden="false" customHeight="false" outlineLevel="0" collapsed="false">
      <c r="A484" s="16" t="s">
        <v>3782</v>
      </c>
      <c r="B484" s="16" t="s">
        <v>92</v>
      </c>
      <c r="C484" s="16" t="s">
        <v>3302</v>
      </c>
      <c r="D484" s="22" t="n">
        <v>45937</v>
      </c>
      <c r="E484" s="16" t="s">
        <v>691</v>
      </c>
    </row>
    <row r="485" customFormat="false" ht="15" hidden="false" customHeight="false" outlineLevel="0" collapsed="false">
      <c r="A485" s="16" t="s">
        <v>3783</v>
      </c>
      <c r="B485" s="16" t="s">
        <v>92</v>
      </c>
      <c r="C485" s="16" t="s">
        <v>3310</v>
      </c>
      <c r="D485" s="22" t="n">
        <v>46167</v>
      </c>
      <c r="E485" s="16" t="s">
        <v>691</v>
      </c>
    </row>
    <row r="486" customFormat="false" ht="15" hidden="false" customHeight="false" outlineLevel="0" collapsed="false">
      <c r="A486" s="16" t="s">
        <v>3784</v>
      </c>
      <c r="B486" s="16" t="s">
        <v>92</v>
      </c>
      <c r="C486" s="16" t="s">
        <v>3306</v>
      </c>
      <c r="D486" s="22" t="n">
        <v>46246</v>
      </c>
      <c r="E486" s="16" t="s">
        <v>691</v>
      </c>
    </row>
    <row r="487" customFormat="false" ht="15" hidden="false" customHeight="false" outlineLevel="0" collapsed="false">
      <c r="A487" s="16" t="s">
        <v>3785</v>
      </c>
      <c r="B487" s="16" t="s">
        <v>92</v>
      </c>
      <c r="C487" s="16" t="s">
        <v>3300</v>
      </c>
      <c r="D487" s="22" t="n">
        <v>45942</v>
      </c>
      <c r="E487" s="16" t="s">
        <v>691</v>
      </c>
    </row>
    <row r="488" customFormat="false" ht="15" hidden="false" customHeight="false" outlineLevel="0" collapsed="false">
      <c r="A488" s="16" t="s">
        <v>3786</v>
      </c>
      <c r="B488" s="16" t="s">
        <v>92</v>
      </c>
      <c r="C488" s="16" t="s">
        <v>3330</v>
      </c>
      <c r="D488" s="22" t="n">
        <v>46151</v>
      </c>
      <c r="E488" s="16" t="s">
        <v>691</v>
      </c>
    </row>
    <row r="489" customFormat="false" ht="15" hidden="false" customHeight="false" outlineLevel="0" collapsed="false">
      <c r="A489" s="16" t="s">
        <v>3787</v>
      </c>
      <c r="B489" s="16" t="s">
        <v>92</v>
      </c>
      <c r="C489" s="16" t="s">
        <v>3310</v>
      </c>
      <c r="D489" s="22" t="n">
        <v>46256</v>
      </c>
      <c r="E489" s="16" t="s">
        <v>691</v>
      </c>
    </row>
    <row r="490" customFormat="false" ht="15" hidden="false" customHeight="false" outlineLevel="0" collapsed="false">
      <c r="A490" s="16" t="s">
        <v>3788</v>
      </c>
      <c r="B490" s="16" t="s">
        <v>92</v>
      </c>
      <c r="C490" s="16" t="s">
        <v>3330</v>
      </c>
      <c r="D490" s="22" t="n">
        <v>46172</v>
      </c>
      <c r="E490" s="16" t="s">
        <v>691</v>
      </c>
    </row>
    <row r="491" customFormat="false" ht="15" hidden="false" customHeight="false" outlineLevel="0" collapsed="false">
      <c r="A491" s="16" t="s">
        <v>3789</v>
      </c>
      <c r="B491" s="16" t="s">
        <v>92</v>
      </c>
      <c r="C491" s="16" t="s">
        <v>3298</v>
      </c>
      <c r="D491" s="22" t="n">
        <v>46004</v>
      </c>
      <c r="E491" s="16" t="s">
        <v>691</v>
      </c>
    </row>
    <row r="492" customFormat="false" ht="15" hidden="false" customHeight="false" outlineLevel="0" collapsed="false">
      <c r="A492" s="16" t="s">
        <v>3790</v>
      </c>
      <c r="B492" s="16" t="s">
        <v>92</v>
      </c>
      <c r="C492" s="16" t="s">
        <v>3298</v>
      </c>
      <c r="D492" s="22" t="n">
        <v>46138</v>
      </c>
      <c r="E492" s="16" t="s">
        <v>691</v>
      </c>
    </row>
    <row r="493" customFormat="false" ht="15" hidden="false" customHeight="false" outlineLevel="0" collapsed="false">
      <c r="A493" s="16" t="s">
        <v>3791</v>
      </c>
      <c r="B493" s="16" t="s">
        <v>92</v>
      </c>
      <c r="C493" s="16" t="s">
        <v>3300</v>
      </c>
      <c r="D493" s="22" t="n">
        <v>46178</v>
      </c>
      <c r="E493" s="16" t="s">
        <v>691</v>
      </c>
    </row>
    <row r="494" customFormat="false" ht="15" hidden="false" customHeight="false" outlineLevel="0" collapsed="false">
      <c r="A494" s="16" t="s">
        <v>3792</v>
      </c>
      <c r="B494" s="16" t="s">
        <v>92</v>
      </c>
      <c r="C494" s="16" t="s">
        <v>3298</v>
      </c>
      <c r="D494" s="22" t="n">
        <v>46087</v>
      </c>
      <c r="E494" s="16" t="s">
        <v>691</v>
      </c>
    </row>
    <row r="495" customFormat="false" ht="15" hidden="false" customHeight="false" outlineLevel="0" collapsed="false">
      <c r="A495" s="16" t="s">
        <v>3793</v>
      </c>
      <c r="B495" s="16" t="s">
        <v>93</v>
      </c>
      <c r="C495" s="16" t="s">
        <v>3310</v>
      </c>
      <c r="D495" s="22" t="n">
        <v>46271</v>
      </c>
      <c r="E495" s="16" t="s">
        <v>654</v>
      </c>
    </row>
    <row r="496" customFormat="false" ht="15" hidden="false" customHeight="false" outlineLevel="0" collapsed="false">
      <c r="A496" s="16" t="s">
        <v>3794</v>
      </c>
      <c r="B496" s="16" t="s">
        <v>93</v>
      </c>
      <c r="C496" s="16" t="s">
        <v>3300</v>
      </c>
      <c r="D496" s="22" t="n">
        <v>46188</v>
      </c>
      <c r="E496" s="16" t="s">
        <v>654</v>
      </c>
    </row>
    <row r="497" customFormat="false" ht="15" hidden="false" customHeight="false" outlineLevel="0" collapsed="false">
      <c r="A497" s="16" t="s">
        <v>3795</v>
      </c>
      <c r="B497" s="16" t="s">
        <v>93</v>
      </c>
      <c r="C497" s="16" t="s">
        <v>3330</v>
      </c>
      <c r="D497" s="22" t="n">
        <v>46272</v>
      </c>
      <c r="E497" s="16" t="s">
        <v>654</v>
      </c>
    </row>
    <row r="498" customFormat="false" ht="15" hidden="false" customHeight="false" outlineLevel="0" collapsed="false">
      <c r="A498" s="16" t="s">
        <v>3796</v>
      </c>
      <c r="B498" s="16" t="s">
        <v>93</v>
      </c>
      <c r="C498" s="16" t="s">
        <v>3330</v>
      </c>
      <c r="D498" s="22" t="n">
        <v>46310</v>
      </c>
      <c r="E498" s="16" t="s">
        <v>654</v>
      </c>
    </row>
    <row r="499" customFormat="false" ht="15" hidden="false" customHeight="false" outlineLevel="0" collapsed="false">
      <c r="A499" s="16" t="s">
        <v>3797</v>
      </c>
      <c r="B499" s="16" t="s">
        <v>93</v>
      </c>
      <c r="C499" s="16" t="s">
        <v>3302</v>
      </c>
      <c r="D499" s="22" t="n">
        <v>46087</v>
      </c>
      <c r="E499" s="16" t="s">
        <v>654</v>
      </c>
    </row>
    <row r="500" customFormat="false" ht="15" hidden="false" customHeight="false" outlineLevel="0" collapsed="false">
      <c r="A500" s="16" t="s">
        <v>3798</v>
      </c>
      <c r="B500" s="16" t="s">
        <v>93</v>
      </c>
      <c r="C500" s="16" t="s">
        <v>3300</v>
      </c>
      <c r="D500" s="22" t="n">
        <v>46283</v>
      </c>
      <c r="E500" s="16" t="s">
        <v>654</v>
      </c>
    </row>
    <row r="501" customFormat="false" ht="15" hidden="false" customHeight="false" outlineLevel="0" collapsed="false">
      <c r="A501" s="16" t="s">
        <v>3799</v>
      </c>
      <c r="B501" s="16" t="s">
        <v>93</v>
      </c>
      <c r="C501" s="16" t="s">
        <v>3300</v>
      </c>
      <c r="D501" s="22" t="n">
        <v>46140</v>
      </c>
      <c r="E501" s="16" t="s">
        <v>654</v>
      </c>
    </row>
    <row r="502" customFormat="false" ht="15" hidden="false" customHeight="false" outlineLevel="0" collapsed="false">
      <c r="A502" s="16" t="s">
        <v>3800</v>
      </c>
      <c r="B502" s="16" t="s">
        <v>93</v>
      </c>
      <c r="C502" s="16" t="s">
        <v>3302</v>
      </c>
      <c r="D502" s="22" t="n">
        <v>46050</v>
      </c>
      <c r="E502" s="16" t="s">
        <v>654</v>
      </c>
    </row>
    <row r="503" customFormat="false" ht="15" hidden="false" customHeight="false" outlineLevel="0" collapsed="false">
      <c r="A503" s="16" t="s">
        <v>3801</v>
      </c>
      <c r="B503" s="16" t="s">
        <v>93</v>
      </c>
      <c r="C503" s="16" t="s">
        <v>3298</v>
      </c>
      <c r="D503" s="22" t="n">
        <v>46103</v>
      </c>
      <c r="E503" s="16" t="s">
        <v>654</v>
      </c>
    </row>
    <row r="504" customFormat="false" ht="15" hidden="false" customHeight="false" outlineLevel="0" collapsed="false">
      <c r="A504" s="16" t="s">
        <v>3802</v>
      </c>
      <c r="B504" s="16" t="s">
        <v>94</v>
      </c>
      <c r="C504" s="16" t="s">
        <v>3302</v>
      </c>
      <c r="D504" s="22" t="n">
        <v>46113</v>
      </c>
      <c r="E504" s="16" t="s">
        <v>640</v>
      </c>
    </row>
    <row r="505" customFormat="false" ht="15" hidden="false" customHeight="false" outlineLevel="0" collapsed="false">
      <c r="A505" s="16" t="s">
        <v>3803</v>
      </c>
      <c r="B505" s="16" t="s">
        <v>94</v>
      </c>
      <c r="C505" s="16" t="s">
        <v>3302</v>
      </c>
      <c r="D505" s="22" t="n">
        <v>46270</v>
      </c>
      <c r="E505" s="16" t="s">
        <v>640</v>
      </c>
    </row>
    <row r="506" customFormat="false" ht="15" hidden="false" customHeight="false" outlineLevel="0" collapsed="false">
      <c r="A506" s="16" t="s">
        <v>3804</v>
      </c>
      <c r="B506" s="16" t="s">
        <v>94</v>
      </c>
      <c r="C506" s="16" t="s">
        <v>3300</v>
      </c>
      <c r="D506" s="22" t="n">
        <v>46137</v>
      </c>
      <c r="E506" s="16" t="s">
        <v>640</v>
      </c>
    </row>
    <row r="507" customFormat="false" ht="15" hidden="false" customHeight="false" outlineLevel="0" collapsed="false">
      <c r="A507" s="16" t="s">
        <v>3805</v>
      </c>
      <c r="B507" s="16" t="s">
        <v>94</v>
      </c>
      <c r="C507" s="16" t="s">
        <v>3306</v>
      </c>
      <c r="D507" s="22" t="n">
        <v>46210</v>
      </c>
      <c r="E507" s="16" t="s">
        <v>640</v>
      </c>
    </row>
    <row r="508" customFormat="false" ht="15" hidden="false" customHeight="false" outlineLevel="0" collapsed="false">
      <c r="A508" s="16" t="s">
        <v>3806</v>
      </c>
      <c r="B508" s="16" t="s">
        <v>94</v>
      </c>
      <c r="C508" s="16" t="s">
        <v>3302</v>
      </c>
      <c r="D508" s="22" t="n">
        <v>45944</v>
      </c>
      <c r="E508" s="16" t="s">
        <v>640</v>
      </c>
    </row>
    <row r="509" customFormat="false" ht="15" hidden="false" customHeight="false" outlineLevel="0" collapsed="false">
      <c r="A509" s="16" t="s">
        <v>3807</v>
      </c>
      <c r="B509" s="16" t="s">
        <v>94</v>
      </c>
      <c r="C509" s="16" t="s">
        <v>3300</v>
      </c>
      <c r="D509" s="22" t="n">
        <v>46259</v>
      </c>
      <c r="E509" s="16" t="s">
        <v>640</v>
      </c>
    </row>
    <row r="510" customFormat="false" ht="15" hidden="false" customHeight="false" outlineLevel="0" collapsed="false">
      <c r="A510" s="16" t="s">
        <v>3808</v>
      </c>
      <c r="B510" s="16" t="s">
        <v>94</v>
      </c>
      <c r="C510" s="16" t="s">
        <v>3310</v>
      </c>
      <c r="D510" s="22" t="n">
        <v>46207</v>
      </c>
      <c r="E510" s="16" t="s">
        <v>640</v>
      </c>
    </row>
    <row r="511" customFormat="false" ht="15" hidden="false" customHeight="false" outlineLevel="0" collapsed="false">
      <c r="A511" s="16" t="s">
        <v>3809</v>
      </c>
      <c r="B511" s="16" t="s">
        <v>94</v>
      </c>
      <c r="C511" s="16" t="s">
        <v>3310</v>
      </c>
      <c r="D511" s="22" t="n">
        <v>46126</v>
      </c>
      <c r="E511" s="16" t="s">
        <v>640</v>
      </c>
    </row>
    <row r="512" customFormat="false" ht="15" hidden="false" customHeight="false" outlineLevel="0" collapsed="false">
      <c r="A512" s="16" t="s">
        <v>3810</v>
      </c>
      <c r="B512" s="16" t="s">
        <v>94</v>
      </c>
      <c r="C512" s="16" t="s">
        <v>3306</v>
      </c>
      <c r="D512" s="22" t="n">
        <v>45944</v>
      </c>
      <c r="E512" s="16" t="s">
        <v>640</v>
      </c>
    </row>
    <row r="513" customFormat="false" ht="15" hidden="false" customHeight="false" outlineLevel="0" collapsed="false">
      <c r="A513" s="16" t="s">
        <v>3811</v>
      </c>
      <c r="B513" s="16" t="s">
        <v>94</v>
      </c>
      <c r="C513" s="16" t="s">
        <v>3302</v>
      </c>
      <c r="D513" s="22" t="n">
        <v>46051</v>
      </c>
      <c r="E513" s="16" t="s">
        <v>640</v>
      </c>
    </row>
    <row r="514" customFormat="false" ht="15" hidden="false" customHeight="false" outlineLevel="0" collapsed="false">
      <c r="A514" s="16" t="s">
        <v>3812</v>
      </c>
      <c r="B514" s="16" t="s">
        <v>94</v>
      </c>
      <c r="C514" s="16" t="s">
        <v>3306</v>
      </c>
      <c r="D514" s="22" t="n">
        <v>45955</v>
      </c>
      <c r="E514" s="16" t="s">
        <v>640</v>
      </c>
    </row>
    <row r="515" customFormat="false" ht="15" hidden="false" customHeight="false" outlineLevel="0" collapsed="false">
      <c r="A515" s="16" t="s">
        <v>3813</v>
      </c>
      <c r="B515" s="16" t="s">
        <v>94</v>
      </c>
      <c r="C515" s="16" t="s">
        <v>3306</v>
      </c>
      <c r="D515" s="22" t="n">
        <v>45952</v>
      </c>
      <c r="E515" s="16" t="s">
        <v>640</v>
      </c>
    </row>
    <row r="516" customFormat="false" ht="15" hidden="false" customHeight="false" outlineLevel="0" collapsed="false">
      <c r="A516" s="16" t="s">
        <v>3814</v>
      </c>
      <c r="B516" s="16" t="s">
        <v>94</v>
      </c>
      <c r="C516" s="16" t="s">
        <v>3306</v>
      </c>
      <c r="D516" s="22" t="n">
        <v>46106</v>
      </c>
      <c r="E516" s="16" t="s">
        <v>640</v>
      </c>
    </row>
    <row r="517" customFormat="false" ht="15" hidden="false" customHeight="false" outlineLevel="0" collapsed="false">
      <c r="A517" s="16" t="s">
        <v>3815</v>
      </c>
      <c r="B517" s="16" t="s">
        <v>95</v>
      </c>
      <c r="C517" s="16" t="s">
        <v>3300</v>
      </c>
      <c r="D517" s="22" t="n">
        <v>46218</v>
      </c>
      <c r="E517" s="16" t="s">
        <v>596</v>
      </c>
    </row>
    <row r="518" customFormat="false" ht="15" hidden="false" customHeight="false" outlineLevel="0" collapsed="false">
      <c r="A518" s="16" t="s">
        <v>3816</v>
      </c>
      <c r="B518" s="16" t="s">
        <v>95</v>
      </c>
      <c r="C518" s="16" t="s">
        <v>3310</v>
      </c>
      <c r="D518" s="22" t="n">
        <v>46089</v>
      </c>
      <c r="E518" s="16" t="s">
        <v>596</v>
      </c>
    </row>
    <row r="519" customFormat="false" ht="15" hidden="false" customHeight="false" outlineLevel="0" collapsed="false">
      <c r="A519" s="16" t="s">
        <v>3817</v>
      </c>
      <c r="B519" s="16" t="s">
        <v>95</v>
      </c>
      <c r="C519" s="16" t="s">
        <v>3306</v>
      </c>
      <c r="D519" s="22" t="n">
        <v>46073</v>
      </c>
      <c r="E519" s="16" t="s">
        <v>596</v>
      </c>
    </row>
    <row r="520" customFormat="false" ht="15" hidden="false" customHeight="false" outlineLevel="0" collapsed="false">
      <c r="A520" s="16" t="s">
        <v>3818</v>
      </c>
      <c r="B520" s="16" t="s">
        <v>95</v>
      </c>
      <c r="C520" s="16" t="s">
        <v>3310</v>
      </c>
      <c r="D520" s="22" t="n">
        <v>45976</v>
      </c>
      <c r="E520" s="16" t="s">
        <v>596</v>
      </c>
    </row>
    <row r="521" customFormat="false" ht="15" hidden="false" customHeight="false" outlineLevel="0" collapsed="false">
      <c r="A521" s="16" t="s">
        <v>3819</v>
      </c>
      <c r="B521" s="16" t="s">
        <v>95</v>
      </c>
      <c r="C521" s="16" t="s">
        <v>3300</v>
      </c>
      <c r="D521" s="22" t="n">
        <v>46143</v>
      </c>
      <c r="E521" s="16" t="s">
        <v>596</v>
      </c>
    </row>
    <row r="522" customFormat="false" ht="15" hidden="false" customHeight="false" outlineLevel="0" collapsed="false">
      <c r="A522" s="16" t="s">
        <v>3820</v>
      </c>
      <c r="B522" s="16" t="s">
        <v>95</v>
      </c>
      <c r="C522" s="16" t="s">
        <v>3298</v>
      </c>
      <c r="D522" s="22" t="n">
        <v>45940</v>
      </c>
      <c r="E522" s="16" t="s">
        <v>596</v>
      </c>
    </row>
    <row r="523" customFormat="false" ht="15" hidden="false" customHeight="false" outlineLevel="0" collapsed="false">
      <c r="A523" s="16" t="s">
        <v>3821</v>
      </c>
      <c r="B523" s="16" t="s">
        <v>95</v>
      </c>
      <c r="C523" s="16" t="s">
        <v>3306</v>
      </c>
      <c r="D523" s="22" t="n">
        <v>46186</v>
      </c>
      <c r="E523" s="16" t="s">
        <v>596</v>
      </c>
    </row>
    <row r="524" customFormat="false" ht="15" hidden="false" customHeight="false" outlineLevel="0" collapsed="false">
      <c r="A524" s="16" t="s">
        <v>3822</v>
      </c>
      <c r="B524" s="16" t="s">
        <v>95</v>
      </c>
      <c r="C524" s="16" t="s">
        <v>3302</v>
      </c>
      <c r="D524" s="22" t="n">
        <v>46127</v>
      </c>
      <c r="E524" s="16" t="s">
        <v>596</v>
      </c>
    </row>
    <row r="525" customFormat="false" ht="15" hidden="false" customHeight="false" outlineLevel="0" collapsed="false">
      <c r="A525" s="16" t="s">
        <v>3823</v>
      </c>
      <c r="B525" s="16" t="s">
        <v>95</v>
      </c>
      <c r="C525" s="16" t="s">
        <v>3300</v>
      </c>
      <c r="D525" s="22" t="n">
        <v>46122</v>
      </c>
      <c r="E525" s="16" t="s">
        <v>596</v>
      </c>
    </row>
    <row r="526" customFormat="false" ht="15" hidden="false" customHeight="false" outlineLevel="0" collapsed="false">
      <c r="A526" s="16" t="s">
        <v>3824</v>
      </c>
      <c r="B526" s="16" t="s">
        <v>95</v>
      </c>
      <c r="C526" s="16" t="s">
        <v>3310</v>
      </c>
      <c r="D526" s="22" t="n">
        <v>46038</v>
      </c>
      <c r="E526" s="16" t="s">
        <v>596</v>
      </c>
    </row>
    <row r="527" customFormat="false" ht="15" hidden="false" customHeight="false" outlineLevel="0" collapsed="false">
      <c r="A527" s="16" t="s">
        <v>3825</v>
      </c>
      <c r="B527" s="16" t="s">
        <v>96</v>
      </c>
      <c r="C527" s="16" t="s">
        <v>3300</v>
      </c>
      <c r="D527" s="22" t="n">
        <v>45925</v>
      </c>
      <c r="E527" s="16" t="s">
        <v>704</v>
      </c>
    </row>
    <row r="528" customFormat="false" ht="15" hidden="false" customHeight="false" outlineLevel="0" collapsed="false">
      <c r="A528" s="16" t="s">
        <v>3826</v>
      </c>
      <c r="B528" s="16" t="s">
        <v>96</v>
      </c>
      <c r="C528" s="16" t="s">
        <v>3298</v>
      </c>
      <c r="D528" s="22" t="n">
        <v>46147</v>
      </c>
      <c r="E528" s="16" t="s">
        <v>704</v>
      </c>
    </row>
    <row r="529" customFormat="false" ht="15" hidden="false" customHeight="false" outlineLevel="0" collapsed="false">
      <c r="A529" s="16" t="s">
        <v>3827</v>
      </c>
      <c r="B529" s="16" t="s">
        <v>96</v>
      </c>
      <c r="C529" s="16" t="s">
        <v>3300</v>
      </c>
      <c r="D529" s="22" t="n">
        <v>45948</v>
      </c>
      <c r="E529" s="16" t="s">
        <v>704</v>
      </c>
    </row>
    <row r="530" customFormat="false" ht="15" hidden="false" customHeight="false" outlineLevel="0" collapsed="false">
      <c r="A530" s="16" t="s">
        <v>3828</v>
      </c>
      <c r="B530" s="16" t="s">
        <v>96</v>
      </c>
      <c r="C530" s="16" t="s">
        <v>3302</v>
      </c>
      <c r="D530" s="22" t="n">
        <v>46103</v>
      </c>
      <c r="E530" s="16" t="s">
        <v>704</v>
      </c>
    </row>
    <row r="531" customFormat="false" ht="15" hidden="false" customHeight="false" outlineLevel="0" collapsed="false">
      <c r="A531" s="16" t="s">
        <v>3829</v>
      </c>
      <c r="B531" s="16" t="s">
        <v>96</v>
      </c>
      <c r="C531" s="16" t="s">
        <v>3300</v>
      </c>
      <c r="D531" s="22" t="n">
        <v>46014</v>
      </c>
      <c r="E531" s="16" t="s">
        <v>704</v>
      </c>
    </row>
    <row r="532" customFormat="false" ht="15" hidden="false" customHeight="false" outlineLevel="0" collapsed="false">
      <c r="A532" s="16" t="s">
        <v>3830</v>
      </c>
      <c r="B532" s="16" t="s">
        <v>96</v>
      </c>
      <c r="C532" s="16" t="s">
        <v>3306</v>
      </c>
      <c r="D532" s="22" t="n">
        <v>46307</v>
      </c>
      <c r="E532" s="16" t="s">
        <v>704</v>
      </c>
    </row>
    <row r="533" customFormat="false" ht="15" hidden="false" customHeight="false" outlineLevel="0" collapsed="false">
      <c r="A533" s="16" t="s">
        <v>3831</v>
      </c>
      <c r="B533" s="16" t="s">
        <v>96</v>
      </c>
      <c r="C533" s="16" t="s">
        <v>3330</v>
      </c>
      <c r="D533" s="22" t="n">
        <v>46262</v>
      </c>
      <c r="E533" s="16" t="s">
        <v>704</v>
      </c>
    </row>
    <row r="534" customFormat="false" ht="15" hidden="false" customHeight="false" outlineLevel="0" collapsed="false">
      <c r="A534" s="16" t="s">
        <v>3832</v>
      </c>
      <c r="B534" s="16" t="s">
        <v>96</v>
      </c>
      <c r="C534" s="16" t="s">
        <v>3300</v>
      </c>
      <c r="D534" s="22" t="n">
        <v>46278</v>
      </c>
      <c r="E534" s="16" t="s">
        <v>704</v>
      </c>
    </row>
    <row r="535" customFormat="false" ht="15" hidden="false" customHeight="false" outlineLevel="0" collapsed="false">
      <c r="A535" s="16" t="s">
        <v>3833</v>
      </c>
      <c r="B535" s="16" t="s">
        <v>96</v>
      </c>
      <c r="C535" s="16" t="s">
        <v>3330</v>
      </c>
      <c r="D535" s="22" t="n">
        <v>46209</v>
      </c>
      <c r="E535" s="16" t="s">
        <v>704</v>
      </c>
    </row>
    <row r="536" customFormat="false" ht="15" hidden="false" customHeight="false" outlineLevel="0" collapsed="false">
      <c r="A536" s="16" t="s">
        <v>3834</v>
      </c>
      <c r="B536" s="16" t="s">
        <v>96</v>
      </c>
      <c r="C536" s="16" t="s">
        <v>3306</v>
      </c>
      <c r="D536" s="22" t="n">
        <v>46216</v>
      </c>
      <c r="E536" s="16" t="s">
        <v>704</v>
      </c>
    </row>
    <row r="537" customFormat="false" ht="15" hidden="false" customHeight="false" outlineLevel="0" collapsed="false">
      <c r="A537" s="16" t="s">
        <v>3835</v>
      </c>
      <c r="B537" s="16" t="s">
        <v>96</v>
      </c>
      <c r="C537" s="16" t="s">
        <v>3310</v>
      </c>
      <c r="D537" s="22" t="n">
        <v>46312</v>
      </c>
      <c r="E537" s="16" t="s">
        <v>704</v>
      </c>
    </row>
    <row r="538" customFormat="false" ht="15" hidden="false" customHeight="false" outlineLevel="0" collapsed="false">
      <c r="A538" s="16" t="s">
        <v>3836</v>
      </c>
      <c r="B538" s="16" t="s">
        <v>96</v>
      </c>
      <c r="C538" s="16" t="s">
        <v>3302</v>
      </c>
      <c r="D538" s="22" t="n">
        <v>46060</v>
      </c>
      <c r="E538" s="16" t="s">
        <v>704</v>
      </c>
    </row>
    <row r="539" customFormat="false" ht="15" hidden="false" customHeight="false" outlineLevel="0" collapsed="false">
      <c r="A539" s="16" t="s">
        <v>3837</v>
      </c>
      <c r="B539" s="16" t="s">
        <v>96</v>
      </c>
      <c r="C539" s="16" t="s">
        <v>3298</v>
      </c>
      <c r="D539" s="22" t="n">
        <v>46046</v>
      </c>
      <c r="E539" s="16" t="s">
        <v>704</v>
      </c>
    </row>
    <row r="540" customFormat="false" ht="15" hidden="false" customHeight="false" outlineLevel="0" collapsed="false">
      <c r="A540" s="16" t="s">
        <v>3838</v>
      </c>
      <c r="B540" s="16" t="s">
        <v>96</v>
      </c>
      <c r="C540" s="16" t="s">
        <v>3306</v>
      </c>
      <c r="D540" s="22" t="n">
        <v>46159</v>
      </c>
      <c r="E540" s="16" t="s">
        <v>704</v>
      </c>
    </row>
    <row r="541" customFormat="false" ht="15" hidden="false" customHeight="false" outlineLevel="0" collapsed="false">
      <c r="A541" s="16" t="s">
        <v>3839</v>
      </c>
      <c r="B541" s="16" t="s">
        <v>96</v>
      </c>
      <c r="C541" s="16" t="s">
        <v>3330</v>
      </c>
      <c r="D541" s="22" t="n">
        <v>46003</v>
      </c>
      <c r="E541" s="16" t="s">
        <v>704</v>
      </c>
    </row>
    <row r="542" customFormat="false" ht="15" hidden="false" customHeight="false" outlineLevel="0" collapsed="false">
      <c r="A542" s="16" t="s">
        <v>3840</v>
      </c>
      <c r="B542" s="16" t="s">
        <v>325</v>
      </c>
      <c r="C542" s="16" t="s">
        <v>3302</v>
      </c>
      <c r="D542" s="22" t="n">
        <v>46282</v>
      </c>
      <c r="E542" s="16" t="s">
        <v>583</v>
      </c>
    </row>
    <row r="543" customFormat="false" ht="15" hidden="false" customHeight="false" outlineLevel="0" collapsed="false">
      <c r="A543" s="16" t="s">
        <v>3841</v>
      </c>
      <c r="B543" s="16" t="s">
        <v>325</v>
      </c>
      <c r="C543" s="16" t="s">
        <v>3310</v>
      </c>
      <c r="D543" s="22" t="n">
        <v>45918</v>
      </c>
      <c r="E543" s="16" t="s">
        <v>583</v>
      </c>
    </row>
    <row r="544" customFormat="false" ht="15" hidden="false" customHeight="false" outlineLevel="0" collapsed="false">
      <c r="A544" s="16" t="s">
        <v>3842</v>
      </c>
      <c r="B544" s="16" t="s">
        <v>325</v>
      </c>
      <c r="C544" s="16" t="s">
        <v>3306</v>
      </c>
      <c r="D544" s="22" t="n">
        <v>46238</v>
      </c>
      <c r="E544" s="16" t="s">
        <v>583</v>
      </c>
    </row>
    <row r="545" customFormat="false" ht="15" hidden="false" customHeight="false" outlineLevel="0" collapsed="false">
      <c r="A545" s="16" t="s">
        <v>3843</v>
      </c>
      <c r="B545" s="16" t="s">
        <v>748</v>
      </c>
      <c r="C545" s="16" t="s">
        <v>3330</v>
      </c>
      <c r="D545" s="22" t="n">
        <v>46042</v>
      </c>
      <c r="E545" s="16" t="s">
        <v>717</v>
      </c>
    </row>
    <row r="546" customFormat="false" ht="15" hidden="false" customHeight="false" outlineLevel="0" collapsed="false">
      <c r="A546" s="16" t="s">
        <v>3844</v>
      </c>
      <c r="B546" s="16" t="s">
        <v>748</v>
      </c>
      <c r="C546" s="16" t="s">
        <v>3302</v>
      </c>
      <c r="D546" s="22" t="n">
        <v>46153</v>
      </c>
      <c r="E546" s="16" t="s">
        <v>717</v>
      </c>
    </row>
    <row r="547" customFormat="false" ht="15" hidden="false" customHeight="false" outlineLevel="0" collapsed="false">
      <c r="A547" s="16" t="s">
        <v>3845</v>
      </c>
      <c r="B547" s="16" t="s">
        <v>748</v>
      </c>
      <c r="C547" s="16" t="s">
        <v>3310</v>
      </c>
      <c r="D547" s="22" t="n">
        <v>46005</v>
      </c>
      <c r="E547" s="16" t="s">
        <v>717</v>
      </c>
    </row>
    <row r="548" customFormat="false" ht="15" hidden="false" customHeight="false" outlineLevel="0" collapsed="false">
      <c r="A548" s="16" t="s">
        <v>3846</v>
      </c>
      <c r="B548" s="16" t="s">
        <v>748</v>
      </c>
      <c r="C548" s="16" t="s">
        <v>3302</v>
      </c>
      <c r="D548" s="22" t="n">
        <v>46293</v>
      </c>
      <c r="E548" s="16" t="s">
        <v>717</v>
      </c>
    </row>
    <row r="549" customFormat="false" ht="15" hidden="false" customHeight="false" outlineLevel="0" collapsed="false">
      <c r="A549" s="16" t="s">
        <v>3847</v>
      </c>
      <c r="B549" s="16" t="s">
        <v>748</v>
      </c>
      <c r="C549" s="16" t="s">
        <v>3300</v>
      </c>
      <c r="D549" s="22" t="n">
        <v>46254</v>
      </c>
      <c r="E549" s="16" t="s">
        <v>717</v>
      </c>
    </row>
    <row r="550" customFormat="false" ht="15" hidden="false" customHeight="false" outlineLevel="0" collapsed="false">
      <c r="A550" s="16" t="s">
        <v>3848</v>
      </c>
      <c r="B550" s="16" t="s">
        <v>748</v>
      </c>
      <c r="C550" s="16" t="s">
        <v>3302</v>
      </c>
      <c r="D550" s="22" t="n">
        <v>46228</v>
      </c>
      <c r="E550" s="16" t="s">
        <v>717</v>
      </c>
    </row>
    <row r="551" customFormat="false" ht="15" hidden="false" customHeight="false" outlineLevel="0" collapsed="false">
      <c r="A551" s="16" t="s">
        <v>3849</v>
      </c>
      <c r="B551" s="16" t="s">
        <v>1492</v>
      </c>
      <c r="C551" s="16" t="s">
        <v>3302</v>
      </c>
      <c r="D551" s="22" t="n">
        <v>46262</v>
      </c>
      <c r="E551" s="16" t="s">
        <v>880</v>
      </c>
    </row>
    <row r="552" customFormat="false" ht="15" hidden="false" customHeight="false" outlineLevel="0" collapsed="false">
      <c r="A552" s="16" t="s">
        <v>3850</v>
      </c>
      <c r="B552" s="16" t="s">
        <v>1492</v>
      </c>
      <c r="C552" s="16" t="s">
        <v>3330</v>
      </c>
      <c r="D552" s="22" t="n">
        <v>46117</v>
      </c>
      <c r="E552" s="16" t="s">
        <v>880</v>
      </c>
    </row>
    <row r="553" customFormat="false" ht="15" hidden="false" customHeight="false" outlineLevel="0" collapsed="false">
      <c r="A553" s="16" t="s">
        <v>3851</v>
      </c>
      <c r="B553" s="16" t="s">
        <v>1492</v>
      </c>
      <c r="C553" s="16" t="s">
        <v>3330</v>
      </c>
      <c r="D553" s="22" t="n">
        <v>46110</v>
      </c>
      <c r="E553" s="16" t="s">
        <v>880</v>
      </c>
    </row>
    <row r="554" customFormat="false" ht="15" hidden="false" customHeight="false" outlineLevel="0" collapsed="false">
      <c r="A554" s="16" t="s">
        <v>3852</v>
      </c>
      <c r="B554" s="16" t="s">
        <v>1492</v>
      </c>
      <c r="C554" s="16" t="s">
        <v>3306</v>
      </c>
      <c r="D554" s="22" t="n">
        <v>46213</v>
      </c>
      <c r="E554" s="16" t="s">
        <v>880</v>
      </c>
    </row>
    <row r="555" customFormat="false" ht="15" hidden="false" customHeight="false" outlineLevel="0" collapsed="false">
      <c r="A555" s="16" t="s">
        <v>3853</v>
      </c>
      <c r="B555" s="16" t="s">
        <v>275</v>
      </c>
      <c r="C555" s="16" t="s">
        <v>3300</v>
      </c>
      <c r="D555" s="22" t="n">
        <v>46221</v>
      </c>
      <c r="E555" s="16" t="s">
        <v>604</v>
      </c>
    </row>
    <row r="556" customFormat="false" ht="15" hidden="false" customHeight="false" outlineLevel="0" collapsed="false">
      <c r="A556" s="16" t="s">
        <v>3854</v>
      </c>
      <c r="B556" s="16" t="s">
        <v>275</v>
      </c>
      <c r="C556" s="16" t="s">
        <v>3300</v>
      </c>
      <c r="D556" s="22" t="n">
        <v>45963</v>
      </c>
      <c r="E556" s="16" t="s">
        <v>604</v>
      </c>
    </row>
    <row r="557" customFormat="false" ht="15" hidden="false" customHeight="false" outlineLevel="0" collapsed="false">
      <c r="A557" s="16" t="s">
        <v>3855</v>
      </c>
      <c r="B557" s="16" t="s">
        <v>275</v>
      </c>
      <c r="C557" s="16" t="s">
        <v>3306</v>
      </c>
      <c r="D557" s="22" t="n">
        <v>46129</v>
      </c>
      <c r="E557" s="16" t="s">
        <v>604</v>
      </c>
    </row>
    <row r="558" customFormat="false" ht="15" hidden="false" customHeight="false" outlineLevel="0" collapsed="false">
      <c r="A558" s="16" t="s">
        <v>3856</v>
      </c>
      <c r="B558" s="16" t="s">
        <v>275</v>
      </c>
      <c r="C558" s="16" t="s">
        <v>3298</v>
      </c>
      <c r="D558" s="22" t="n">
        <v>45949</v>
      </c>
      <c r="E558" s="16" t="s">
        <v>604</v>
      </c>
    </row>
    <row r="559" customFormat="false" ht="15" hidden="false" customHeight="false" outlineLevel="0" collapsed="false">
      <c r="A559" s="16" t="s">
        <v>3857</v>
      </c>
      <c r="B559" s="16" t="s">
        <v>275</v>
      </c>
      <c r="C559" s="16" t="s">
        <v>3306</v>
      </c>
      <c r="D559" s="22" t="n">
        <v>46085</v>
      </c>
      <c r="E559" s="16" t="s">
        <v>604</v>
      </c>
    </row>
    <row r="560" customFormat="false" ht="15" hidden="false" customHeight="false" outlineLevel="0" collapsed="false">
      <c r="A560" s="16" t="s">
        <v>3858</v>
      </c>
      <c r="B560" s="16" t="s">
        <v>275</v>
      </c>
      <c r="C560" s="16" t="s">
        <v>3306</v>
      </c>
      <c r="D560" s="22" t="n">
        <v>46250</v>
      </c>
      <c r="E560" s="16" t="s">
        <v>604</v>
      </c>
    </row>
    <row r="561" customFormat="false" ht="15" hidden="false" customHeight="false" outlineLevel="0" collapsed="false">
      <c r="A561" s="16" t="s">
        <v>3859</v>
      </c>
      <c r="B561" s="16" t="s">
        <v>275</v>
      </c>
      <c r="C561" s="16" t="s">
        <v>3302</v>
      </c>
      <c r="D561" s="22" t="n">
        <v>46192</v>
      </c>
      <c r="E561" s="16" t="s">
        <v>604</v>
      </c>
    </row>
    <row r="562" customFormat="false" ht="15" hidden="false" customHeight="false" outlineLevel="0" collapsed="false">
      <c r="A562" s="16" t="s">
        <v>3860</v>
      </c>
      <c r="B562" s="16" t="s">
        <v>275</v>
      </c>
      <c r="C562" s="16" t="s">
        <v>3300</v>
      </c>
      <c r="D562" s="22" t="n">
        <v>46020</v>
      </c>
      <c r="E562" s="16" t="s">
        <v>604</v>
      </c>
    </row>
    <row r="563" customFormat="false" ht="15" hidden="false" customHeight="false" outlineLevel="0" collapsed="false">
      <c r="A563" s="16" t="s">
        <v>3861</v>
      </c>
      <c r="B563" s="16" t="s">
        <v>222</v>
      </c>
      <c r="C563" s="16" t="s">
        <v>3330</v>
      </c>
      <c r="D563" s="22" t="n">
        <v>46035</v>
      </c>
      <c r="E563" s="16" t="s">
        <v>596</v>
      </c>
    </row>
    <row r="564" customFormat="false" ht="15" hidden="false" customHeight="false" outlineLevel="0" collapsed="false">
      <c r="A564" s="16" t="s">
        <v>3862</v>
      </c>
      <c r="B564" s="16" t="s">
        <v>222</v>
      </c>
      <c r="C564" s="16" t="s">
        <v>3302</v>
      </c>
      <c r="D564" s="22" t="n">
        <v>46161</v>
      </c>
      <c r="E564" s="16" t="s">
        <v>596</v>
      </c>
    </row>
    <row r="565" customFormat="false" ht="15" hidden="false" customHeight="false" outlineLevel="0" collapsed="false">
      <c r="A565" s="16" t="s">
        <v>3863</v>
      </c>
      <c r="B565" s="16" t="s">
        <v>222</v>
      </c>
      <c r="C565" s="16" t="s">
        <v>3330</v>
      </c>
      <c r="D565" s="22" t="n">
        <v>46155</v>
      </c>
      <c r="E565" s="16" t="s">
        <v>596</v>
      </c>
    </row>
    <row r="566" customFormat="false" ht="15" hidden="false" customHeight="false" outlineLevel="0" collapsed="false">
      <c r="A566" s="16" t="s">
        <v>3864</v>
      </c>
      <c r="B566" s="16" t="s">
        <v>222</v>
      </c>
      <c r="C566" s="16" t="s">
        <v>3310</v>
      </c>
      <c r="D566" s="22" t="n">
        <v>46045</v>
      </c>
      <c r="E566" s="16" t="s">
        <v>596</v>
      </c>
    </row>
    <row r="567" customFormat="false" ht="15" hidden="false" customHeight="false" outlineLevel="0" collapsed="false">
      <c r="A567" s="16" t="s">
        <v>3865</v>
      </c>
      <c r="B567" s="16" t="s">
        <v>222</v>
      </c>
      <c r="C567" s="16" t="s">
        <v>3298</v>
      </c>
      <c r="D567" s="22" t="n">
        <v>46245</v>
      </c>
      <c r="E567" s="16" t="s">
        <v>596</v>
      </c>
    </row>
    <row r="568" customFormat="false" ht="15" hidden="false" customHeight="false" outlineLevel="0" collapsed="false">
      <c r="A568" s="16" t="s">
        <v>3866</v>
      </c>
      <c r="B568" s="16" t="s">
        <v>222</v>
      </c>
      <c r="C568" s="16" t="s">
        <v>3300</v>
      </c>
      <c r="D568" s="22" t="n">
        <v>46155</v>
      </c>
      <c r="E568" s="16" t="s">
        <v>596</v>
      </c>
    </row>
    <row r="569" customFormat="false" ht="15" hidden="false" customHeight="false" outlineLevel="0" collapsed="false">
      <c r="A569" s="16" t="s">
        <v>3867</v>
      </c>
      <c r="B569" s="16" t="s">
        <v>222</v>
      </c>
      <c r="C569" s="16" t="s">
        <v>3300</v>
      </c>
      <c r="D569" s="22" t="n">
        <v>45955</v>
      </c>
      <c r="E569" s="16" t="s">
        <v>596</v>
      </c>
    </row>
    <row r="570" customFormat="false" ht="15" hidden="false" customHeight="false" outlineLevel="0" collapsed="false">
      <c r="A570" s="16" t="s">
        <v>3868</v>
      </c>
      <c r="B570" s="16" t="s">
        <v>222</v>
      </c>
      <c r="C570" s="16" t="s">
        <v>3306</v>
      </c>
      <c r="D570" s="22" t="n">
        <v>46004</v>
      </c>
      <c r="E570" s="16" t="s">
        <v>596</v>
      </c>
    </row>
    <row r="571" customFormat="false" ht="15" hidden="false" customHeight="false" outlineLevel="0" collapsed="false">
      <c r="A571" s="16" t="s">
        <v>3869</v>
      </c>
      <c r="B571" s="16" t="s">
        <v>222</v>
      </c>
      <c r="C571" s="16" t="s">
        <v>3302</v>
      </c>
      <c r="D571" s="22" t="n">
        <v>46112</v>
      </c>
      <c r="E571" s="16" t="s">
        <v>596</v>
      </c>
    </row>
    <row r="572" customFormat="false" ht="15" hidden="false" customHeight="false" outlineLevel="0" collapsed="false">
      <c r="A572" s="16" t="s">
        <v>3870</v>
      </c>
      <c r="B572" s="16" t="s">
        <v>222</v>
      </c>
      <c r="C572" s="16" t="s">
        <v>3302</v>
      </c>
      <c r="D572" s="22" t="n">
        <v>46277</v>
      </c>
      <c r="E572" s="16" t="s">
        <v>596</v>
      </c>
    </row>
    <row r="573" customFormat="false" ht="15" hidden="false" customHeight="false" outlineLevel="0" collapsed="false">
      <c r="A573" s="16" t="s">
        <v>3871</v>
      </c>
      <c r="B573" s="16" t="s">
        <v>222</v>
      </c>
      <c r="C573" s="16" t="s">
        <v>3300</v>
      </c>
      <c r="D573" s="22" t="n">
        <v>46184</v>
      </c>
      <c r="E573" s="16" t="s">
        <v>596</v>
      </c>
    </row>
    <row r="574" customFormat="false" ht="15" hidden="false" customHeight="false" outlineLevel="0" collapsed="false">
      <c r="A574" s="16" t="s">
        <v>3872</v>
      </c>
      <c r="B574" s="16" t="s">
        <v>695</v>
      </c>
      <c r="C574" s="16" t="s">
        <v>3310</v>
      </c>
      <c r="D574" s="22" t="n">
        <v>46297</v>
      </c>
      <c r="E574" s="16" t="s">
        <v>588</v>
      </c>
    </row>
    <row r="575" customFormat="false" ht="15" hidden="false" customHeight="false" outlineLevel="0" collapsed="false">
      <c r="A575" s="16" t="s">
        <v>3873</v>
      </c>
      <c r="B575" s="16" t="s">
        <v>695</v>
      </c>
      <c r="C575" s="16" t="s">
        <v>3310</v>
      </c>
      <c r="D575" s="22" t="n">
        <v>46254</v>
      </c>
      <c r="E575" s="16" t="s">
        <v>588</v>
      </c>
    </row>
    <row r="576" customFormat="false" ht="15" hidden="false" customHeight="false" outlineLevel="0" collapsed="false">
      <c r="A576" s="16" t="s">
        <v>3874</v>
      </c>
      <c r="B576" s="16" t="s">
        <v>695</v>
      </c>
      <c r="C576" s="16" t="s">
        <v>3306</v>
      </c>
      <c r="D576" s="22" t="n">
        <v>46231</v>
      </c>
      <c r="E576" s="16" t="s">
        <v>588</v>
      </c>
    </row>
    <row r="577" customFormat="false" ht="15" hidden="false" customHeight="false" outlineLevel="0" collapsed="false">
      <c r="A577" s="16" t="s">
        <v>3875</v>
      </c>
      <c r="B577" s="16" t="s">
        <v>695</v>
      </c>
      <c r="C577" s="16" t="s">
        <v>3306</v>
      </c>
      <c r="D577" s="22" t="n">
        <v>45925</v>
      </c>
      <c r="E577" s="16" t="s">
        <v>588</v>
      </c>
    </row>
    <row r="578" customFormat="false" ht="15" hidden="false" customHeight="false" outlineLevel="0" collapsed="false">
      <c r="A578" s="16" t="s">
        <v>3876</v>
      </c>
      <c r="B578" s="16" t="s">
        <v>695</v>
      </c>
      <c r="C578" s="16" t="s">
        <v>3302</v>
      </c>
      <c r="D578" s="22" t="n">
        <v>45926</v>
      </c>
      <c r="E578" s="16" t="s">
        <v>588</v>
      </c>
    </row>
    <row r="579" customFormat="false" ht="15" hidden="false" customHeight="false" outlineLevel="0" collapsed="false">
      <c r="A579" s="16" t="s">
        <v>3877</v>
      </c>
      <c r="B579" s="16" t="s">
        <v>695</v>
      </c>
      <c r="C579" s="16" t="s">
        <v>3300</v>
      </c>
      <c r="D579" s="22" t="n">
        <v>46221</v>
      </c>
      <c r="E579" s="16" t="s">
        <v>588</v>
      </c>
    </row>
    <row r="580" customFormat="false" ht="15" hidden="false" customHeight="false" outlineLevel="0" collapsed="false">
      <c r="A580" s="16" t="s">
        <v>3878</v>
      </c>
      <c r="B580" s="16" t="s">
        <v>695</v>
      </c>
      <c r="C580" s="16" t="s">
        <v>3298</v>
      </c>
      <c r="D580" s="22" t="n">
        <v>46244</v>
      </c>
      <c r="E580" s="16" t="s">
        <v>588</v>
      </c>
    </row>
    <row r="581" customFormat="false" ht="15" hidden="false" customHeight="false" outlineLevel="0" collapsed="false">
      <c r="A581" s="16" t="s">
        <v>3879</v>
      </c>
      <c r="B581" s="16" t="s">
        <v>695</v>
      </c>
      <c r="C581" s="16" t="s">
        <v>3298</v>
      </c>
      <c r="D581" s="22" t="n">
        <v>46171</v>
      </c>
      <c r="E581" s="16" t="s">
        <v>588</v>
      </c>
    </row>
    <row r="582" customFormat="false" ht="15" hidden="false" customHeight="false" outlineLevel="0" collapsed="false">
      <c r="A582" s="16" t="s">
        <v>3880</v>
      </c>
      <c r="B582" s="16" t="s">
        <v>1534</v>
      </c>
      <c r="C582" s="16" t="s">
        <v>3300</v>
      </c>
      <c r="D582" s="22" t="n">
        <v>45964</v>
      </c>
      <c r="E582" s="16" t="s">
        <v>654</v>
      </c>
    </row>
    <row r="583" customFormat="false" ht="15" hidden="false" customHeight="false" outlineLevel="0" collapsed="false">
      <c r="A583" s="16" t="s">
        <v>3881</v>
      </c>
      <c r="B583" s="16" t="s">
        <v>1534</v>
      </c>
      <c r="C583" s="16" t="s">
        <v>3300</v>
      </c>
      <c r="D583" s="22" t="n">
        <v>46302</v>
      </c>
      <c r="E583" s="16" t="s">
        <v>654</v>
      </c>
    </row>
    <row r="584" customFormat="false" ht="15" hidden="false" customHeight="false" outlineLevel="0" collapsed="false">
      <c r="A584" s="16" t="s">
        <v>3882</v>
      </c>
      <c r="B584" s="16" t="s">
        <v>1534</v>
      </c>
      <c r="C584" s="16" t="s">
        <v>3306</v>
      </c>
      <c r="D584" s="22" t="n">
        <v>46110</v>
      </c>
      <c r="E584" s="16" t="s">
        <v>654</v>
      </c>
    </row>
    <row r="585" customFormat="false" ht="15" hidden="false" customHeight="false" outlineLevel="0" collapsed="false">
      <c r="A585" s="16" t="s">
        <v>3883</v>
      </c>
      <c r="B585" s="16" t="s">
        <v>1534</v>
      </c>
      <c r="C585" s="16" t="s">
        <v>3330</v>
      </c>
      <c r="D585" s="22" t="n">
        <v>46233</v>
      </c>
      <c r="E585" s="16" t="s">
        <v>654</v>
      </c>
    </row>
    <row r="586" customFormat="false" ht="15" hidden="false" customHeight="false" outlineLevel="0" collapsed="false">
      <c r="A586" s="16" t="s">
        <v>3884</v>
      </c>
      <c r="B586" s="16" t="s">
        <v>1534</v>
      </c>
      <c r="C586" s="16" t="s">
        <v>3298</v>
      </c>
      <c r="D586" s="22" t="n">
        <v>46107</v>
      </c>
      <c r="E586" s="16" t="s">
        <v>654</v>
      </c>
    </row>
    <row r="587" customFormat="false" ht="15" hidden="false" customHeight="false" outlineLevel="0" collapsed="false">
      <c r="A587" s="16" t="s">
        <v>3885</v>
      </c>
      <c r="B587" s="16" t="s">
        <v>1534</v>
      </c>
      <c r="C587" s="16" t="s">
        <v>3330</v>
      </c>
      <c r="D587" s="22" t="n">
        <v>46014</v>
      </c>
      <c r="E587" s="16" t="s">
        <v>654</v>
      </c>
    </row>
    <row r="588" customFormat="false" ht="15" hidden="false" customHeight="false" outlineLevel="0" collapsed="false">
      <c r="A588" s="16" t="s">
        <v>3886</v>
      </c>
      <c r="B588" s="16" t="s">
        <v>1534</v>
      </c>
      <c r="C588" s="16" t="s">
        <v>3300</v>
      </c>
      <c r="D588" s="22" t="n">
        <v>46029</v>
      </c>
      <c r="E588" s="16" t="s">
        <v>654</v>
      </c>
    </row>
    <row r="589" customFormat="false" ht="15" hidden="false" customHeight="false" outlineLevel="0" collapsed="false">
      <c r="A589" s="16" t="s">
        <v>3887</v>
      </c>
      <c r="B589" s="16" t="s">
        <v>804</v>
      </c>
      <c r="C589" s="16" t="s">
        <v>3310</v>
      </c>
      <c r="D589" s="22" t="n">
        <v>46149</v>
      </c>
      <c r="E589" s="16" t="s">
        <v>596</v>
      </c>
    </row>
    <row r="590" customFormat="false" ht="15" hidden="false" customHeight="false" outlineLevel="0" collapsed="false">
      <c r="A590" s="16" t="s">
        <v>3888</v>
      </c>
      <c r="B590" s="16" t="s">
        <v>804</v>
      </c>
      <c r="C590" s="16" t="s">
        <v>3302</v>
      </c>
      <c r="D590" s="22" t="n">
        <v>46293</v>
      </c>
      <c r="E590" s="16" t="s">
        <v>596</v>
      </c>
    </row>
    <row r="591" customFormat="false" ht="15" hidden="false" customHeight="false" outlineLevel="0" collapsed="false">
      <c r="A591" s="16" t="s">
        <v>3889</v>
      </c>
      <c r="B591" s="16" t="s">
        <v>804</v>
      </c>
      <c r="C591" s="16" t="s">
        <v>3300</v>
      </c>
      <c r="D591" s="22" t="n">
        <v>46284</v>
      </c>
      <c r="E591" s="16" t="s">
        <v>596</v>
      </c>
    </row>
    <row r="592" customFormat="false" ht="15" hidden="false" customHeight="false" outlineLevel="0" collapsed="false">
      <c r="A592" s="16" t="s">
        <v>3890</v>
      </c>
      <c r="B592" s="16" t="s">
        <v>804</v>
      </c>
      <c r="C592" s="16" t="s">
        <v>3298</v>
      </c>
      <c r="D592" s="22" t="n">
        <v>46118</v>
      </c>
      <c r="E592" s="16" t="s">
        <v>596</v>
      </c>
    </row>
    <row r="593" customFormat="false" ht="15" hidden="false" customHeight="false" outlineLevel="0" collapsed="false">
      <c r="A593" s="16" t="s">
        <v>3891</v>
      </c>
      <c r="B593" s="16" t="s">
        <v>804</v>
      </c>
      <c r="C593" s="16" t="s">
        <v>3298</v>
      </c>
      <c r="D593" s="22" t="n">
        <v>46212</v>
      </c>
      <c r="E593" s="16" t="s">
        <v>596</v>
      </c>
    </row>
    <row r="594" customFormat="false" ht="15" hidden="false" customHeight="false" outlineLevel="0" collapsed="false">
      <c r="A594" s="16" t="s">
        <v>3892</v>
      </c>
      <c r="B594" s="16" t="s">
        <v>804</v>
      </c>
      <c r="C594" s="16" t="s">
        <v>3302</v>
      </c>
      <c r="D594" s="22" t="n">
        <v>46071</v>
      </c>
      <c r="E594" s="16" t="s">
        <v>596</v>
      </c>
    </row>
    <row r="595" customFormat="false" ht="15" hidden="false" customHeight="false" outlineLevel="0" collapsed="false">
      <c r="A595" s="16" t="s">
        <v>3893</v>
      </c>
      <c r="B595" s="16" t="s">
        <v>804</v>
      </c>
      <c r="C595" s="16" t="s">
        <v>3300</v>
      </c>
      <c r="D595" s="22" t="n">
        <v>46293</v>
      </c>
      <c r="E595" s="16" t="s">
        <v>596</v>
      </c>
    </row>
    <row r="596" customFormat="false" ht="15" hidden="false" customHeight="false" outlineLevel="0" collapsed="false">
      <c r="A596" s="16" t="s">
        <v>3894</v>
      </c>
      <c r="B596" s="16" t="s">
        <v>804</v>
      </c>
      <c r="C596" s="16" t="s">
        <v>3306</v>
      </c>
      <c r="D596" s="22" t="n">
        <v>45936</v>
      </c>
      <c r="E596" s="16" t="s">
        <v>596</v>
      </c>
    </row>
    <row r="597" customFormat="false" ht="15" hidden="false" customHeight="false" outlineLevel="0" collapsed="false">
      <c r="A597" s="16" t="s">
        <v>3895</v>
      </c>
      <c r="B597" s="16" t="s">
        <v>433</v>
      </c>
      <c r="C597" s="16" t="s">
        <v>3306</v>
      </c>
      <c r="D597" s="22" t="n">
        <v>45987</v>
      </c>
      <c r="E597" s="16" t="s">
        <v>651</v>
      </c>
    </row>
    <row r="598" customFormat="false" ht="15" hidden="false" customHeight="false" outlineLevel="0" collapsed="false">
      <c r="A598" s="16" t="s">
        <v>3896</v>
      </c>
      <c r="B598" s="16" t="s">
        <v>433</v>
      </c>
      <c r="C598" s="16" t="s">
        <v>3300</v>
      </c>
      <c r="D598" s="22" t="n">
        <v>45930</v>
      </c>
      <c r="E598" s="16" t="s">
        <v>651</v>
      </c>
    </row>
    <row r="599" customFormat="false" ht="15" hidden="false" customHeight="false" outlineLevel="0" collapsed="false">
      <c r="A599" s="16" t="s">
        <v>3897</v>
      </c>
      <c r="B599" s="16" t="s">
        <v>433</v>
      </c>
      <c r="C599" s="16" t="s">
        <v>3310</v>
      </c>
      <c r="D599" s="22" t="n">
        <v>45935</v>
      </c>
      <c r="E599" s="16" t="s">
        <v>651</v>
      </c>
    </row>
    <row r="600" customFormat="false" ht="15" hidden="false" customHeight="false" outlineLevel="0" collapsed="false">
      <c r="A600" s="16" t="s">
        <v>3898</v>
      </c>
      <c r="B600" s="16" t="s">
        <v>433</v>
      </c>
      <c r="C600" s="16" t="s">
        <v>3310</v>
      </c>
      <c r="D600" s="22" t="n">
        <v>46195</v>
      </c>
      <c r="E600" s="16" t="s">
        <v>651</v>
      </c>
    </row>
    <row r="601" customFormat="false" ht="15" hidden="false" customHeight="false" outlineLevel="0" collapsed="false">
      <c r="A601" s="16" t="s">
        <v>3899</v>
      </c>
      <c r="B601" s="16" t="s">
        <v>433</v>
      </c>
      <c r="C601" s="16" t="s">
        <v>3300</v>
      </c>
      <c r="D601" s="22" t="n">
        <v>45935</v>
      </c>
      <c r="E601" s="16" t="s">
        <v>651</v>
      </c>
    </row>
    <row r="602" customFormat="false" ht="15" hidden="false" customHeight="false" outlineLevel="0" collapsed="false">
      <c r="A602" s="16" t="s">
        <v>3900</v>
      </c>
      <c r="B602" s="16" t="s">
        <v>433</v>
      </c>
      <c r="C602" s="16" t="s">
        <v>3306</v>
      </c>
      <c r="D602" s="22" t="n">
        <v>46106</v>
      </c>
      <c r="E602" s="16" t="s">
        <v>651</v>
      </c>
    </row>
    <row r="603" customFormat="false" ht="15" hidden="false" customHeight="false" outlineLevel="0" collapsed="false">
      <c r="A603" s="16" t="s">
        <v>3901</v>
      </c>
      <c r="B603" s="16" t="s">
        <v>433</v>
      </c>
      <c r="C603" s="16" t="s">
        <v>3300</v>
      </c>
      <c r="D603" s="22" t="n">
        <v>45934</v>
      </c>
      <c r="E603" s="16" t="s">
        <v>651</v>
      </c>
    </row>
    <row r="604" customFormat="false" ht="15" hidden="false" customHeight="false" outlineLevel="0" collapsed="false">
      <c r="A604" s="16" t="s">
        <v>3902</v>
      </c>
      <c r="B604" s="16" t="s">
        <v>433</v>
      </c>
      <c r="C604" s="16" t="s">
        <v>3306</v>
      </c>
      <c r="D604" s="22" t="n">
        <v>46091</v>
      </c>
      <c r="E604" s="16" t="s">
        <v>651</v>
      </c>
    </row>
    <row r="605" customFormat="false" ht="15" hidden="false" customHeight="false" outlineLevel="0" collapsed="false">
      <c r="A605" s="16" t="s">
        <v>3903</v>
      </c>
      <c r="B605" s="16" t="s">
        <v>756</v>
      </c>
      <c r="C605" s="16" t="s">
        <v>3306</v>
      </c>
      <c r="D605" s="22" t="n">
        <v>46031</v>
      </c>
      <c r="E605" s="16" t="s">
        <v>637</v>
      </c>
    </row>
    <row r="606" customFormat="false" ht="15" hidden="false" customHeight="false" outlineLevel="0" collapsed="false">
      <c r="A606" s="16" t="s">
        <v>3904</v>
      </c>
      <c r="B606" s="16" t="s">
        <v>756</v>
      </c>
      <c r="C606" s="16" t="s">
        <v>3306</v>
      </c>
      <c r="D606" s="22" t="n">
        <v>46102</v>
      </c>
      <c r="E606" s="16" t="s">
        <v>637</v>
      </c>
    </row>
    <row r="607" customFormat="false" ht="15" hidden="false" customHeight="false" outlineLevel="0" collapsed="false">
      <c r="A607" s="16" t="s">
        <v>3905</v>
      </c>
      <c r="B607" s="16" t="s">
        <v>756</v>
      </c>
      <c r="C607" s="16" t="s">
        <v>3298</v>
      </c>
      <c r="D607" s="22" t="n">
        <v>46068</v>
      </c>
      <c r="E607" s="16" t="s">
        <v>637</v>
      </c>
    </row>
    <row r="608" customFormat="false" ht="15" hidden="false" customHeight="false" outlineLevel="0" collapsed="false">
      <c r="A608" s="16" t="s">
        <v>3906</v>
      </c>
      <c r="B608" s="16" t="s">
        <v>756</v>
      </c>
      <c r="C608" s="16" t="s">
        <v>3330</v>
      </c>
      <c r="D608" s="22" t="n">
        <v>46033</v>
      </c>
      <c r="E608" s="16" t="s">
        <v>637</v>
      </c>
    </row>
    <row r="609" customFormat="false" ht="15" hidden="false" customHeight="false" outlineLevel="0" collapsed="false">
      <c r="A609" s="16" t="s">
        <v>3907</v>
      </c>
      <c r="B609" s="16" t="s">
        <v>756</v>
      </c>
      <c r="C609" s="16" t="s">
        <v>3310</v>
      </c>
      <c r="D609" s="22" t="n">
        <v>46086</v>
      </c>
      <c r="E609" s="16" t="s">
        <v>637</v>
      </c>
    </row>
    <row r="610" customFormat="false" ht="15" hidden="false" customHeight="false" outlineLevel="0" collapsed="false">
      <c r="A610" s="16" t="s">
        <v>3908</v>
      </c>
      <c r="B610" s="16" t="s">
        <v>756</v>
      </c>
      <c r="C610" s="16" t="s">
        <v>3302</v>
      </c>
      <c r="D610" s="22" t="n">
        <v>45955</v>
      </c>
      <c r="E610" s="16" t="s">
        <v>637</v>
      </c>
    </row>
    <row r="611" customFormat="false" ht="15" hidden="false" customHeight="false" outlineLevel="0" collapsed="false">
      <c r="A611" s="16" t="s">
        <v>3909</v>
      </c>
      <c r="B611" s="16" t="s">
        <v>252</v>
      </c>
      <c r="C611" s="16" t="s">
        <v>3300</v>
      </c>
      <c r="D611" s="22" t="n">
        <v>46076</v>
      </c>
      <c r="E611" s="16" t="s">
        <v>666</v>
      </c>
    </row>
    <row r="612" customFormat="false" ht="15" hidden="false" customHeight="false" outlineLevel="0" collapsed="false">
      <c r="A612" s="16" t="s">
        <v>3910</v>
      </c>
      <c r="B612" s="16" t="s">
        <v>252</v>
      </c>
      <c r="C612" s="16" t="s">
        <v>3330</v>
      </c>
      <c r="D612" s="22" t="n">
        <v>46177</v>
      </c>
      <c r="E612" s="16" t="s">
        <v>666</v>
      </c>
    </row>
    <row r="613" customFormat="false" ht="15" hidden="false" customHeight="false" outlineLevel="0" collapsed="false">
      <c r="A613" s="16" t="s">
        <v>3911</v>
      </c>
      <c r="B613" s="16" t="s">
        <v>252</v>
      </c>
      <c r="C613" s="16" t="s">
        <v>3298</v>
      </c>
      <c r="D613" s="22" t="n">
        <v>46289</v>
      </c>
      <c r="E613" s="16" t="s">
        <v>666</v>
      </c>
    </row>
    <row r="614" customFormat="false" ht="15" hidden="false" customHeight="false" outlineLevel="0" collapsed="false">
      <c r="A614" s="16" t="s">
        <v>3912</v>
      </c>
      <c r="B614" s="16" t="s">
        <v>252</v>
      </c>
      <c r="C614" s="16" t="s">
        <v>3310</v>
      </c>
      <c r="D614" s="22" t="n">
        <v>46055</v>
      </c>
      <c r="E614" s="16" t="s">
        <v>666</v>
      </c>
    </row>
    <row r="615" customFormat="false" ht="15" hidden="false" customHeight="false" outlineLevel="0" collapsed="false">
      <c r="A615" s="16" t="s">
        <v>3913</v>
      </c>
      <c r="B615" s="16" t="s">
        <v>252</v>
      </c>
      <c r="C615" s="16" t="s">
        <v>3298</v>
      </c>
      <c r="D615" s="22" t="n">
        <v>46269</v>
      </c>
      <c r="E615" s="16" t="s">
        <v>666</v>
      </c>
    </row>
    <row r="616" customFormat="false" ht="15" hidden="false" customHeight="false" outlineLevel="0" collapsed="false">
      <c r="A616" s="16" t="s">
        <v>3914</v>
      </c>
      <c r="B616" s="16" t="s">
        <v>252</v>
      </c>
      <c r="C616" s="16" t="s">
        <v>3300</v>
      </c>
      <c r="D616" s="22" t="n">
        <v>46303</v>
      </c>
      <c r="E616" s="16" t="s">
        <v>666</v>
      </c>
    </row>
    <row r="617" customFormat="false" ht="15" hidden="false" customHeight="false" outlineLevel="0" collapsed="false">
      <c r="A617" s="16" t="s">
        <v>3915</v>
      </c>
      <c r="B617" s="16" t="s">
        <v>252</v>
      </c>
      <c r="C617" s="16" t="s">
        <v>3298</v>
      </c>
      <c r="D617" s="22" t="n">
        <v>46096</v>
      </c>
      <c r="E617" s="16" t="s">
        <v>666</v>
      </c>
    </row>
    <row r="618" customFormat="false" ht="15" hidden="false" customHeight="false" outlineLevel="0" collapsed="false">
      <c r="A618" s="16" t="s">
        <v>3916</v>
      </c>
      <c r="B618" s="16" t="s">
        <v>796</v>
      </c>
      <c r="C618" s="16" t="s">
        <v>3330</v>
      </c>
      <c r="D618" s="22" t="n">
        <v>46274</v>
      </c>
      <c r="E618" s="16" t="s">
        <v>573</v>
      </c>
    </row>
    <row r="619" customFormat="false" ht="15" hidden="false" customHeight="false" outlineLevel="0" collapsed="false">
      <c r="A619" s="16" t="s">
        <v>3917</v>
      </c>
      <c r="B619" s="16" t="s">
        <v>796</v>
      </c>
      <c r="C619" s="16" t="s">
        <v>3306</v>
      </c>
      <c r="D619" s="22" t="n">
        <v>46272</v>
      </c>
      <c r="E619" s="16" t="s">
        <v>573</v>
      </c>
    </row>
    <row r="620" customFormat="false" ht="15" hidden="false" customHeight="false" outlineLevel="0" collapsed="false">
      <c r="A620" s="16" t="s">
        <v>3918</v>
      </c>
      <c r="B620" s="16" t="s">
        <v>796</v>
      </c>
      <c r="C620" s="16" t="s">
        <v>3310</v>
      </c>
      <c r="D620" s="22" t="n">
        <v>46252</v>
      </c>
      <c r="E620" s="16" t="s">
        <v>573</v>
      </c>
    </row>
    <row r="621" customFormat="false" ht="15" hidden="false" customHeight="false" outlineLevel="0" collapsed="false">
      <c r="A621" s="16" t="s">
        <v>3919</v>
      </c>
      <c r="B621" s="16" t="s">
        <v>858</v>
      </c>
      <c r="C621" s="16" t="s">
        <v>3300</v>
      </c>
      <c r="D621" s="22" t="n">
        <v>46154</v>
      </c>
      <c r="E621" s="16" t="s">
        <v>704</v>
      </c>
    </row>
    <row r="622" customFormat="false" ht="15" hidden="false" customHeight="false" outlineLevel="0" collapsed="false">
      <c r="A622" s="16" t="s">
        <v>3920</v>
      </c>
      <c r="B622" s="16" t="s">
        <v>858</v>
      </c>
      <c r="C622" s="16" t="s">
        <v>3306</v>
      </c>
      <c r="D622" s="22" t="n">
        <v>46284</v>
      </c>
      <c r="E622" s="16" t="s">
        <v>704</v>
      </c>
    </row>
    <row r="623" customFormat="false" ht="15" hidden="false" customHeight="false" outlineLevel="0" collapsed="false">
      <c r="A623" s="16" t="s">
        <v>3921</v>
      </c>
      <c r="B623" s="16" t="s">
        <v>858</v>
      </c>
      <c r="C623" s="16" t="s">
        <v>3310</v>
      </c>
      <c r="D623" s="22" t="n">
        <v>46275</v>
      </c>
      <c r="E623" s="16" t="s">
        <v>704</v>
      </c>
    </row>
    <row r="624" customFormat="false" ht="15" hidden="false" customHeight="false" outlineLevel="0" collapsed="false">
      <c r="A624" s="16" t="s">
        <v>3922</v>
      </c>
      <c r="B624" s="16" t="s">
        <v>858</v>
      </c>
      <c r="C624" s="16" t="s">
        <v>3300</v>
      </c>
      <c r="D624" s="22" t="n">
        <v>46224</v>
      </c>
      <c r="E624" s="16" t="s">
        <v>704</v>
      </c>
    </row>
    <row r="625" customFormat="false" ht="15" hidden="false" customHeight="false" outlineLevel="0" collapsed="false">
      <c r="A625" s="16" t="s">
        <v>3923</v>
      </c>
      <c r="B625" s="16" t="s">
        <v>858</v>
      </c>
      <c r="C625" s="16" t="s">
        <v>3330</v>
      </c>
      <c r="D625" s="22" t="n">
        <v>45999</v>
      </c>
      <c r="E625" s="16" t="s">
        <v>704</v>
      </c>
    </row>
    <row r="626" customFormat="false" ht="15" hidden="false" customHeight="false" outlineLevel="0" collapsed="false">
      <c r="A626" s="16" t="s">
        <v>3924</v>
      </c>
      <c r="B626" s="16" t="s">
        <v>858</v>
      </c>
      <c r="C626" s="16" t="s">
        <v>3302</v>
      </c>
      <c r="D626" s="22" t="n">
        <v>46201</v>
      </c>
      <c r="E626" s="16" t="s">
        <v>704</v>
      </c>
    </row>
    <row r="627" customFormat="false" ht="15" hidden="false" customHeight="false" outlineLevel="0" collapsed="false">
      <c r="A627" s="16" t="s">
        <v>3925</v>
      </c>
      <c r="B627" s="16" t="s">
        <v>375</v>
      </c>
      <c r="C627" s="16" t="s">
        <v>3298</v>
      </c>
      <c r="D627" s="22" t="n">
        <v>45975</v>
      </c>
      <c r="E627" s="16" t="s">
        <v>622</v>
      </c>
    </row>
    <row r="628" customFormat="false" ht="15" hidden="false" customHeight="false" outlineLevel="0" collapsed="false">
      <c r="A628" s="16" t="s">
        <v>3926</v>
      </c>
      <c r="B628" s="16" t="s">
        <v>375</v>
      </c>
      <c r="C628" s="16" t="s">
        <v>3302</v>
      </c>
      <c r="D628" s="22" t="n">
        <v>46002</v>
      </c>
      <c r="E628" s="16" t="s">
        <v>622</v>
      </c>
    </row>
    <row r="629" customFormat="false" ht="15" hidden="false" customHeight="false" outlineLevel="0" collapsed="false">
      <c r="A629" s="16" t="s">
        <v>3927</v>
      </c>
      <c r="B629" s="16" t="s">
        <v>375</v>
      </c>
      <c r="C629" s="16" t="s">
        <v>3300</v>
      </c>
      <c r="D629" s="22" t="n">
        <v>46277</v>
      </c>
      <c r="E629" s="16" t="s">
        <v>622</v>
      </c>
    </row>
    <row r="630" customFormat="false" ht="15" hidden="false" customHeight="false" outlineLevel="0" collapsed="false">
      <c r="A630" s="16" t="s">
        <v>3928</v>
      </c>
      <c r="B630" s="16" t="s">
        <v>375</v>
      </c>
      <c r="C630" s="16" t="s">
        <v>3302</v>
      </c>
      <c r="D630" s="22" t="n">
        <v>46149</v>
      </c>
      <c r="E630" s="16" t="s">
        <v>622</v>
      </c>
    </row>
    <row r="631" customFormat="false" ht="15" hidden="false" customHeight="false" outlineLevel="0" collapsed="false">
      <c r="A631" s="16" t="s">
        <v>3929</v>
      </c>
      <c r="B631" s="16" t="s">
        <v>375</v>
      </c>
      <c r="C631" s="16" t="s">
        <v>3306</v>
      </c>
      <c r="D631" s="22" t="n">
        <v>45961</v>
      </c>
      <c r="E631" s="16" t="s">
        <v>622</v>
      </c>
    </row>
    <row r="632" customFormat="false" ht="15" hidden="false" customHeight="false" outlineLevel="0" collapsed="false">
      <c r="A632" s="16" t="s">
        <v>3930</v>
      </c>
      <c r="B632" s="16" t="s">
        <v>375</v>
      </c>
      <c r="C632" s="16" t="s">
        <v>3330</v>
      </c>
      <c r="D632" s="22" t="n">
        <v>45949</v>
      </c>
      <c r="E632" s="16" t="s">
        <v>622</v>
      </c>
    </row>
    <row r="633" customFormat="false" ht="15" hidden="false" customHeight="false" outlineLevel="0" collapsed="false">
      <c r="A633" s="16" t="s">
        <v>3931</v>
      </c>
      <c r="B633" s="16" t="s">
        <v>906</v>
      </c>
      <c r="C633" s="16" t="s">
        <v>3300</v>
      </c>
      <c r="D633" s="22" t="n">
        <v>46051</v>
      </c>
      <c r="E633" s="16" t="s">
        <v>588</v>
      </c>
    </row>
    <row r="634" customFormat="false" ht="15" hidden="false" customHeight="false" outlineLevel="0" collapsed="false">
      <c r="A634" s="16" t="s">
        <v>3932</v>
      </c>
      <c r="B634" s="16" t="s">
        <v>906</v>
      </c>
      <c r="C634" s="16" t="s">
        <v>3330</v>
      </c>
      <c r="D634" s="22" t="n">
        <v>46020</v>
      </c>
      <c r="E634" s="16" t="s">
        <v>588</v>
      </c>
    </row>
    <row r="635" customFormat="false" ht="15" hidden="false" customHeight="false" outlineLevel="0" collapsed="false">
      <c r="A635" s="16" t="s">
        <v>3933</v>
      </c>
      <c r="B635" s="16" t="s">
        <v>906</v>
      </c>
      <c r="C635" s="16" t="s">
        <v>3298</v>
      </c>
      <c r="D635" s="22" t="n">
        <v>46131</v>
      </c>
      <c r="E635" s="16" t="s">
        <v>588</v>
      </c>
    </row>
    <row r="636" customFormat="false" ht="15" hidden="false" customHeight="false" outlineLevel="0" collapsed="false">
      <c r="A636" s="16" t="s">
        <v>3934</v>
      </c>
      <c r="B636" s="16" t="s">
        <v>906</v>
      </c>
      <c r="C636" s="16" t="s">
        <v>3298</v>
      </c>
      <c r="D636" s="22" t="n">
        <v>46250</v>
      </c>
      <c r="E636" s="16" t="s">
        <v>588</v>
      </c>
    </row>
    <row r="637" customFormat="false" ht="15" hidden="false" customHeight="false" outlineLevel="0" collapsed="false">
      <c r="A637" s="16" t="s">
        <v>3935</v>
      </c>
      <c r="B637" s="16" t="s">
        <v>906</v>
      </c>
      <c r="C637" s="16" t="s">
        <v>3330</v>
      </c>
      <c r="D637" s="22" t="n">
        <v>46113</v>
      </c>
      <c r="E637" s="16" t="s">
        <v>588</v>
      </c>
    </row>
    <row r="638" customFormat="false" ht="15" hidden="false" customHeight="false" outlineLevel="0" collapsed="false">
      <c r="A638" s="16" t="s">
        <v>3936</v>
      </c>
      <c r="B638" s="16" t="s">
        <v>960</v>
      </c>
      <c r="C638" s="16" t="s">
        <v>3330</v>
      </c>
      <c r="D638" s="22" t="n">
        <v>46107</v>
      </c>
      <c r="E638" s="16" t="s">
        <v>691</v>
      </c>
    </row>
    <row r="639" customFormat="false" ht="15" hidden="false" customHeight="false" outlineLevel="0" collapsed="false">
      <c r="A639" s="16" t="s">
        <v>3937</v>
      </c>
      <c r="B639" s="16" t="s">
        <v>960</v>
      </c>
      <c r="C639" s="16" t="s">
        <v>3310</v>
      </c>
      <c r="D639" s="22" t="n">
        <v>46291</v>
      </c>
      <c r="E639" s="16" t="s">
        <v>691</v>
      </c>
    </row>
    <row r="640" customFormat="false" ht="15" hidden="false" customHeight="false" outlineLevel="0" collapsed="false">
      <c r="A640" s="16" t="s">
        <v>3938</v>
      </c>
      <c r="B640" s="16" t="s">
        <v>960</v>
      </c>
      <c r="C640" s="16" t="s">
        <v>3298</v>
      </c>
      <c r="D640" s="22" t="n">
        <v>46233</v>
      </c>
      <c r="E640" s="16" t="s">
        <v>691</v>
      </c>
    </row>
    <row r="641" customFormat="false" ht="15" hidden="false" customHeight="false" outlineLevel="0" collapsed="false">
      <c r="A641" s="16" t="s">
        <v>3939</v>
      </c>
      <c r="B641" s="16" t="s">
        <v>960</v>
      </c>
      <c r="C641" s="16" t="s">
        <v>3330</v>
      </c>
      <c r="D641" s="22" t="n">
        <v>46236</v>
      </c>
      <c r="E641" s="16" t="s">
        <v>691</v>
      </c>
    </row>
    <row r="642" customFormat="false" ht="15" hidden="false" customHeight="false" outlineLevel="0" collapsed="false">
      <c r="A642" s="16" t="s">
        <v>3940</v>
      </c>
      <c r="B642" s="16" t="s">
        <v>960</v>
      </c>
      <c r="C642" s="16" t="s">
        <v>3306</v>
      </c>
      <c r="D642" s="22" t="n">
        <v>45992</v>
      </c>
      <c r="E642" s="16" t="s">
        <v>691</v>
      </c>
    </row>
    <row r="643" customFormat="false" ht="15" hidden="false" customHeight="false" outlineLevel="0" collapsed="false">
      <c r="A643" s="16" t="s">
        <v>3941</v>
      </c>
      <c r="B643" s="16" t="s">
        <v>960</v>
      </c>
      <c r="C643" s="16" t="s">
        <v>3310</v>
      </c>
      <c r="D643" s="22" t="n">
        <v>46215</v>
      </c>
      <c r="E643" s="16" t="s">
        <v>691</v>
      </c>
    </row>
    <row r="644" customFormat="false" ht="15" hidden="false" customHeight="false" outlineLevel="0" collapsed="false">
      <c r="A644" s="16" t="s">
        <v>3942</v>
      </c>
      <c r="B644" s="16" t="s">
        <v>960</v>
      </c>
      <c r="C644" s="16" t="s">
        <v>3300</v>
      </c>
      <c r="D644" s="22" t="n">
        <v>46239</v>
      </c>
      <c r="E644" s="16" t="s">
        <v>691</v>
      </c>
    </row>
    <row r="645" customFormat="false" ht="15" hidden="false" customHeight="false" outlineLevel="0" collapsed="false">
      <c r="A645" s="16" t="s">
        <v>3943</v>
      </c>
      <c r="B645" s="16" t="s">
        <v>1215</v>
      </c>
      <c r="C645" s="16" t="s">
        <v>3298</v>
      </c>
      <c r="D645" s="22" t="n">
        <v>46074</v>
      </c>
      <c r="E645" s="16" t="s">
        <v>654</v>
      </c>
    </row>
    <row r="646" customFormat="false" ht="15" hidden="false" customHeight="false" outlineLevel="0" collapsed="false">
      <c r="A646" s="16" t="s">
        <v>3944</v>
      </c>
      <c r="B646" s="16" t="s">
        <v>1215</v>
      </c>
      <c r="C646" s="16" t="s">
        <v>3302</v>
      </c>
      <c r="D646" s="22" t="n">
        <v>46121</v>
      </c>
      <c r="E646" s="16" t="s">
        <v>654</v>
      </c>
    </row>
    <row r="647" customFormat="false" ht="15" hidden="false" customHeight="false" outlineLevel="0" collapsed="false">
      <c r="A647" s="16" t="s">
        <v>3945</v>
      </c>
      <c r="B647" s="16" t="s">
        <v>1215</v>
      </c>
      <c r="C647" s="16" t="s">
        <v>3310</v>
      </c>
      <c r="D647" s="22" t="n">
        <v>45983</v>
      </c>
      <c r="E647" s="16" t="s">
        <v>654</v>
      </c>
    </row>
    <row r="648" customFormat="false" ht="15" hidden="false" customHeight="false" outlineLevel="0" collapsed="false">
      <c r="A648" s="16" t="s">
        <v>3946</v>
      </c>
      <c r="B648" s="16" t="s">
        <v>1215</v>
      </c>
      <c r="C648" s="16" t="s">
        <v>3302</v>
      </c>
      <c r="D648" s="22" t="n">
        <v>46184</v>
      </c>
      <c r="E648" s="16" t="s">
        <v>654</v>
      </c>
    </row>
    <row r="649" customFormat="false" ht="15" hidden="false" customHeight="false" outlineLevel="0" collapsed="false">
      <c r="A649" s="16" t="s">
        <v>3947</v>
      </c>
      <c r="B649" s="16" t="s">
        <v>1215</v>
      </c>
      <c r="C649" s="16" t="s">
        <v>3300</v>
      </c>
      <c r="D649" s="22" t="n">
        <v>46300</v>
      </c>
      <c r="E649" s="16" t="s">
        <v>654</v>
      </c>
    </row>
    <row r="650" customFormat="false" ht="15" hidden="false" customHeight="false" outlineLevel="0" collapsed="false">
      <c r="A650" s="16" t="s">
        <v>3948</v>
      </c>
      <c r="B650" s="16" t="s">
        <v>1327</v>
      </c>
      <c r="C650" s="16" t="s">
        <v>3300</v>
      </c>
      <c r="D650" s="22" t="n">
        <v>46121</v>
      </c>
      <c r="E650" s="16" t="s">
        <v>578</v>
      </c>
    </row>
    <row r="651" customFormat="false" ht="15" hidden="false" customHeight="false" outlineLevel="0" collapsed="false">
      <c r="A651" s="16" t="s">
        <v>3949</v>
      </c>
      <c r="B651" s="16" t="s">
        <v>1327</v>
      </c>
      <c r="C651" s="16" t="s">
        <v>3302</v>
      </c>
      <c r="D651" s="22" t="n">
        <v>45925</v>
      </c>
      <c r="E651" s="16" t="s">
        <v>578</v>
      </c>
    </row>
    <row r="652" customFormat="false" ht="15" hidden="false" customHeight="false" outlineLevel="0" collapsed="false">
      <c r="A652" s="16" t="s">
        <v>3950</v>
      </c>
      <c r="B652" s="16" t="s">
        <v>1327</v>
      </c>
      <c r="C652" s="16" t="s">
        <v>3310</v>
      </c>
      <c r="D652" s="22" t="n">
        <v>46189</v>
      </c>
      <c r="E652" s="16" t="s">
        <v>578</v>
      </c>
    </row>
    <row r="653" customFormat="false" ht="15" hidden="false" customHeight="false" outlineLevel="0" collapsed="false">
      <c r="A653" s="16" t="s">
        <v>3951</v>
      </c>
      <c r="B653" s="16" t="s">
        <v>1327</v>
      </c>
      <c r="C653" s="16" t="s">
        <v>3306</v>
      </c>
      <c r="D653" s="22" t="n">
        <v>46308</v>
      </c>
      <c r="E653" s="16" t="s">
        <v>578</v>
      </c>
    </row>
    <row r="654" customFormat="false" ht="15" hidden="false" customHeight="false" outlineLevel="0" collapsed="false">
      <c r="A654" s="16" t="s">
        <v>3952</v>
      </c>
      <c r="B654" s="16" t="s">
        <v>1327</v>
      </c>
      <c r="C654" s="16" t="s">
        <v>3310</v>
      </c>
      <c r="D654" s="22" t="n">
        <v>46062</v>
      </c>
      <c r="E654" s="16" t="s">
        <v>578</v>
      </c>
    </row>
    <row r="655" customFormat="false" ht="15" hidden="false" customHeight="false" outlineLevel="0" collapsed="false">
      <c r="A655" s="16" t="s">
        <v>3953</v>
      </c>
      <c r="B655" s="16" t="s">
        <v>1327</v>
      </c>
      <c r="C655" s="16" t="s">
        <v>3300</v>
      </c>
      <c r="D655" s="22" t="n">
        <v>46039</v>
      </c>
      <c r="E655" s="16" t="s">
        <v>578</v>
      </c>
    </row>
    <row r="656" customFormat="false" ht="15" hidden="false" customHeight="false" outlineLevel="0" collapsed="false">
      <c r="A656" s="16" t="s">
        <v>3954</v>
      </c>
      <c r="B656" s="16" t="s">
        <v>1327</v>
      </c>
      <c r="C656" s="16" t="s">
        <v>3302</v>
      </c>
      <c r="D656" s="22" t="n">
        <v>46037</v>
      </c>
      <c r="E656" s="16" t="s">
        <v>578</v>
      </c>
    </row>
    <row r="657" customFormat="false" ht="15" hidden="false" customHeight="false" outlineLevel="0" collapsed="false">
      <c r="A657" s="16" t="s">
        <v>3955</v>
      </c>
      <c r="B657" s="16" t="s">
        <v>248</v>
      </c>
      <c r="C657" s="16" t="s">
        <v>3302</v>
      </c>
      <c r="D657" s="22" t="n">
        <v>46024</v>
      </c>
      <c r="E657" s="16" t="s">
        <v>600</v>
      </c>
    </row>
    <row r="658" customFormat="false" ht="15" hidden="false" customHeight="false" outlineLevel="0" collapsed="false">
      <c r="A658" s="16" t="s">
        <v>3956</v>
      </c>
      <c r="B658" s="16" t="s">
        <v>248</v>
      </c>
      <c r="C658" s="16" t="s">
        <v>3302</v>
      </c>
      <c r="D658" s="22" t="n">
        <v>46188</v>
      </c>
      <c r="E658" s="16" t="s">
        <v>600</v>
      </c>
    </row>
    <row r="659" customFormat="false" ht="15" hidden="false" customHeight="false" outlineLevel="0" collapsed="false">
      <c r="A659" s="16" t="s">
        <v>3957</v>
      </c>
      <c r="B659" s="16" t="s">
        <v>248</v>
      </c>
      <c r="C659" s="16" t="s">
        <v>3310</v>
      </c>
      <c r="D659" s="22" t="n">
        <v>46305</v>
      </c>
      <c r="E659" s="16" t="s">
        <v>600</v>
      </c>
    </row>
    <row r="660" customFormat="false" ht="15" hidden="false" customHeight="false" outlineLevel="0" collapsed="false">
      <c r="A660" s="16" t="s">
        <v>3958</v>
      </c>
      <c r="B660" s="16" t="s">
        <v>248</v>
      </c>
      <c r="C660" s="16" t="s">
        <v>3302</v>
      </c>
      <c r="D660" s="22" t="n">
        <v>46007</v>
      </c>
      <c r="E660" s="16" t="s">
        <v>600</v>
      </c>
    </row>
    <row r="661" customFormat="false" ht="15" hidden="false" customHeight="false" outlineLevel="0" collapsed="false">
      <c r="A661" s="16" t="s">
        <v>3959</v>
      </c>
      <c r="B661" s="16" t="s">
        <v>248</v>
      </c>
      <c r="C661" s="16" t="s">
        <v>3310</v>
      </c>
      <c r="D661" s="22" t="n">
        <v>46065</v>
      </c>
      <c r="E661" s="16" t="s">
        <v>600</v>
      </c>
    </row>
    <row r="662" customFormat="false" ht="15" hidden="false" customHeight="false" outlineLevel="0" collapsed="false">
      <c r="A662" s="16" t="s">
        <v>3960</v>
      </c>
      <c r="B662" s="16" t="s">
        <v>1025</v>
      </c>
      <c r="C662" s="16" t="s">
        <v>3306</v>
      </c>
      <c r="D662" s="22" t="n">
        <v>46026</v>
      </c>
      <c r="E662" s="16" t="s">
        <v>704</v>
      </c>
    </row>
    <row r="663" customFormat="false" ht="15" hidden="false" customHeight="false" outlineLevel="0" collapsed="false">
      <c r="A663" s="16" t="s">
        <v>3961</v>
      </c>
      <c r="B663" s="16" t="s">
        <v>1025</v>
      </c>
      <c r="C663" s="16" t="s">
        <v>3306</v>
      </c>
      <c r="D663" s="22" t="n">
        <v>45941</v>
      </c>
      <c r="E663" s="16" t="s">
        <v>704</v>
      </c>
    </row>
    <row r="664" customFormat="false" ht="15" hidden="false" customHeight="false" outlineLevel="0" collapsed="false">
      <c r="A664" s="16" t="s">
        <v>3962</v>
      </c>
      <c r="B664" s="16" t="s">
        <v>1025</v>
      </c>
      <c r="C664" s="16" t="s">
        <v>3310</v>
      </c>
      <c r="D664" s="22" t="n">
        <v>45979</v>
      </c>
      <c r="E664" s="16" t="s">
        <v>704</v>
      </c>
    </row>
    <row r="665" customFormat="false" ht="15" hidden="false" customHeight="false" outlineLevel="0" collapsed="false">
      <c r="A665" s="16" t="s">
        <v>3963</v>
      </c>
      <c r="B665" s="16" t="s">
        <v>1025</v>
      </c>
      <c r="C665" s="16" t="s">
        <v>3298</v>
      </c>
      <c r="D665" s="22" t="n">
        <v>45989</v>
      </c>
      <c r="E665" s="16" t="s">
        <v>704</v>
      </c>
    </row>
    <row r="666" customFormat="false" ht="15" hidden="false" customHeight="false" outlineLevel="0" collapsed="false">
      <c r="A666" s="16" t="s">
        <v>3964</v>
      </c>
      <c r="B666" s="16" t="s">
        <v>1025</v>
      </c>
      <c r="C666" s="16" t="s">
        <v>3302</v>
      </c>
      <c r="D666" s="22" t="n">
        <v>45915</v>
      </c>
      <c r="E666" s="16" t="s">
        <v>704</v>
      </c>
    </row>
    <row r="667" customFormat="false" ht="15" hidden="false" customHeight="false" outlineLevel="0" collapsed="false">
      <c r="A667" s="16" t="s">
        <v>3965</v>
      </c>
      <c r="B667" s="16" t="s">
        <v>1025</v>
      </c>
      <c r="C667" s="16" t="s">
        <v>3300</v>
      </c>
      <c r="D667" s="22" t="n">
        <v>46148</v>
      </c>
      <c r="E667" s="16" t="s">
        <v>704</v>
      </c>
    </row>
    <row r="668" customFormat="false" ht="15" hidden="false" customHeight="false" outlineLevel="0" collapsed="false">
      <c r="A668" s="16" t="s">
        <v>3966</v>
      </c>
      <c r="B668" s="16" t="s">
        <v>1025</v>
      </c>
      <c r="C668" s="16" t="s">
        <v>3310</v>
      </c>
      <c r="D668" s="22" t="n">
        <v>46100</v>
      </c>
      <c r="E668" s="16" t="s">
        <v>704</v>
      </c>
    </row>
    <row r="669" customFormat="false" ht="15" hidden="false" customHeight="false" outlineLevel="0" collapsed="false">
      <c r="A669" s="16" t="s">
        <v>3967</v>
      </c>
      <c r="B669" s="16" t="s">
        <v>1025</v>
      </c>
      <c r="C669" s="16" t="s">
        <v>3302</v>
      </c>
      <c r="D669" s="22" t="n">
        <v>46211</v>
      </c>
      <c r="E669" s="16" t="s">
        <v>704</v>
      </c>
    </row>
    <row r="670" customFormat="false" ht="15" hidden="false" customHeight="false" outlineLevel="0" collapsed="false">
      <c r="A670" s="16" t="s">
        <v>3968</v>
      </c>
      <c r="B670" s="16" t="s">
        <v>1025</v>
      </c>
      <c r="C670" s="16" t="s">
        <v>3330</v>
      </c>
      <c r="D670" s="22" t="n">
        <v>46143</v>
      </c>
      <c r="E670" s="16" t="s">
        <v>704</v>
      </c>
    </row>
    <row r="671" customFormat="false" ht="15" hidden="false" customHeight="false" outlineLevel="0" collapsed="false">
      <c r="A671" s="16" t="s">
        <v>3969</v>
      </c>
      <c r="B671" s="16" t="s">
        <v>238</v>
      </c>
      <c r="C671" s="16" t="s">
        <v>3302</v>
      </c>
      <c r="D671" s="22" t="n">
        <v>46074</v>
      </c>
      <c r="E671" s="16" t="s">
        <v>600</v>
      </c>
    </row>
    <row r="672" customFormat="false" ht="15" hidden="false" customHeight="false" outlineLevel="0" collapsed="false">
      <c r="A672" s="16" t="s">
        <v>3970</v>
      </c>
      <c r="B672" s="16" t="s">
        <v>238</v>
      </c>
      <c r="C672" s="16" t="s">
        <v>3300</v>
      </c>
      <c r="D672" s="22" t="n">
        <v>46041</v>
      </c>
      <c r="E672" s="16" t="s">
        <v>600</v>
      </c>
    </row>
    <row r="673" customFormat="false" ht="15" hidden="false" customHeight="false" outlineLevel="0" collapsed="false">
      <c r="A673" s="16" t="s">
        <v>3971</v>
      </c>
      <c r="B673" s="16" t="s">
        <v>238</v>
      </c>
      <c r="C673" s="16" t="s">
        <v>3300</v>
      </c>
      <c r="D673" s="22" t="n">
        <v>46189</v>
      </c>
      <c r="E673" s="16" t="s">
        <v>600</v>
      </c>
    </row>
    <row r="674" customFormat="false" ht="15" hidden="false" customHeight="false" outlineLevel="0" collapsed="false">
      <c r="A674" s="16" t="s">
        <v>3972</v>
      </c>
      <c r="B674" s="16" t="s">
        <v>238</v>
      </c>
      <c r="C674" s="16" t="s">
        <v>3306</v>
      </c>
      <c r="D674" s="22" t="n">
        <v>45967</v>
      </c>
      <c r="E674" s="16" t="s">
        <v>600</v>
      </c>
    </row>
    <row r="675" customFormat="false" ht="15" hidden="false" customHeight="false" outlineLevel="0" collapsed="false">
      <c r="A675" s="16" t="s">
        <v>3973</v>
      </c>
      <c r="B675" s="16" t="s">
        <v>238</v>
      </c>
      <c r="C675" s="16" t="s">
        <v>3310</v>
      </c>
      <c r="D675" s="22" t="n">
        <v>46314</v>
      </c>
      <c r="E675" s="16" t="s">
        <v>600</v>
      </c>
    </row>
    <row r="676" customFormat="false" ht="15" hidden="false" customHeight="false" outlineLevel="0" collapsed="false">
      <c r="A676" s="16" t="s">
        <v>3974</v>
      </c>
      <c r="B676" s="16" t="s">
        <v>238</v>
      </c>
      <c r="C676" s="16" t="s">
        <v>3310</v>
      </c>
      <c r="D676" s="22" t="n">
        <v>46159</v>
      </c>
      <c r="E676" s="16" t="s">
        <v>600</v>
      </c>
    </row>
    <row r="677" customFormat="false" ht="15" hidden="false" customHeight="false" outlineLevel="0" collapsed="false">
      <c r="A677" s="16" t="s">
        <v>3975</v>
      </c>
      <c r="B677" s="16" t="s">
        <v>238</v>
      </c>
      <c r="C677" s="16" t="s">
        <v>3300</v>
      </c>
      <c r="D677" s="22" t="n">
        <v>46007</v>
      </c>
      <c r="E677" s="16" t="s">
        <v>600</v>
      </c>
    </row>
    <row r="678" customFormat="false" ht="15" hidden="false" customHeight="false" outlineLevel="0" collapsed="false">
      <c r="A678" s="16" t="s">
        <v>3976</v>
      </c>
      <c r="B678" s="16" t="s">
        <v>238</v>
      </c>
      <c r="C678" s="16" t="s">
        <v>3302</v>
      </c>
      <c r="D678" s="22" t="n">
        <v>46275</v>
      </c>
      <c r="E678" s="16" t="s">
        <v>600</v>
      </c>
    </row>
    <row r="679" customFormat="false" ht="15" hidden="false" customHeight="false" outlineLevel="0" collapsed="false">
      <c r="A679" s="16" t="s">
        <v>3977</v>
      </c>
      <c r="B679" s="16" t="s">
        <v>238</v>
      </c>
      <c r="C679" s="16" t="s">
        <v>3298</v>
      </c>
      <c r="D679" s="22" t="n">
        <v>45981</v>
      </c>
      <c r="E679" s="16" t="s">
        <v>600</v>
      </c>
    </row>
    <row r="680" customFormat="false" ht="15" hidden="false" customHeight="false" outlineLevel="0" collapsed="false">
      <c r="A680" s="16" t="s">
        <v>3978</v>
      </c>
      <c r="B680" s="16" t="s">
        <v>269</v>
      </c>
      <c r="C680" s="16" t="s">
        <v>3306</v>
      </c>
      <c r="D680" s="22" t="n">
        <v>46277</v>
      </c>
      <c r="E680" s="16" t="s">
        <v>578</v>
      </c>
    </row>
    <row r="681" customFormat="false" ht="15" hidden="false" customHeight="false" outlineLevel="0" collapsed="false">
      <c r="A681" s="16" t="s">
        <v>3979</v>
      </c>
      <c r="B681" s="16" t="s">
        <v>269</v>
      </c>
      <c r="C681" s="16" t="s">
        <v>3306</v>
      </c>
      <c r="D681" s="22" t="n">
        <v>46071</v>
      </c>
      <c r="E681" s="16" t="s">
        <v>578</v>
      </c>
    </row>
    <row r="682" customFormat="false" ht="15" hidden="false" customHeight="false" outlineLevel="0" collapsed="false">
      <c r="A682" s="16" t="s">
        <v>3980</v>
      </c>
      <c r="B682" s="16" t="s">
        <v>269</v>
      </c>
      <c r="C682" s="16" t="s">
        <v>3300</v>
      </c>
      <c r="D682" s="22" t="n">
        <v>46046</v>
      </c>
      <c r="E682" s="16" t="s">
        <v>578</v>
      </c>
    </row>
    <row r="683" customFormat="false" ht="15" hidden="false" customHeight="false" outlineLevel="0" collapsed="false">
      <c r="A683" s="16" t="s">
        <v>3981</v>
      </c>
      <c r="B683" s="16" t="s">
        <v>269</v>
      </c>
      <c r="C683" s="16" t="s">
        <v>3306</v>
      </c>
      <c r="D683" s="22" t="n">
        <v>46209</v>
      </c>
      <c r="E683" s="16" t="s">
        <v>578</v>
      </c>
    </row>
    <row r="684" customFormat="false" ht="15" hidden="false" customHeight="false" outlineLevel="0" collapsed="false">
      <c r="A684" s="16" t="s">
        <v>3982</v>
      </c>
      <c r="B684" s="16" t="s">
        <v>1196</v>
      </c>
      <c r="C684" s="16" t="s">
        <v>3306</v>
      </c>
      <c r="D684" s="22" t="n">
        <v>46166</v>
      </c>
      <c r="E684" s="16" t="s">
        <v>685</v>
      </c>
    </row>
    <row r="685" customFormat="false" ht="15" hidden="false" customHeight="false" outlineLevel="0" collapsed="false">
      <c r="A685" s="16" t="s">
        <v>3983</v>
      </c>
      <c r="B685" s="16" t="s">
        <v>1196</v>
      </c>
      <c r="C685" s="16" t="s">
        <v>3306</v>
      </c>
      <c r="D685" s="22" t="n">
        <v>45972</v>
      </c>
      <c r="E685" s="16" t="s">
        <v>685</v>
      </c>
    </row>
    <row r="686" customFormat="false" ht="15" hidden="false" customHeight="false" outlineLevel="0" collapsed="false">
      <c r="A686" s="16" t="s">
        <v>3984</v>
      </c>
      <c r="B686" s="16" t="s">
        <v>1196</v>
      </c>
      <c r="C686" s="16" t="s">
        <v>3310</v>
      </c>
      <c r="D686" s="22" t="n">
        <v>46050</v>
      </c>
      <c r="E686" s="16" t="s">
        <v>685</v>
      </c>
    </row>
    <row r="687" customFormat="false" ht="15" hidden="false" customHeight="false" outlineLevel="0" collapsed="false">
      <c r="A687" s="16" t="s">
        <v>3985</v>
      </c>
      <c r="B687" s="16" t="s">
        <v>1196</v>
      </c>
      <c r="C687" s="16" t="s">
        <v>3302</v>
      </c>
      <c r="D687" s="22" t="n">
        <v>46046</v>
      </c>
      <c r="E687" s="16" t="s">
        <v>685</v>
      </c>
    </row>
    <row r="688" customFormat="false" ht="15" hidden="false" customHeight="false" outlineLevel="0" collapsed="false">
      <c r="A688" s="16" t="s">
        <v>3986</v>
      </c>
      <c r="B688" s="16" t="s">
        <v>1196</v>
      </c>
      <c r="C688" s="16" t="s">
        <v>3330</v>
      </c>
      <c r="D688" s="22" t="n">
        <v>46083</v>
      </c>
      <c r="E688" s="16" t="s">
        <v>685</v>
      </c>
    </row>
    <row r="689" customFormat="false" ht="15" hidden="false" customHeight="false" outlineLevel="0" collapsed="false">
      <c r="A689" s="16" t="s">
        <v>3987</v>
      </c>
      <c r="B689" s="16" t="s">
        <v>1196</v>
      </c>
      <c r="C689" s="16" t="s">
        <v>3330</v>
      </c>
      <c r="D689" s="22" t="n">
        <v>46048</v>
      </c>
      <c r="E689" s="16" t="s">
        <v>685</v>
      </c>
    </row>
    <row r="690" customFormat="false" ht="15" hidden="false" customHeight="false" outlineLevel="0" collapsed="false">
      <c r="A690" s="16" t="s">
        <v>3988</v>
      </c>
      <c r="B690" s="16" t="s">
        <v>773</v>
      </c>
      <c r="C690" s="16" t="s">
        <v>3310</v>
      </c>
      <c r="D690" s="22" t="n">
        <v>46116</v>
      </c>
      <c r="E690" s="16" t="s">
        <v>600</v>
      </c>
    </row>
    <row r="691" customFormat="false" ht="15" hidden="false" customHeight="false" outlineLevel="0" collapsed="false">
      <c r="A691" s="16" t="s">
        <v>3989</v>
      </c>
      <c r="B691" s="16" t="s">
        <v>773</v>
      </c>
      <c r="C691" s="16" t="s">
        <v>3310</v>
      </c>
      <c r="D691" s="22" t="n">
        <v>46311</v>
      </c>
      <c r="E691" s="16" t="s">
        <v>600</v>
      </c>
    </row>
    <row r="692" customFormat="false" ht="15" hidden="false" customHeight="false" outlineLevel="0" collapsed="false">
      <c r="A692" s="16" t="s">
        <v>3990</v>
      </c>
      <c r="B692" s="16" t="s">
        <v>773</v>
      </c>
      <c r="C692" s="16" t="s">
        <v>3302</v>
      </c>
      <c r="D692" s="22" t="n">
        <v>46286</v>
      </c>
      <c r="E692" s="16" t="s">
        <v>600</v>
      </c>
    </row>
    <row r="693" customFormat="false" ht="15" hidden="false" customHeight="false" outlineLevel="0" collapsed="false">
      <c r="A693" s="16" t="s">
        <v>3991</v>
      </c>
      <c r="B693" s="16" t="s">
        <v>773</v>
      </c>
      <c r="C693" s="16" t="s">
        <v>3306</v>
      </c>
      <c r="D693" s="22" t="n">
        <v>46064</v>
      </c>
      <c r="E693" s="16" t="s">
        <v>600</v>
      </c>
    </row>
    <row r="694" customFormat="false" ht="15" hidden="false" customHeight="false" outlineLevel="0" collapsed="false">
      <c r="A694" s="16" t="s">
        <v>3992</v>
      </c>
      <c r="B694" s="16" t="s">
        <v>773</v>
      </c>
      <c r="C694" s="16" t="s">
        <v>3302</v>
      </c>
      <c r="D694" s="22" t="n">
        <v>45989</v>
      </c>
      <c r="E694" s="16" t="s">
        <v>600</v>
      </c>
    </row>
    <row r="695" customFormat="false" ht="15" hidden="false" customHeight="false" outlineLevel="0" collapsed="false">
      <c r="A695" s="16" t="s">
        <v>3993</v>
      </c>
      <c r="B695" s="16" t="s">
        <v>773</v>
      </c>
      <c r="C695" s="16" t="s">
        <v>3300</v>
      </c>
      <c r="D695" s="22" t="n">
        <v>46297</v>
      </c>
      <c r="E695" s="16" t="s">
        <v>600</v>
      </c>
    </row>
    <row r="696" customFormat="false" ht="15" hidden="false" customHeight="false" outlineLevel="0" collapsed="false">
      <c r="A696" s="16" t="s">
        <v>3994</v>
      </c>
      <c r="B696" s="16" t="s">
        <v>773</v>
      </c>
      <c r="C696" s="16" t="s">
        <v>3330</v>
      </c>
      <c r="D696" s="22" t="n">
        <v>45975</v>
      </c>
      <c r="E696" s="16" t="s">
        <v>600</v>
      </c>
    </row>
    <row r="697" customFormat="false" ht="15" hidden="false" customHeight="false" outlineLevel="0" collapsed="false">
      <c r="A697" s="16" t="s">
        <v>3995</v>
      </c>
      <c r="B697" s="16" t="s">
        <v>773</v>
      </c>
      <c r="C697" s="16" t="s">
        <v>3302</v>
      </c>
      <c r="D697" s="22" t="n">
        <v>45936</v>
      </c>
      <c r="E697" s="16" t="s">
        <v>600</v>
      </c>
    </row>
    <row r="698" customFormat="false" ht="15" hidden="false" customHeight="false" outlineLevel="0" collapsed="false">
      <c r="A698" s="16" t="s">
        <v>3996</v>
      </c>
      <c r="B698" s="16" t="s">
        <v>773</v>
      </c>
      <c r="C698" s="16" t="s">
        <v>3306</v>
      </c>
      <c r="D698" s="22" t="n">
        <v>45954</v>
      </c>
      <c r="E698" s="16" t="s">
        <v>600</v>
      </c>
    </row>
    <row r="699" customFormat="false" ht="15" hidden="false" customHeight="false" outlineLevel="0" collapsed="false">
      <c r="A699" s="16" t="s">
        <v>3997</v>
      </c>
      <c r="B699" s="16" t="s">
        <v>773</v>
      </c>
      <c r="C699" s="16" t="s">
        <v>3310</v>
      </c>
      <c r="D699" s="22" t="n">
        <v>45949</v>
      </c>
      <c r="E699" s="16" t="s">
        <v>600</v>
      </c>
    </row>
    <row r="700" customFormat="false" ht="15" hidden="false" customHeight="false" outlineLevel="0" collapsed="false">
      <c r="A700" s="16" t="s">
        <v>3998</v>
      </c>
      <c r="B700" s="16" t="s">
        <v>773</v>
      </c>
      <c r="C700" s="16" t="s">
        <v>3302</v>
      </c>
      <c r="D700" s="22" t="n">
        <v>46154</v>
      </c>
      <c r="E700" s="16" t="s">
        <v>600</v>
      </c>
    </row>
    <row r="701" customFormat="false" ht="15" hidden="false" customHeight="false" outlineLevel="0" collapsed="false">
      <c r="A701" s="16" t="s">
        <v>3999</v>
      </c>
      <c r="B701" s="16" t="s">
        <v>773</v>
      </c>
      <c r="C701" s="16" t="s">
        <v>3306</v>
      </c>
      <c r="D701" s="22" t="n">
        <v>46063</v>
      </c>
      <c r="E701" s="16" t="s">
        <v>600</v>
      </c>
    </row>
    <row r="702" customFormat="false" ht="15" hidden="false" customHeight="false" outlineLevel="0" collapsed="false">
      <c r="A702" s="16" t="s">
        <v>4000</v>
      </c>
      <c r="B702" s="16" t="s">
        <v>661</v>
      </c>
      <c r="C702" s="16" t="s">
        <v>3300</v>
      </c>
      <c r="D702" s="22" t="n">
        <v>45984</v>
      </c>
      <c r="E702" s="16" t="s">
        <v>663</v>
      </c>
    </row>
    <row r="703" customFormat="false" ht="15" hidden="false" customHeight="false" outlineLevel="0" collapsed="false">
      <c r="A703" s="16" t="s">
        <v>4001</v>
      </c>
      <c r="B703" s="16" t="s">
        <v>661</v>
      </c>
      <c r="C703" s="16" t="s">
        <v>3306</v>
      </c>
      <c r="D703" s="22" t="n">
        <v>45920</v>
      </c>
      <c r="E703" s="16" t="s">
        <v>663</v>
      </c>
    </row>
    <row r="704" customFormat="false" ht="15" hidden="false" customHeight="false" outlineLevel="0" collapsed="false">
      <c r="A704" s="16" t="s">
        <v>4002</v>
      </c>
      <c r="B704" s="16" t="s">
        <v>661</v>
      </c>
      <c r="C704" s="16" t="s">
        <v>3302</v>
      </c>
      <c r="D704" s="22" t="n">
        <v>46059</v>
      </c>
      <c r="E704" s="16" t="s">
        <v>663</v>
      </c>
    </row>
    <row r="705" customFormat="false" ht="15" hidden="false" customHeight="false" outlineLevel="0" collapsed="false">
      <c r="A705" s="16" t="s">
        <v>4003</v>
      </c>
      <c r="B705" s="16" t="s">
        <v>661</v>
      </c>
      <c r="C705" s="16" t="s">
        <v>3310</v>
      </c>
      <c r="D705" s="22" t="n">
        <v>46036</v>
      </c>
      <c r="E705" s="16" t="s">
        <v>663</v>
      </c>
    </row>
    <row r="706" customFormat="false" ht="15" hidden="false" customHeight="false" outlineLevel="0" collapsed="false">
      <c r="A706" s="16" t="s">
        <v>4004</v>
      </c>
      <c r="B706" s="16" t="s">
        <v>709</v>
      </c>
      <c r="C706" s="16" t="s">
        <v>3298</v>
      </c>
      <c r="D706" s="22" t="n">
        <v>46151</v>
      </c>
      <c r="E706" s="16" t="s">
        <v>600</v>
      </c>
    </row>
    <row r="707" customFormat="false" ht="15" hidden="false" customHeight="false" outlineLevel="0" collapsed="false">
      <c r="A707" s="16" t="s">
        <v>4005</v>
      </c>
      <c r="B707" s="16" t="s">
        <v>709</v>
      </c>
      <c r="C707" s="16" t="s">
        <v>3310</v>
      </c>
      <c r="D707" s="22" t="n">
        <v>46167</v>
      </c>
      <c r="E707" s="16" t="s">
        <v>600</v>
      </c>
    </row>
    <row r="708" customFormat="false" ht="15" hidden="false" customHeight="false" outlineLevel="0" collapsed="false">
      <c r="A708" s="16" t="s">
        <v>4006</v>
      </c>
      <c r="B708" s="16" t="s">
        <v>709</v>
      </c>
      <c r="C708" s="16" t="s">
        <v>3302</v>
      </c>
      <c r="D708" s="22" t="n">
        <v>45970</v>
      </c>
      <c r="E708" s="16" t="s">
        <v>600</v>
      </c>
    </row>
    <row r="709" customFormat="false" ht="15" hidden="false" customHeight="false" outlineLevel="0" collapsed="false">
      <c r="A709" s="16" t="s">
        <v>4007</v>
      </c>
      <c r="B709" s="16" t="s">
        <v>709</v>
      </c>
      <c r="C709" s="16" t="s">
        <v>3306</v>
      </c>
      <c r="D709" s="22" t="n">
        <v>46006</v>
      </c>
      <c r="E709" s="16" t="s">
        <v>600</v>
      </c>
    </row>
    <row r="710" customFormat="false" ht="15" hidden="false" customHeight="false" outlineLevel="0" collapsed="false">
      <c r="A710" s="16" t="s">
        <v>4008</v>
      </c>
      <c r="B710" s="16" t="s">
        <v>709</v>
      </c>
      <c r="C710" s="16" t="s">
        <v>3302</v>
      </c>
      <c r="D710" s="22" t="n">
        <v>46297</v>
      </c>
      <c r="E710" s="16" t="s">
        <v>600</v>
      </c>
    </row>
    <row r="711" customFormat="false" ht="15" hidden="false" customHeight="false" outlineLevel="0" collapsed="false">
      <c r="A711" s="16" t="s">
        <v>4009</v>
      </c>
      <c r="B711" s="16" t="s">
        <v>709</v>
      </c>
      <c r="C711" s="16" t="s">
        <v>3302</v>
      </c>
      <c r="D711" s="22" t="n">
        <v>46184</v>
      </c>
      <c r="E711" s="16" t="s">
        <v>600</v>
      </c>
    </row>
    <row r="712" customFormat="false" ht="15" hidden="false" customHeight="false" outlineLevel="0" collapsed="false">
      <c r="A712" s="16" t="s">
        <v>4010</v>
      </c>
      <c r="B712" s="16" t="s">
        <v>709</v>
      </c>
      <c r="C712" s="16" t="s">
        <v>3330</v>
      </c>
      <c r="D712" s="22" t="n">
        <v>45915</v>
      </c>
      <c r="E712" s="16" t="s">
        <v>600</v>
      </c>
    </row>
    <row r="713" customFormat="false" ht="15" hidden="false" customHeight="false" outlineLevel="0" collapsed="false">
      <c r="A713" s="16" t="s">
        <v>4011</v>
      </c>
      <c r="B713" s="16" t="s">
        <v>361</v>
      </c>
      <c r="C713" s="16" t="s">
        <v>3298</v>
      </c>
      <c r="D713" s="22" t="n">
        <v>46243</v>
      </c>
      <c r="E713" s="16" t="s">
        <v>646</v>
      </c>
    </row>
    <row r="714" customFormat="false" ht="15" hidden="false" customHeight="false" outlineLevel="0" collapsed="false">
      <c r="A714" s="16" t="s">
        <v>4012</v>
      </c>
      <c r="B714" s="16" t="s">
        <v>361</v>
      </c>
      <c r="C714" s="16" t="s">
        <v>3310</v>
      </c>
      <c r="D714" s="22" t="n">
        <v>46033</v>
      </c>
      <c r="E714" s="16" t="s">
        <v>646</v>
      </c>
    </row>
    <row r="715" customFormat="false" ht="15" hidden="false" customHeight="false" outlineLevel="0" collapsed="false">
      <c r="A715" s="16" t="s">
        <v>4013</v>
      </c>
      <c r="B715" s="16" t="s">
        <v>361</v>
      </c>
      <c r="C715" s="16" t="s">
        <v>3298</v>
      </c>
      <c r="D715" s="22" t="n">
        <v>45994</v>
      </c>
      <c r="E715" s="16" t="s">
        <v>646</v>
      </c>
    </row>
    <row r="716" customFormat="false" ht="15" hidden="false" customHeight="false" outlineLevel="0" collapsed="false">
      <c r="A716" s="16" t="s">
        <v>4014</v>
      </c>
      <c r="B716" s="16" t="s">
        <v>361</v>
      </c>
      <c r="C716" s="16" t="s">
        <v>3300</v>
      </c>
      <c r="D716" s="22" t="n">
        <v>46297</v>
      </c>
      <c r="E716" s="16" t="s">
        <v>646</v>
      </c>
    </row>
    <row r="717" customFormat="false" ht="15" hidden="false" customHeight="false" outlineLevel="0" collapsed="false">
      <c r="A717" s="16" t="s">
        <v>4015</v>
      </c>
      <c r="B717" s="16" t="s">
        <v>361</v>
      </c>
      <c r="C717" s="16" t="s">
        <v>3330</v>
      </c>
      <c r="D717" s="22" t="n">
        <v>46260</v>
      </c>
      <c r="E717" s="16" t="s">
        <v>646</v>
      </c>
    </row>
    <row r="718" customFormat="false" ht="15" hidden="false" customHeight="false" outlineLevel="0" collapsed="false">
      <c r="A718" s="16" t="s">
        <v>4016</v>
      </c>
      <c r="B718" s="16" t="s">
        <v>361</v>
      </c>
      <c r="C718" s="16" t="s">
        <v>3302</v>
      </c>
      <c r="D718" s="22" t="n">
        <v>46194</v>
      </c>
      <c r="E718" s="16" t="s">
        <v>646</v>
      </c>
    </row>
    <row r="719" customFormat="false" ht="15" hidden="false" customHeight="false" outlineLevel="0" collapsed="false">
      <c r="A719" s="16" t="s">
        <v>4017</v>
      </c>
      <c r="B719" s="16" t="s">
        <v>361</v>
      </c>
      <c r="C719" s="16" t="s">
        <v>3306</v>
      </c>
      <c r="D719" s="22" t="n">
        <v>46041</v>
      </c>
      <c r="E719" s="16" t="s">
        <v>646</v>
      </c>
    </row>
    <row r="720" customFormat="false" ht="15" hidden="false" customHeight="false" outlineLevel="0" collapsed="false">
      <c r="A720" s="16" t="s">
        <v>4018</v>
      </c>
      <c r="B720" s="16" t="s">
        <v>361</v>
      </c>
      <c r="C720" s="16" t="s">
        <v>3300</v>
      </c>
      <c r="D720" s="22" t="n">
        <v>45935</v>
      </c>
      <c r="E720" s="16" t="s">
        <v>646</v>
      </c>
    </row>
    <row r="721" customFormat="false" ht="15" hidden="false" customHeight="false" outlineLevel="0" collapsed="false">
      <c r="A721" s="16" t="s">
        <v>4019</v>
      </c>
      <c r="B721" s="16" t="s">
        <v>244</v>
      </c>
      <c r="C721" s="16" t="s">
        <v>3300</v>
      </c>
      <c r="D721" s="22" t="n">
        <v>46151</v>
      </c>
      <c r="E721" s="16" t="s">
        <v>704</v>
      </c>
    </row>
    <row r="722" customFormat="false" ht="15" hidden="false" customHeight="false" outlineLevel="0" collapsed="false">
      <c r="A722" s="16" t="s">
        <v>4020</v>
      </c>
      <c r="B722" s="16" t="s">
        <v>244</v>
      </c>
      <c r="C722" s="16" t="s">
        <v>3302</v>
      </c>
      <c r="D722" s="22" t="n">
        <v>46019</v>
      </c>
      <c r="E722" s="16" t="s">
        <v>704</v>
      </c>
    </row>
    <row r="723" customFormat="false" ht="15" hidden="false" customHeight="false" outlineLevel="0" collapsed="false">
      <c r="A723" s="16" t="s">
        <v>4021</v>
      </c>
      <c r="B723" s="16" t="s">
        <v>244</v>
      </c>
      <c r="C723" s="16" t="s">
        <v>3330</v>
      </c>
      <c r="D723" s="22" t="n">
        <v>46181</v>
      </c>
      <c r="E723" s="16" t="s">
        <v>704</v>
      </c>
    </row>
    <row r="724" customFormat="false" ht="15" hidden="false" customHeight="false" outlineLevel="0" collapsed="false">
      <c r="A724" s="16" t="s">
        <v>4022</v>
      </c>
      <c r="B724" s="16" t="s">
        <v>244</v>
      </c>
      <c r="C724" s="16" t="s">
        <v>3300</v>
      </c>
      <c r="D724" s="22" t="n">
        <v>46145</v>
      </c>
      <c r="E724" s="16" t="s">
        <v>704</v>
      </c>
    </row>
    <row r="725" customFormat="false" ht="15" hidden="false" customHeight="false" outlineLevel="0" collapsed="false">
      <c r="A725" s="16" t="s">
        <v>4023</v>
      </c>
      <c r="B725" s="16" t="s">
        <v>244</v>
      </c>
      <c r="C725" s="16" t="s">
        <v>3330</v>
      </c>
      <c r="D725" s="22" t="n">
        <v>46312</v>
      </c>
      <c r="E725" s="16" t="s">
        <v>704</v>
      </c>
    </row>
    <row r="726" customFormat="false" ht="15" hidden="false" customHeight="false" outlineLevel="0" collapsed="false">
      <c r="A726" s="16" t="s">
        <v>4024</v>
      </c>
      <c r="B726" s="16" t="s">
        <v>244</v>
      </c>
      <c r="C726" s="16" t="s">
        <v>3330</v>
      </c>
      <c r="D726" s="22" t="n">
        <v>46157</v>
      </c>
      <c r="E726" s="16" t="s">
        <v>704</v>
      </c>
    </row>
    <row r="727" customFormat="false" ht="15" hidden="false" customHeight="false" outlineLevel="0" collapsed="false">
      <c r="A727" s="16" t="s">
        <v>4025</v>
      </c>
      <c r="B727" s="16" t="s">
        <v>1681</v>
      </c>
      <c r="C727" s="16" t="s">
        <v>3306</v>
      </c>
      <c r="D727" s="22" t="n">
        <v>46185</v>
      </c>
      <c r="E727" s="16" t="s">
        <v>831</v>
      </c>
    </row>
    <row r="728" customFormat="false" ht="15" hidden="false" customHeight="false" outlineLevel="0" collapsed="false">
      <c r="A728" s="16" t="s">
        <v>4026</v>
      </c>
      <c r="B728" s="16" t="s">
        <v>1681</v>
      </c>
      <c r="C728" s="16" t="s">
        <v>3330</v>
      </c>
      <c r="D728" s="22" t="n">
        <v>46139</v>
      </c>
      <c r="E728" s="16" t="s">
        <v>831</v>
      </c>
    </row>
    <row r="729" customFormat="false" ht="15" hidden="false" customHeight="false" outlineLevel="0" collapsed="false">
      <c r="A729" s="16" t="s">
        <v>4027</v>
      </c>
      <c r="B729" s="16" t="s">
        <v>1681</v>
      </c>
      <c r="C729" s="16" t="s">
        <v>3306</v>
      </c>
      <c r="D729" s="22" t="n">
        <v>46224</v>
      </c>
      <c r="E729" s="16" t="s">
        <v>831</v>
      </c>
    </row>
    <row r="730" customFormat="false" ht="15" hidden="false" customHeight="false" outlineLevel="0" collapsed="false">
      <c r="A730" s="16" t="s">
        <v>4028</v>
      </c>
      <c r="B730" s="16" t="s">
        <v>1681</v>
      </c>
      <c r="C730" s="16" t="s">
        <v>3330</v>
      </c>
      <c r="D730" s="22" t="n">
        <v>46205</v>
      </c>
      <c r="E730" s="16" t="s">
        <v>831</v>
      </c>
    </row>
    <row r="731" customFormat="false" ht="15" hidden="false" customHeight="false" outlineLevel="0" collapsed="false">
      <c r="A731" s="16" t="s">
        <v>4029</v>
      </c>
      <c r="B731" s="16" t="s">
        <v>1681</v>
      </c>
      <c r="C731" s="16" t="s">
        <v>3310</v>
      </c>
      <c r="D731" s="22" t="n">
        <v>46137</v>
      </c>
      <c r="E731" s="16" t="s">
        <v>831</v>
      </c>
    </row>
    <row r="732" customFormat="false" ht="15" hidden="false" customHeight="false" outlineLevel="0" collapsed="false">
      <c r="A732" s="16" t="s">
        <v>4030</v>
      </c>
      <c r="B732" s="16" t="s">
        <v>1681</v>
      </c>
      <c r="C732" s="16" t="s">
        <v>3300</v>
      </c>
      <c r="D732" s="22" t="n">
        <v>46281</v>
      </c>
      <c r="E732" s="16" t="s">
        <v>831</v>
      </c>
    </row>
    <row r="733" customFormat="false" ht="15" hidden="false" customHeight="false" outlineLevel="0" collapsed="false">
      <c r="A733" s="16" t="s">
        <v>4031</v>
      </c>
      <c r="B733" s="16" t="s">
        <v>1681</v>
      </c>
      <c r="C733" s="16" t="s">
        <v>3306</v>
      </c>
      <c r="D733" s="22" t="n">
        <v>46097</v>
      </c>
      <c r="E733" s="16" t="s">
        <v>831</v>
      </c>
    </row>
    <row r="734" customFormat="false" ht="15" hidden="false" customHeight="false" outlineLevel="0" collapsed="false">
      <c r="A734" s="16" t="s">
        <v>4032</v>
      </c>
      <c r="B734" s="16" t="s">
        <v>363</v>
      </c>
      <c r="C734" s="16" t="s">
        <v>3302</v>
      </c>
      <c r="D734" s="22" t="n">
        <v>46144</v>
      </c>
      <c r="E734" s="16" t="s">
        <v>677</v>
      </c>
    </row>
    <row r="735" customFormat="false" ht="15" hidden="false" customHeight="false" outlineLevel="0" collapsed="false">
      <c r="A735" s="16" t="s">
        <v>4033</v>
      </c>
      <c r="B735" s="16" t="s">
        <v>363</v>
      </c>
      <c r="C735" s="16" t="s">
        <v>3306</v>
      </c>
      <c r="D735" s="22" t="n">
        <v>46218</v>
      </c>
      <c r="E735" s="16" t="s">
        <v>677</v>
      </c>
    </row>
    <row r="736" customFormat="false" ht="15" hidden="false" customHeight="false" outlineLevel="0" collapsed="false">
      <c r="A736" s="16" t="s">
        <v>4034</v>
      </c>
      <c r="B736" s="16" t="s">
        <v>363</v>
      </c>
      <c r="C736" s="16" t="s">
        <v>3300</v>
      </c>
      <c r="D736" s="22" t="n">
        <v>46097</v>
      </c>
      <c r="E736" s="16" t="s">
        <v>677</v>
      </c>
    </row>
    <row r="737" customFormat="false" ht="15" hidden="false" customHeight="false" outlineLevel="0" collapsed="false">
      <c r="A737" s="16" t="s">
        <v>4035</v>
      </c>
      <c r="B737" s="16" t="s">
        <v>363</v>
      </c>
      <c r="C737" s="16" t="s">
        <v>3298</v>
      </c>
      <c r="D737" s="22" t="n">
        <v>46243</v>
      </c>
      <c r="E737" s="16" t="s">
        <v>677</v>
      </c>
    </row>
    <row r="738" customFormat="false" ht="15" hidden="false" customHeight="false" outlineLevel="0" collapsed="false">
      <c r="A738" s="16" t="s">
        <v>4036</v>
      </c>
      <c r="B738" s="16" t="s">
        <v>363</v>
      </c>
      <c r="C738" s="16" t="s">
        <v>3306</v>
      </c>
      <c r="D738" s="22" t="n">
        <v>46115</v>
      </c>
      <c r="E738" s="16" t="s">
        <v>677</v>
      </c>
    </row>
    <row r="739" customFormat="false" ht="15" hidden="false" customHeight="false" outlineLevel="0" collapsed="false">
      <c r="A739" s="16" t="s">
        <v>4037</v>
      </c>
      <c r="B739" s="16" t="s">
        <v>363</v>
      </c>
      <c r="C739" s="16" t="s">
        <v>3298</v>
      </c>
      <c r="D739" s="22" t="n">
        <v>46214</v>
      </c>
      <c r="E739" s="16" t="s">
        <v>677</v>
      </c>
    </row>
    <row r="740" customFormat="false" ht="15" hidden="false" customHeight="false" outlineLevel="0" collapsed="false">
      <c r="A740" s="16" t="s">
        <v>4038</v>
      </c>
      <c r="B740" s="16" t="s">
        <v>363</v>
      </c>
      <c r="C740" s="16" t="s">
        <v>3302</v>
      </c>
      <c r="D740" s="22" t="n">
        <v>46125</v>
      </c>
      <c r="E740" s="16" t="s">
        <v>677</v>
      </c>
    </row>
    <row r="741" customFormat="false" ht="15" hidden="false" customHeight="false" outlineLevel="0" collapsed="false">
      <c r="A741" s="16" t="s">
        <v>4039</v>
      </c>
      <c r="B741" s="16" t="s">
        <v>1134</v>
      </c>
      <c r="C741" s="16" t="s">
        <v>3300</v>
      </c>
      <c r="D741" s="22" t="n">
        <v>46051</v>
      </c>
      <c r="E741" s="16" t="s">
        <v>729</v>
      </c>
    </row>
    <row r="742" customFormat="false" ht="15" hidden="false" customHeight="false" outlineLevel="0" collapsed="false">
      <c r="A742" s="16" t="s">
        <v>4040</v>
      </c>
      <c r="B742" s="16" t="s">
        <v>1134</v>
      </c>
      <c r="C742" s="16" t="s">
        <v>3298</v>
      </c>
      <c r="D742" s="22" t="n">
        <v>46037</v>
      </c>
      <c r="E742" s="16" t="s">
        <v>729</v>
      </c>
    </row>
    <row r="743" customFormat="false" ht="15" hidden="false" customHeight="false" outlineLevel="0" collapsed="false">
      <c r="A743" s="16" t="s">
        <v>4041</v>
      </c>
      <c r="B743" s="16" t="s">
        <v>1134</v>
      </c>
      <c r="C743" s="16" t="s">
        <v>3300</v>
      </c>
      <c r="D743" s="22" t="n">
        <v>46274</v>
      </c>
      <c r="E743" s="16" t="s">
        <v>729</v>
      </c>
    </row>
    <row r="744" customFormat="false" ht="15" hidden="false" customHeight="false" outlineLevel="0" collapsed="false">
      <c r="A744" s="16" t="s">
        <v>4042</v>
      </c>
      <c r="B744" s="16" t="s">
        <v>273</v>
      </c>
      <c r="C744" s="16" t="s">
        <v>3310</v>
      </c>
      <c r="D744" s="22" t="n">
        <v>46271</v>
      </c>
      <c r="E744" s="16" t="s">
        <v>831</v>
      </c>
    </row>
    <row r="745" customFormat="false" ht="15" hidden="false" customHeight="false" outlineLevel="0" collapsed="false">
      <c r="A745" s="16" t="s">
        <v>4043</v>
      </c>
      <c r="B745" s="16" t="s">
        <v>273</v>
      </c>
      <c r="C745" s="16" t="s">
        <v>3302</v>
      </c>
      <c r="D745" s="22" t="n">
        <v>46281</v>
      </c>
      <c r="E745" s="16" t="s">
        <v>831</v>
      </c>
    </row>
    <row r="746" customFormat="false" ht="15" hidden="false" customHeight="false" outlineLevel="0" collapsed="false">
      <c r="A746" s="16" t="s">
        <v>4044</v>
      </c>
      <c r="B746" s="16" t="s">
        <v>273</v>
      </c>
      <c r="C746" s="16" t="s">
        <v>3310</v>
      </c>
      <c r="D746" s="22" t="n">
        <v>45944</v>
      </c>
      <c r="E746" s="16" t="s">
        <v>831</v>
      </c>
    </row>
    <row r="747" customFormat="false" ht="15" hidden="false" customHeight="false" outlineLevel="0" collapsed="false">
      <c r="A747" s="16" t="s">
        <v>4045</v>
      </c>
      <c r="B747" s="16" t="s">
        <v>273</v>
      </c>
      <c r="C747" s="16" t="s">
        <v>3306</v>
      </c>
      <c r="D747" s="22" t="n">
        <v>46191</v>
      </c>
      <c r="E747" s="16" t="s">
        <v>831</v>
      </c>
    </row>
    <row r="748" customFormat="false" ht="15" hidden="false" customHeight="false" outlineLevel="0" collapsed="false">
      <c r="A748" s="16" t="s">
        <v>4046</v>
      </c>
      <c r="B748" s="16" t="s">
        <v>273</v>
      </c>
      <c r="C748" s="16" t="s">
        <v>3300</v>
      </c>
      <c r="D748" s="22" t="n">
        <v>46085</v>
      </c>
      <c r="E748" s="16" t="s">
        <v>831</v>
      </c>
    </row>
    <row r="749" customFormat="false" ht="15" hidden="false" customHeight="false" outlineLevel="0" collapsed="false">
      <c r="A749" s="16" t="s">
        <v>4047</v>
      </c>
      <c r="B749" s="16" t="s">
        <v>273</v>
      </c>
      <c r="C749" s="16" t="s">
        <v>3330</v>
      </c>
      <c r="D749" s="22" t="n">
        <v>46023</v>
      </c>
      <c r="E749" s="16" t="s">
        <v>831</v>
      </c>
    </row>
    <row r="750" customFormat="false" ht="15" hidden="false" customHeight="false" outlineLevel="0" collapsed="false">
      <c r="A750" s="16" t="s">
        <v>4048</v>
      </c>
      <c r="B750" s="16" t="s">
        <v>1689</v>
      </c>
      <c r="C750" s="16" t="s">
        <v>3302</v>
      </c>
      <c r="D750" s="22" t="n">
        <v>46103</v>
      </c>
      <c r="E750" s="16" t="s">
        <v>691</v>
      </c>
    </row>
    <row r="751" customFormat="false" ht="15" hidden="false" customHeight="false" outlineLevel="0" collapsed="false">
      <c r="A751" s="16" t="s">
        <v>4049</v>
      </c>
      <c r="B751" s="16" t="s">
        <v>1689</v>
      </c>
      <c r="C751" s="16" t="s">
        <v>3298</v>
      </c>
      <c r="D751" s="22" t="n">
        <v>45917</v>
      </c>
      <c r="E751" s="16" t="s">
        <v>691</v>
      </c>
    </row>
    <row r="752" customFormat="false" ht="15" hidden="false" customHeight="false" outlineLevel="0" collapsed="false">
      <c r="A752" s="16" t="s">
        <v>4050</v>
      </c>
      <c r="B752" s="16" t="s">
        <v>1689</v>
      </c>
      <c r="C752" s="16" t="s">
        <v>3300</v>
      </c>
      <c r="D752" s="22" t="n">
        <v>45960</v>
      </c>
      <c r="E752" s="16" t="s">
        <v>691</v>
      </c>
    </row>
    <row r="753" customFormat="false" ht="15" hidden="false" customHeight="false" outlineLevel="0" collapsed="false">
      <c r="A753" s="16" t="s">
        <v>4051</v>
      </c>
      <c r="B753" s="16" t="s">
        <v>1689</v>
      </c>
      <c r="C753" s="16" t="s">
        <v>3300</v>
      </c>
      <c r="D753" s="22" t="n">
        <v>46223</v>
      </c>
      <c r="E753" s="16" t="s">
        <v>691</v>
      </c>
    </row>
    <row r="754" customFormat="false" ht="15" hidden="false" customHeight="false" outlineLevel="0" collapsed="false">
      <c r="A754" s="16" t="s">
        <v>4052</v>
      </c>
      <c r="B754" s="16" t="s">
        <v>1689</v>
      </c>
      <c r="C754" s="16" t="s">
        <v>3310</v>
      </c>
      <c r="D754" s="22" t="n">
        <v>46278</v>
      </c>
      <c r="E754" s="16" t="s">
        <v>691</v>
      </c>
    </row>
    <row r="755" customFormat="false" ht="15" hidden="false" customHeight="false" outlineLevel="0" collapsed="false">
      <c r="A755" s="16" t="s">
        <v>4053</v>
      </c>
      <c r="B755" s="16" t="s">
        <v>1689</v>
      </c>
      <c r="C755" s="16" t="s">
        <v>3306</v>
      </c>
      <c r="D755" s="22" t="n">
        <v>46019</v>
      </c>
      <c r="E755" s="16" t="s">
        <v>691</v>
      </c>
    </row>
    <row r="756" customFormat="false" ht="15" hidden="false" customHeight="false" outlineLevel="0" collapsed="false">
      <c r="A756" s="16" t="s">
        <v>4054</v>
      </c>
      <c r="B756" s="16" t="s">
        <v>338</v>
      </c>
      <c r="C756" s="16" t="s">
        <v>3310</v>
      </c>
      <c r="D756" s="22" t="n">
        <v>46087</v>
      </c>
      <c r="E756" s="16" t="s">
        <v>600</v>
      </c>
    </row>
    <row r="757" customFormat="false" ht="15" hidden="false" customHeight="false" outlineLevel="0" collapsed="false">
      <c r="A757" s="16" t="s">
        <v>4055</v>
      </c>
      <c r="B757" s="16" t="s">
        <v>338</v>
      </c>
      <c r="C757" s="16" t="s">
        <v>3310</v>
      </c>
      <c r="D757" s="22" t="n">
        <v>46230</v>
      </c>
      <c r="E757" s="16" t="s">
        <v>600</v>
      </c>
    </row>
    <row r="758" customFormat="false" ht="15" hidden="false" customHeight="false" outlineLevel="0" collapsed="false">
      <c r="A758" s="16" t="s">
        <v>4056</v>
      </c>
      <c r="B758" s="16" t="s">
        <v>338</v>
      </c>
      <c r="C758" s="16" t="s">
        <v>3302</v>
      </c>
      <c r="D758" s="22" t="n">
        <v>45947</v>
      </c>
      <c r="E758" s="16" t="s">
        <v>600</v>
      </c>
    </row>
    <row r="759" customFormat="false" ht="15" hidden="false" customHeight="false" outlineLevel="0" collapsed="false">
      <c r="A759" s="16" t="s">
        <v>4057</v>
      </c>
      <c r="B759" s="16" t="s">
        <v>338</v>
      </c>
      <c r="C759" s="16" t="s">
        <v>3300</v>
      </c>
      <c r="D759" s="22" t="n">
        <v>45922</v>
      </c>
      <c r="E759" s="16" t="s">
        <v>600</v>
      </c>
    </row>
    <row r="760" customFormat="false" ht="15" hidden="false" customHeight="false" outlineLevel="0" collapsed="false">
      <c r="A760" s="16" t="s">
        <v>4058</v>
      </c>
      <c r="B760" s="16" t="s">
        <v>338</v>
      </c>
      <c r="C760" s="16" t="s">
        <v>3306</v>
      </c>
      <c r="D760" s="22" t="n">
        <v>46029</v>
      </c>
      <c r="E760" s="16" t="s">
        <v>600</v>
      </c>
    </row>
    <row r="761" customFormat="false" ht="15" hidden="false" customHeight="false" outlineLevel="0" collapsed="false">
      <c r="A761" s="16" t="s">
        <v>4059</v>
      </c>
      <c r="B761" s="16" t="s">
        <v>476</v>
      </c>
      <c r="C761" s="16" t="s">
        <v>3310</v>
      </c>
      <c r="D761" s="22" t="n">
        <v>46082</v>
      </c>
      <c r="E761" s="16" t="s">
        <v>646</v>
      </c>
    </row>
    <row r="762" customFormat="false" ht="15" hidden="false" customHeight="false" outlineLevel="0" collapsed="false">
      <c r="A762" s="16" t="s">
        <v>4060</v>
      </c>
      <c r="B762" s="16" t="s">
        <v>476</v>
      </c>
      <c r="C762" s="16" t="s">
        <v>3330</v>
      </c>
      <c r="D762" s="22" t="n">
        <v>46196</v>
      </c>
      <c r="E762" s="16" t="s">
        <v>646</v>
      </c>
    </row>
    <row r="763" customFormat="false" ht="15" hidden="false" customHeight="false" outlineLevel="0" collapsed="false">
      <c r="A763" s="16" t="s">
        <v>4061</v>
      </c>
      <c r="B763" s="16" t="s">
        <v>476</v>
      </c>
      <c r="C763" s="16" t="s">
        <v>3330</v>
      </c>
      <c r="D763" s="22" t="n">
        <v>46114</v>
      </c>
      <c r="E763" s="16" t="s">
        <v>646</v>
      </c>
    </row>
    <row r="764" customFormat="false" ht="15" hidden="false" customHeight="false" outlineLevel="0" collapsed="false">
      <c r="A764" s="16" t="s">
        <v>4062</v>
      </c>
      <c r="B764" s="16" t="s">
        <v>476</v>
      </c>
      <c r="C764" s="16" t="s">
        <v>3306</v>
      </c>
      <c r="D764" s="22" t="n">
        <v>46018</v>
      </c>
      <c r="E764" s="16" t="s">
        <v>646</v>
      </c>
    </row>
    <row r="765" customFormat="false" ht="15" hidden="false" customHeight="false" outlineLevel="0" collapsed="false">
      <c r="A765" s="16" t="s">
        <v>4063</v>
      </c>
      <c r="B765" s="16" t="s">
        <v>476</v>
      </c>
      <c r="C765" s="16" t="s">
        <v>3300</v>
      </c>
      <c r="D765" s="22" t="n">
        <v>46177</v>
      </c>
      <c r="E765" s="16" t="s">
        <v>646</v>
      </c>
    </row>
    <row r="766" customFormat="false" ht="15" hidden="false" customHeight="false" outlineLevel="0" collapsed="false">
      <c r="A766" s="16" t="s">
        <v>4064</v>
      </c>
      <c r="B766" s="16" t="s">
        <v>476</v>
      </c>
      <c r="C766" s="16" t="s">
        <v>3310</v>
      </c>
      <c r="D766" s="22" t="n">
        <v>46047</v>
      </c>
      <c r="E766" s="16" t="s">
        <v>646</v>
      </c>
    </row>
    <row r="767" customFormat="false" ht="15" hidden="false" customHeight="false" outlineLevel="0" collapsed="false">
      <c r="A767" s="16" t="s">
        <v>4065</v>
      </c>
      <c r="B767" s="16" t="s">
        <v>476</v>
      </c>
      <c r="C767" s="16" t="s">
        <v>3306</v>
      </c>
      <c r="D767" s="22" t="n">
        <v>46287</v>
      </c>
      <c r="E767" s="16" t="s">
        <v>646</v>
      </c>
    </row>
    <row r="768" customFormat="false" ht="15" hidden="false" customHeight="false" outlineLevel="0" collapsed="false">
      <c r="A768" s="16" t="s">
        <v>4066</v>
      </c>
      <c r="B768" s="16" t="s">
        <v>1184</v>
      </c>
      <c r="C768" s="16" t="s">
        <v>3300</v>
      </c>
      <c r="D768" s="22" t="n">
        <v>46220</v>
      </c>
      <c r="E768" s="16" t="s">
        <v>646</v>
      </c>
    </row>
    <row r="769" customFormat="false" ht="15" hidden="false" customHeight="false" outlineLevel="0" collapsed="false">
      <c r="A769" s="16" t="s">
        <v>4067</v>
      </c>
      <c r="B769" s="16" t="s">
        <v>1184</v>
      </c>
      <c r="C769" s="16" t="s">
        <v>3302</v>
      </c>
      <c r="D769" s="22" t="n">
        <v>46256</v>
      </c>
      <c r="E769" s="16" t="s">
        <v>646</v>
      </c>
    </row>
    <row r="770" customFormat="false" ht="15" hidden="false" customHeight="false" outlineLevel="0" collapsed="false">
      <c r="A770" s="16" t="s">
        <v>4068</v>
      </c>
      <c r="B770" s="16" t="s">
        <v>1184</v>
      </c>
      <c r="C770" s="16" t="s">
        <v>3310</v>
      </c>
      <c r="D770" s="22" t="n">
        <v>46204</v>
      </c>
      <c r="E770" s="16" t="s">
        <v>646</v>
      </c>
    </row>
    <row r="771" customFormat="false" ht="15" hidden="false" customHeight="false" outlineLevel="0" collapsed="false">
      <c r="A771" s="16" t="s">
        <v>4069</v>
      </c>
      <c r="B771" s="16" t="s">
        <v>1184</v>
      </c>
      <c r="C771" s="16" t="s">
        <v>3298</v>
      </c>
      <c r="D771" s="22" t="n">
        <v>46075</v>
      </c>
      <c r="E771" s="16" t="s">
        <v>646</v>
      </c>
    </row>
    <row r="772" customFormat="false" ht="15" hidden="false" customHeight="false" outlineLevel="0" collapsed="false">
      <c r="A772" s="16" t="s">
        <v>4070</v>
      </c>
      <c r="B772" s="16" t="s">
        <v>644</v>
      </c>
      <c r="C772" s="16" t="s">
        <v>3306</v>
      </c>
      <c r="D772" s="22" t="n">
        <v>46179</v>
      </c>
      <c r="E772" s="16" t="s">
        <v>646</v>
      </c>
    </row>
    <row r="773" customFormat="false" ht="15" hidden="false" customHeight="false" outlineLevel="0" collapsed="false">
      <c r="A773" s="16" t="s">
        <v>4071</v>
      </c>
      <c r="B773" s="16" t="s">
        <v>644</v>
      </c>
      <c r="C773" s="16" t="s">
        <v>3302</v>
      </c>
      <c r="D773" s="22" t="n">
        <v>46224</v>
      </c>
      <c r="E773" s="16" t="s">
        <v>646</v>
      </c>
    </row>
    <row r="774" customFormat="false" ht="15" hidden="false" customHeight="false" outlineLevel="0" collapsed="false">
      <c r="A774" s="16" t="s">
        <v>4072</v>
      </c>
      <c r="B774" s="16" t="s">
        <v>644</v>
      </c>
      <c r="C774" s="16" t="s">
        <v>3302</v>
      </c>
      <c r="D774" s="22" t="n">
        <v>46233</v>
      </c>
      <c r="E774" s="16" t="s">
        <v>646</v>
      </c>
    </row>
    <row r="775" customFormat="false" ht="15" hidden="false" customHeight="false" outlineLevel="0" collapsed="false">
      <c r="A775" s="16" t="s">
        <v>4073</v>
      </c>
      <c r="B775" s="16" t="s">
        <v>644</v>
      </c>
      <c r="C775" s="16" t="s">
        <v>3300</v>
      </c>
      <c r="D775" s="22" t="n">
        <v>45988</v>
      </c>
      <c r="E775" s="16" t="s">
        <v>646</v>
      </c>
    </row>
    <row r="776" customFormat="false" ht="15" hidden="false" customHeight="false" outlineLevel="0" collapsed="false">
      <c r="A776" s="16" t="s">
        <v>4074</v>
      </c>
      <c r="B776" s="16" t="s">
        <v>2442</v>
      </c>
      <c r="C776" s="16" t="s">
        <v>3330</v>
      </c>
      <c r="D776" s="22" t="n">
        <v>45984</v>
      </c>
      <c r="E776" s="16" t="s">
        <v>831</v>
      </c>
    </row>
    <row r="777" customFormat="false" ht="15" hidden="false" customHeight="false" outlineLevel="0" collapsed="false">
      <c r="A777" s="16" t="s">
        <v>4075</v>
      </c>
      <c r="B777" s="16" t="s">
        <v>2442</v>
      </c>
      <c r="C777" s="16" t="s">
        <v>3310</v>
      </c>
      <c r="D777" s="22" t="n">
        <v>46069</v>
      </c>
      <c r="E777" s="16" t="s">
        <v>831</v>
      </c>
    </row>
    <row r="778" customFormat="false" ht="15" hidden="false" customHeight="false" outlineLevel="0" collapsed="false">
      <c r="A778" s="16" t="s">
        <v>4076</v>
      </c>
      <c r="B778" s="16" t="s">
        <v>2442</v>
      </c>
      <c r="C778" s="16" t="s">
        <v>3300</v>
      </c>
      <c r="D778" s="22" t="n">
        <v>45975</v>
      </c>
      <c r="E778" s="16" t="s">
        <v>831</v>
      </c>
    </row>
    <row r="779" customFormat="false" ht="15" hidden="false" customHeight="false" outlineLevel="0" collapsed="false">
      <c r="A779" s="16" t="s">
        <v>4077</v>
      </c>
      <c r="B779" s="16" t="s">
        <v>2442</v>
      </c>
      <c r="C779" s="16" t="s">
        <v>3302</v>
      </c>
      <c r="D779" s="22" t="n">
        <v>46242</v>
      </c>
      <c r="E779" s="16" t="s">
        <v>831</v>
      </c>
    </row>
    <row r="780" customFormat="false" ht="15" hidden="false" customHeight="false" outlineLevel="0" collapsed="false">
      <c r="A780" s="16" t="s">
        <v>4078</v>
      </c>
      <c r="B780" s="16" t="s">
        <v>2442</v>
      </c>
      <c r="C780" s="16" t="s">
        <v>3310</v>
      </c>
      <c r="D780" s="22" t="n">
        <v>45944</v>
      </c>
      <c r="E780" s="16" t="s">
        <v>831</v>
      </c>
    </row>
    <row r="781" customFormat="false" ht="15" hidden="false" customHeight="false" outlineLevel="0" collapsed="false">
      <c r="A781" s="16" t="s">
        <v>4079</v>
      </c>
      <c r="B781" s="16" t="s">
        <v>2442</v>
      </c>
      <c r="C781" s="16" t="s">
        <v>3306</v>
      </c>
      <c r="D781" s="22" t="n">
        <v>46205</v>
      </c>
      <c r="E781" s="16" t="s">
        <v>831</v>
      </c>
    </row>
    <row r="782" customFormat="false" ht="15" hidden="false" customHeight="false" outlineLevel="0" collapsed="false">
      <c r="A782" s="16" t="s">
        <v>4080</v>
      </c>
      <c r="B782" s="16" t="s">
        <v>2442</v>
      </c>
      <c r="C782" s="16" t="s">
        <v>3302</v>
      </c>
      <c r="D782" s="22" t="n">
        <v>46207</v>
      </c>
      <c r="E782" s="16" t="s">
        <v>831</v>
      </c>
    </row>
    <row r="783" customFormat="false" ht="15" hidden="false" customHeight="false" outlineLevel="0" collapsed="false">
      <c r="A783" s="16" t="s">
        <v>4081</v>
      </c>
      <c r="B783" s="16" t="s">
        <v>2442</v>
      </c>
      <c r="C783" s="16" t="s">
        <v>3310</v>
      </c>
      <c r="D783" s="22" t="n">
        <v>46095</v>
      </c>
      <c r="E783" s="16" t="s">
        <v>831</v>
      </c>
    </row>
    <row r="784" customFormat="false" ht="15" hidden="false" customHeight="false" outlineLevel="0" collapsed="false">
      <c r="A784" s="16" t="s">
        <v>4082</v>
      </c>
      <c r="B784" s="16" t="s">
        <v>1028</v>
      </c>
      <c r="C784" s="16" t="s">
        <v>3302</v>
      </c>
      <c r="D784" s="22" t="n">
        <v>46120</v>
      </c>
      <c r="E784" s="16" t="s">
        <v>600</v>
      </c>
    </row>
    <row r="785" customFormat="false" ht="15" hidden="false" customHeight="false" outlineLevel="0" collapsed="false">
      <c r="A785" s="16" t="s">
        <v>4083</v>
      </c>
      <c r="B785" s="16" t="s">
        <v>1028</v>
      </c>
      <c r="C785" s="16" t="s">
        <v>3310</v>
      </c>
      <c r="D785" s="22" t="n">
        <v>46140</v>
      </c>
      <c r="E785" s="16" t="s">
        <v>600</v>
      </c>
    </row>
    <row r="786" customFormat="false" ht="15" hidden="false" customHeight="false" outlineLevel="0" collapsed="false">
      <c r="A786" s="16" t="s">
        <v>4084</v>
      </c>
      <c r="B786" s="16" t="s">
        <v>1028</v>
      </c>
      <c r="C786" s="16" t="s">
        <v>3300</v>
      </c>
      <c r="D786" s="22" t="n">
        <v>46196</v>
      </c>
      <c r="E786" s="16" t="s">
        <v>600</v>
      </c>
    </row>
    <row r="787" customFormat="false" ht="15" hidden="false" customHeight="false" outlineLevel="0" collapsed="false">
      <c r="A787" s="16" t="s">
        <v>4085</v>
      </c>
      <c r="B787" s="16" t="s">
        <v>1028</v>
      </c>
      <c r="C787" s="16" t="s">
        <v>3310</v>
      </c>
      <c r="D787" s="22" t="n">
        <v>46286</v>
      </c>
      <c r="E787" s="16" t="s">
        <v>600</v>
      </c>
    </row>
    <row r="788" customFormat="false" ht="15" hidden="false" customHeight="false" outlineLevel="0" collapsed="false">
      <c r="A788" s="16" t="s">
        <v>4086</v>
      </c>
      <c r="B788" s="16" t="s">
        <v>1028</v>
      </c>
      <c r="C788" s="16" t="s">
        <v>3300</v>
      </c>
      <c r="D788" s="22" t="n">
        <v>45928</v>
      </c>
      <c r="E788" s="16" t="s">
        <v>600</v>
      </c>
    </row>
    <row r="789" customFormat="false" ht="15" hidden="false" customHeight="false" outlineLevel="0" collapsed="false">
      <c r="A789" s="16" t="s">
        <v>4087</v>
      </c>
      <c r="B789" s="16" t="s">
        <v>1028</v>
      </c>
      <c r="C789" s="16" t="s">
        <v>3310</v>
      </c>
      <c r="D789" s="22" t="n">
        <v>46007</v>
      </c>
      <c r="E789" s="16" t="s">
        <v>600</v>
      </c>
    </row>
    <row r="790" customFormat="false" ht="15" hidden="false" customHeight="false" outlineLevel="0" collapsed="false">
      <c r="A790" s="16" t="s">
        <v>4088</v>
      </c>
      <c r="B790" s="16" t="s">
        <v>379</v>
      </c>
      <c r="C790" s="16" t="s">
        <v>3302</v>
      </c>
      <c r="D790" s="22" t="n">
        <v>45975</v>
      </c>
      <c r="E790" s="16" t="s">
        <v>765</v>
      </c>
    </row>
    <row r="791" customFormat="false" ht="15" hidden="false" customHeight="false" outlineLevel="0" collapsed="false">
      <c r="A791" s="16" t="s">
        <v>4089</v>
      </c>
      <c r="B791" s="16" t="s">
        <v>379</v>
      </c>
      <c r="C791" s="16" t="s">
        <v>3306</v>
      </c>
      <c r="D791" s="22" t="n">
        <v>46269</v>
      </c>
      <c r="E791" s="16" t="s">
        <v>765</v>
      </c>
    </row>
    <row r="792" customFormat="false" ht="15" hidden="false" customHeight="false" outlineLevel="0" collapsed="false">
      <c r="A792" s="16" t="s">
        <v>4090</v>
      </c>
      <c r="B792" s="16" t="s">
        <v>379</v>
      </c>
      <c r="C792" s="16" t="s">
        <v>3302</v>
      </c>
      <c r="D792" s="22" t="n">
        <v>46231</v>
      </c>
      <c r="E792" s="16" t="s">
        <v>765</v>
      </c>
    </row>
    <row r="793" customFormat="false" ht="15" hidden="false" customHeight="false" outlineLevel="0" collapsed="false">
      <c r="A793" s="16" t="s">
        <v>4091</v>
      </c>
      <c r="B793" s="16" t="s">
        <v>379</v>
      </c>
      <c r="C793" s="16" t="s">
        <v>3306</v>
      </c>
      <c r="D793" s="22" t="n">
        <v>46222</v>
      </c>
      <c r="E793" s="16" t="s">
        <v>765</v>
      </c>
    </row>
    <row r="794" customFormat="false" ht="15" hidden="false" customHeight="false" outlineLevel="0" collapsed="false">
      <c r="A794" s="16" t="s">
        <v>4092</v>
      </c>
      <c r="B794" s="16" t="s">
        <v>379</v>
      </c>
      <c r="C794" s="16" t="s">
        <v>3306</v>
      </c>
      <c r="D794" s="22" t="n">
        <v>46218</v>
      </c>
      <c r="E794" s="16" t="s">
        <v>765</v>
      </c>
    </row>
    <row r="795" customFormat="false" ht="15" hidden="false" customHeight="false" outlineLevel="0" collapsed="false">
      <c r="A795" s="16" t="s">
        <v>4093</v>
      </c>
      <c r="B795" s="16" t="s">
        <v>379</v>
      </c>
      <c r="C795" s="16" t="s">
        <v>3306</v>
      </c>
      <c r="D795" s="22" t="n">
        <v>46179</v>
      </c>
      <c r="E795" s="16" t="s">
        <v>765</v>
      </c>
    </row>
    <row r="796" customFormat="false" ht="15" hidden="false" customHeight="false" outlineLevel="0" collapsed="false">
      <c r="A796" s="16" t="s">
        <v>4094</v>
      </c>
      <c r="B796" s="16" t="s">
        <v>365</v>
      </c>
      <c r="C796" s="16" t="s">
        <v>3310</v>
      </c>
      <c r="D796" s="22" t="n">
        <v>46099</v>
      </c>
      <c r="E796" s="16" t="s">
        <v>666</v>
      </c>
    </row>
    <row r="797" customFormat="false" ht="15" hidden="false" customHeight="false" outlineLevel="0" collapsed="false">
      <c r="A797" s="16" t="s">
        <v>4095</v>
      </c>
      <c r="B797" s="16" t="s">
        <v>365</v>
      </c>
      <c r="C797" s="16" t="s">
        <v>3310</v>
      </c>
      <c r="D797" s="22" t="n">
        <v>46029</v>
      </c>
      <c r="E797" s="16" t="s">
        <v>666</v>
      </c>
    </row>
    <row r="798" customFormat="false" ht="15" hidden="false" customHeight="false" outlineLevel="0" collapsed="false">
      <c r="A798" s="16" t="s">
        <v>4096</v>
      </c>
      <c r="B798" s="16" t="s">
        <v>365</v>
      </c>
      <c r="C798" s="16" t="s">
        <v>3306</v>
      </c>
      <c r="D798" s="22" t="n">
        <v>45962</v>
      </c>
      <c r="E798" s="16" t="s">
        <v>666</v>
      </c>
    </row>
    <row r="799" customFormat="false" ht="15" hidden="false" customHeight="false" outlineLevel="0" collapsed="false">
      <c r="A799" s="16" t="s">
        <v>4097</v>
      </c>
      <c r="B799" s="16" t="s">
        <v>365</v>
      </c>
      <c r="C799" s="16" t="s">
        <v>3298</v>
      </c>
      <c r="D799" s="22" t="n">
        <v>45983</v>
      </c>
      <c r="E799" s="16" t="s">
        <v>666</v>
      </c>
    </row>
    <row r="800" customFormat="false" ht="15" hidden="false" customHeight="false" outlineLevel="0" collapsed="false">
      <c r="A800" s="16" t="s">
        <v>4098</v>
      </c>
      <c r="B800" s="16" t="s">
        <v>365</v>
      </c>
      <c r="C800" s="16" t="s">
        <v>3298</v>
      </c>
      <c r="D800" s="22" t="n">
        <v>46178</v>
      </c>
      <c r="E800" s="16" t="s">
        <v>666</v>
      </c>
    </row>
    <row r="801" customFormat="false" ht="15" hidden="false" customHeight="false" outlineLevel="0" collapsed="false">
      <c r="A801" s="16" t="s">
        <v>4099</v>
      </c>
      <c r="B801" s="16" t="s">
        <v>365</v>
      </c>
      <c r="C801" s="16" t="s">
        <v>3306</v>
      </c>
      <c r="D801" s="22" t="n">
        <v>46182</v>
      </c>
      <c r="E801" s="16" t="s">
        <v>666</v>
      </c>
    </row>
    <row r="802" customFormat="false" ht="15" hidden="false" customHeight="false" outlineLevel="0" collapsed="false">
      <c r="A802" s="16" t="s">
        <v>4100</v>
      </c>
      <c r="B802" s="16" t="s">
        <v>404</v>
      </c>
      <c r="C802" s="16" t="s">
        <v>3300</v>
      </c>
      <c r="D802" s="22" t="n">
        <v>45935</v>
      </c>
      <c r="E802" s="16" t="s">
        <v>704</v>
      </c>
    </row>
    <row r="803" customFormat="false" ht="15" hidden="false" customHeight="false" outlineLevel="0" collapsed="false">
      <c r="A803" s="16" t="s">
        <v>4101</v>
      </c>
      <c r="B803" s="16" t="s">
        <v>404</v>
      </c>
      <c r="C803" s="16" t="s">
        <v>3302</v>
      </c>
      <c r="D803" s="22" t="n">
        <v>45966</v>
      </c>
      <c r="E803" s="16" t="s">
        <v>704</v>
      </c>
    </row>
    <row r="804" customFormat="false" ht="15" hidden="false" customHeight="false" outlineLevel="0" collapsed="false">
      <c r="A804" s="16" t="s">
        <v>4102</v>
      </c>
      <c r="B804" s="16" t="s">
        <v>404</v>
      </c>
      <c r="C804" s="16" t="s">
        <v>3310</v>
      </c>
      <c r="D804" s="22" t="n">
        <v>45921</v>
      </c>
      <c r="E804" s="16" t="s">
        <v>704</v>
      </c>
    </row>
    <row r="805" customFormat="false" ht="15" hidden="false" customHeight="false" outlineLevel="0" collapsed="false">
      <c r="A805" s="16" t="s">
        <v>4103</v>
      </c>
      <c r="B805" s="16" t="s">
        <v>404</v>
      </c>
      <c r="C805" s="16" t="s">
        <v>3310</v>
      </c>
      <c r="D805" s="22" t="n">
        <v>45916</v>
      </c>
      <c r="E805" s="16" t="s">
        <v>704</v>
      </c>
    </row>
    <row r="806" customFormat="false" ht="15" hidden="false" customHeight="false" outlineLevel="0" collapsed="false">
      <c r="A806" s="16" t="s">
        <v>4104</v>
      </c>
      <c r="B806" s="16" t="s">
        <v>404</v>
      </c>
      <c r="C806" s="16" t="s">
        <v>3300</v>
      </c>
      <c r="D806" s="22" t="n">
        <v>46034</v>
      </c>
      <c r="E806" s="16" t="s">
        <v>704</v>
      </c>
    </row>
    <row r="807" customFormat="false" ht="15" hidden="false" customHeight="false" outlineLevel="0" collapsed="false">
      <c r="A807" s="16" t="s">
        <v>4105</v>
      </c>
      <c r="B807" s="16" t="s">
        <v>404</v>
      </c>
      <c r="C807" s="16" t="s">
        <v>3302</v>
      </c>
      <c r="D807" s="22" t="n">
        <v>46224</v>
      </c>
      <c r="E807" s="16" t="s">
        <v>704</v>
      </c>
    </row>
    <row r="808" customFormat="false" ht="15" hidden="false" customHeight="false" outlineLevel="0" collapsed="false">
      <c r="A808" s="16" t="s">
        <v>4106</v>
      </c>
      <c r="B808" s="16" t="s">
        <v>404</v>
      </c>
      <c r="C808" s="16" t="s">
        <v>3302</v>
      </c>
      <c r="D808" s="22" t="n">
        <v>45959</v>
      </c>
      <c r="E808" s="16" t="s">
        <v>704</v>
      </c>
    </row>
    <row r="809" customFormat="false" ht="15" hidden="false" customHeight="false" outlineLevel="0" collapsed="false">
      <c r="A809" s="16" t="s">
        <v>4107</v>
      </c>
      <c r="B809" s="16" t="s">
        <v>404</v>
      </c>
      <c r="C809" s="16" t="s">
        <v>3310</v>
      </c>
      <c r="D809" s="22" t="n">
        <v>46231</v>
      </c>
      <c r="E809" s="16" t="s">
        <v>704</v>
      </c>
    </row>
    <row r="810" customFormat="false" ht="15" hidden="false" customHeight="false" outlineLevel="0" collapsed="false">
      <c r="A810" s="16" t="s">
        <v>4108</v>
      </c>
      <c r="B810" s="16" t="s">
        <v>404</v>
      </c>
      <c r="C810" s="16" t="s">
        <v>3300</v>
      </c>
      <c r="D810" s="22" t="n">
        <v>46304</v>
      </c>
      <c r="E810" s="16" t="s">
        <v>704</v>
      </c>
    </row>
    <row r="811" customFormat="false" ht="15" hidden="false" customHeight="false" outlineLevel="0" collapsed="false">
      <c r="A811" s="16" t="s">
        <v>4109</v>
      </c>
      <c r="B811" s="16" t="s">
        <v>687</v>
      </c>
      <c r="C811" s="16" t="s">
        <v>3330</v>
      </c>
      <c r="D811" s="22" t="n">
        <v>46002</v>
      </c>
      <c r="E811" s="16" t="s">
        <v>663</v>
      </c>
    </row>
    <row r="812" customFormat="false" ht="15" hidden="false" customHeight="false" outlineLevel="0" collapsed="false">
      <c r="A812" s="16" t="s">
        <v>4110</v>
      </c>
      <c r="B812" s="16" t="s">
        <v>687</v>
      </c>
      <c r="C812" s="16" t="s">
        <v>3298</v>
      </c>
      <c r="D812" s="22" t="n">
        <v>46263</v>
      </c>
      <c r="E812" s="16" t="s">
        <v>663</v>
      </c>
    </row>
    <row r="813" customFormat="false" ht="15" hidden="false" customHeight="false" outlineLevel="0" collapsed="false">
      <c r="A813" s="16" t="s">
        <v>4111</v>
      </c>
      <c r="B813" s="16" t="s">
        <v>687</v>
      </c>
      <c r="C813" s="16" t="s">
        <v>3306</v>
      </c>
      <c r="D813" s="22" t="n">
        <v>45996</v>
      </c>
      <c r="E813" s="16" t="s">
        <v>663</v>
      </c>
    </row>
    <row r="814" customFormat="false" ht="15" hidden="false" customHeight="false" outlineLevel="0" collapsed="false">
      <c r="A814" s="16" t="s">
        <v>4112</v>
      </c>
      <c r="B814" s="16" t="s">
        <v>687</v>
      </c>
      <c r="C814" s="16" t="s">
        <v>3300</v>
      </c>
      <c r="D814" s="22" t="n">
        <v>46312</v>
      </c>
      <c r="E814" s="16" t="s">
        <v>663</v>
      </c>
    </row>
    <row r="815" customFormat="false" ht="15" hidden="false" customHeight="false" outlineLevel="0" collapsed="false">
      <c r="A815" s="16" t="s">
        <v>4113</v>
      </c>
      <c r="B815" s="16" t="s">
        <v>687</v>
      </c>
      <c r="C815" s="16" t="s">
        <v>3310</v>
      </c>
      <c r="D815" s="22" t="n">
        <v>46238</v>
      </c>
      <c r="E815" s="16" t="s">
        <v>663</v>
      </c>
    </row>
    <row r="816" customFormat="false" ht="15" hidden="false" customHeight="false" outlineLevel="0" collapsed="false">
      <c r="A816" s="16" t="s">
        <v>4114</v>
      </c>
      <c r="B816" s="16" t="s">
        <v>2787</v>
      </c>
      <c r="C816" s="16" t="s">
        <v>3306</v>
      </c>
      <c r="D816" s="22" t="n">
        <v>45926</v>
      </c>
      <c r="E816" s="16" t="s">
        <v>578</v>
      </c>
    </row>
    <row r="817" customFormat="false" ht="15" hidden="false" customHeight="false" outlineLevel="0" collapsed="false">
      <c r="A817" s="16" t="s">
        <v>4115</v>
      </c>
      <c r="B817" s="16" t="s">
        <v>2787</v>
      </c>
      <c r="C817" s="16" t="s">
        <v>3302</v>
      </c>
      <c r="D817" s="22" t="n">
        <v>45918</v>
      </c>
      <c r="E817" s="16" t="s">
        <v>578</v>
      </c>
    </row>
    <row r="818" customFormat="false" ht="15" hidden="false" customHeight="false" outlineLevel="0" collapsed="false">
      <c r="A818" s="16" t="s">
        <v>4116</v>
      </c>
      <c r="B818" s="16" t="s">
        <v>2787</v>
      </c>
      <c r="C818" s="16" t="s">
        <v>3302</v>
      </c>
      <c r="D818" s="22" t="n">
        <v>46097</v>
      </c>
      <c r="E818" s="16" t="s">
        <v>578</v>
      </c>
    </row>
    <row r="819" customFormat="false" ht="15" hidden="false" customHeight="false" outlineLevel="0" collapsed="false">
      <c r="A819" s="16" t="s">
        <v>4117</v>
      </c>
      <c r="B819" s="16" t="s">
        <v>2787</v>
      </c>
      <c r="C819" s="16" t="s">
        <v>3330</v>
      </c>
      <c r="D819" s="22" t="n">
        <v>46185</v>
      </c>
      <c r="E819" s="16" t="s">
        <v>578</v>
      </c>
    </row>
    <row r="820" customFormat="false" ht="15" hidden="false" customHeight="false" outlineLevel="0" collapsed="false">
      <c r="A820" s="16" t="s">
        <v>4118</v>
      </c>
      <c r="B820" s="16" t="s">
        <v>2787</v>
      </c>
      <c r="C820" s="16" t="s">
        <v>3302</v>
      </c>
      <c r="D820" s="22" t="n">
        <v>46014</v>
      </c>
      <c r="E820" s="16" t="s">
        <v>578</v>
      </c>
    </row>
    <row r="821" customFormat="false" ht="15" hidden="false" customHeight="false" outlineLevel="0" collapsed="false">
      <c r="A821" s="16" t="s">
        <v>4119</v>
      </c>
      <c r="B821" s="16" t="s">
        <v>193</v>
      </c>
      <c r="C821" s="16" t="s">
        <v>3302</v>
      </c>
      <c r="D821" s="22" t="n">
        <v>46085</v>
      </c>
      <c r="E821" s="16" t="s">
        <v>640</v>
      </c>
    </row>
    <row r="822" customFormat="false" ht="15" hidden="false" customHeight="false" outlineLevel="0" collapsed="false">
      <c r="A822" s="16" t="s">
        <v>4120</v>
      </c>
      <c r="B822" s="16" t="s">
        <v>193</v>
      </c>
      <c r="C822" s="16" t="s">
        <v>3306</v>
      </c>
      <c r="D822" s="22" t="n">
        <v>46211</v>
      </c>
      <c r="E822" s="16" t="s">
        <v>640</v>
      </c>
    </row>
    <row r="823" customFormat="false" ht="15" hidden="false" customHeight="false" outlineLevel="0" collapsed="false">
      <c r="A823" s="16" t="s">
        <v>4121</v>
      </c>
      <c r="B823" s="16" t="s">
        <v>193</v>
      </c>
      <c r="C823" s="16" t="s">
        <v>3306</v>
      </c>
      <c r="D823" s="22" t="n">
        <v>46168</v>
      </c>
      <c r="E823" s="16" t="s">
        <v>640</v>
      </c>
    </row>
    <row r="824" customFormat="false" ht="15" hidden="false" customHeight="false" outlineLevel="0" collapsed="false">
      <c r="A824" s="16" t="s">
        <v>4122</v>
      </c>
      <c r="B824" s="16" t="s">
        <v>193</v>
      </c>
      <c r="C824" s="16" t="s">
        <v>3306</v>
      </c>
      <c r="D824" s="22" t="n">
        <v>46213</v>
      </c>
      <c r="E824" s="16" t="s">
        <v>640</v>
      </c>
    </row>
    <row r="825" customFormat="false" ht="15" hidden="false" customHeight="false" outlineLevel="0" collapsed="false">
      <c r="A825" s="16" t="s">
        <v>4123</v>
      </c>
      <c r="B825" s="16" t="s">
        <v>193</v>
      </c>
      <c r="C825" s="16" t="s">
        <v>3310</v>
      </c>
      <c r="D825" s="22" t="n">
        <v>46167</v>
      </c>
      <c r="E825" s="16" t="s">
        <v>640</v>
      </c>
    </row>
    <row r="826" customFormat="false" ht="15" hidden="false" customHeight="false" outlineLevel="0" collapsed="false">
      <c r="A826" s="16" t="s">
        <v>4124</v>
      </c>
      <c r="B826" s="16" t="s">
        <v>193</v>
      </c>
      <c r="C826" s="16" t="s">
        <v>3300</v>
      </c>
      <c r="D826" s="22" t="n">
        <v>46219</v>
      </c>
      <c r="E826" s="16" t="s">
        <v>640</v>
      </c>
    </row>
    <row r="827" customFormat="false" ht="15" hidden="false" customHeight="false" outlineLevel="0" collapsed="false">
      <c r="A827" s="16" t="s">
        <v>4125</v>
      </c>
      <c r="B827" s="16" t="s">
        <v>193</v>
      </c>
      <c r="C827" s="16" t="s">
        <v>3306</v>
      </c>
      <c r="D827" s="22" t="n">
        <v>45996</v>
      </c>
      <c r="E827" s="16" t="s">
        <v>640</v>
      </c>
    </row>
    <row r="828" customFormat="false" ht="15" hidden="false" customHeight="false" outlineLevel="0" collapsed="false">
      <c r="A828" s="16" t="s">
        <v>4126</v>
      </c>
      <c r="B828" s="16" t="s">
        <v>193</v>
      </c>
      <c r="C828" s="16" t="s">
        <v>3330</v>
      </c>
      <c r="D828" s="22" t="n">
        <v>46047</v>
      </c>
      <c r="E828" s="16" t="s">
        <v>640</v>
      </c>
    </row>
    <row r="829" customFormat="false" ht="15" hidden="false" customHeight="false" outlineLevel="0" collapsed="false">
      <c r="A829" s="16" t="s">
        <v>4127</v>
      </c>
      <c r="B829" s="16" t="s">
        <v>681</v>
      </c>
      <c r="C829" s="16" t="s">
        <v>3302</v>
      </c>
      <c r="D829" s="22" t="n">
        <v>46199</v>
      </c>
      <c r="E829" s="16" t="s">
        <v>573</v>
      </c>
    </row>
    <row r="830" customFormat="false" ht="15" hidden="false" customHeight="false" outlineLevel="0" collapsed="false">
      <c r="A830" s="16" t="s">
        <v>4128</v>
      </c>
      <c r="B830" s="16" t="s">
        <v>681</v>
      </c>
      <c r="C830" s="16" t="s">
        <v>3330</v>
      </c>
      <c r="D830" s="22" t="n">
        <v>46247</v>
      </c>
      <c r="E830" s="16" t="s">
        <v>573</v>
      </c>
    </row>
    <row r="831" customFormat="false" ht="15" hidden="false" customHeight="false" outlineLevel="0" collapsed="false">
      <c r="A831" s="16" t="s">
        <v>4129</v>
      </c>
      <c r="B831" s="16" t="s">
        <v>681</v>
      </c>
      <c r="C831" s="16" t="s">
        <v>3306</v>
      </c>
      <c r="D831" s="22" t="n">
        <v>46284</v>
      </c>
      <c r="E831" s="16" t="s">
        <v>573</v>
      </c>
    </row>
    <row r="832" customFormat="false" ht="15" hidden="false" customHeight="false" outlineLevel="0" collapsed="false">
      <c r="A832" s="16" t="s">
        <v>4130</v>
      </c>
      <c r="B832" s="16" t="s">
        <v>681</v>
      </c>
      <c r="C832" s="16" t="s">
        <v>3330</v>
      </c>
      <c r="D832" s="22" t="n">
        <v>46141</v>
      </c>
      <c r="E832" s="16" t="s">
        <v>573</v>
      </c>
    </row>
    <row r="833" customFormat="false" ht="15" hidden="false" customHeight="false" outlineLevel="0" collapsed="false">
      <c r="A833" s="16" t="s">
        <v>4131</v>
      </c>
      <c r="B833" s="16" t="s">
        <v>681</v>
      </c>
      <c r="C833" s="16" t="s">
        <v>3298</v>
      </c>
      <c r="D833" s="22" t="n">
        <v>46275</v>
      </c>
      <c r="E833" s="16" t="s">
        <v>573</v>
      </c>
    </row>
    <row r="834" customFormat="false" ht="15" hidden="false" customHeight="false" outlineLevel="0" collapsed="false">
      <c r="A834" s="16" t="s">
        <v>4132</v>
      </c>
      <c r="B834" s="16" t="s">
        <v>681</v>
      </c>
      <c r="C834" s="16" t="s">
        <v>3302</v>
      </c>
      <c r="D834" s="22" t="n">
        <v>46202</v>
      </c>
      <c r="E834" s="16" t="s">
        <v>573</v>
      </c>
    </row>
    <row r="835" customFormat="false" ht="15" hidden="false" customHeight="false" outlineLevel="0" collapsed="false">
      <c r="A835" s="16" t="s">
        <v>4133</v>
      </c>
      <c r="B835" s="16" t="s">
        <v>411</v>
      </c>
      <c r="C835" s="16" t="s">
        <v>3310</v>
      </c>
      <c r="D835" s="22" t="n">
        <v>46138</v>
      </c>
      <c r="E835" s="16" t="s">
        <v>622</v>
      </c>
    </row>
    <row r="836" customFormat="false" ht="15" hidden="false" customHeight="false" outlineLevel="0" collapsed="false">
      <c r="A836" s="16" t="s">
        <v>4134</v>
      </c>
      <c r="B836" s="16" t="s">
        <v>411</v>
      </c>
      <c r="C836" s="16" t="s">
        <v>3306</v>
      </c>
      <c r="D836" s="22" t="n">
        <v>46059</v>
      </c>
      <c r="E836" s="16" t="s">
        <v>622</v>
      </c>
    </row>
    <row r="837" customFormat="false" ht="15" hidden="false" customHeight="false" outlineLevel="0" collapsed="false">
      <c r="A837" s="16" t="s">
        <v>4135</v>
      </c>
      <c r="B837" s="16" t="s">
        <v>411</v>
      </c>
      <c r="C837" s="16" t="s">
        <v>3310</v>
      </c>
      <c r="D837" s="22" t="n">
        <v>46070</v>
      </c>
      <c r="E837" s="16" t="s">
        <v>622</v>
      </c>
    </row>
    <row r="838" customFormat="false" ht="15" hidden="false" customHeight="false" outlineLevel="0" collapsed="false">
      <c r="A838" s="16" t="s">
        <v>4136</v>
      </c>
      <c r="B838" s="16" t="s">
        <v>431</v>
      </c>
      <c r="C838" s="16" t="s">
        <v>3300</v>
      </c>
      <c r="D838" s="22" t="n">
        <v>46037</v>
      </c>
      <c r="E838" s="16" t="s">
        <v>596</v>
      </c>
    </row>
    <row r="839" customFormat="false" ht="15" hidden="false" customHeight="false" outlineLevel="0" collapsed="false">
      <c r="A839" s="16" t="s">
        <v>4137</v>
      </c>
      <c r="B839" s="16" t="s">
        <v>431</v>
      </c>
      <c r="C839" s="16" t="s">
        <v>3306</v>
      </c>
      <c r="D839" s="22" t="n">
        <v>45945</v>
      </c>
      <c r="E839" s="16" t="s">
        <v>596</v>
      </c>
    </row>
    <row r="840" customFormat="false" ht="15" hidden="false" customHeight="false" outlineLevel="0" collapsed="false">
      <c r="A840" s="16" t="s">
        <v>4138</v>
      </c>
      <c r="B840" s="16" t="s">
        <v>431</v>
      </c>
      <c r="C840" s="16" t="s">
        <v>3298</v>
      </c>
      <c r="D840" s="22" t="n">
        <v>46038</v>
      </c>
      <c r="E840" s="16" t="s">
        <v>596</v>
      </c>
    </row>
    <row r="841" customFormat="false" ht="15" hidden="false" customHeight="false" outlineLevel="0" collapsed="false">
      <c r="A841" s="16" t="s">
        <v>4139</v>
      </c>
      <c r="B841" s="16" t="s">
        <v>431</v>
      </c>
      <c r="C841" s="16" t="s">
        <v>3310</v>
      </c>
      <c r="D841" s="22" t="n">
        <v>45976</v>
      </c>
      <c r="E841" s="16" t="s">
        <v>596</v>
      </c>
    </row>
    <row r="842" customFormat="false" ht="15" hidden="false" customHeight="false" outlineLevel="0" collapsed="false">
      <c r="A842" s="16" t="s">
        <v>4140</v>
      </c>
      <c r="B842" s="16" t="s">
        <v>431</v>
      </c>
      <c r="C842" s="16" t="s">
        <v>3330</v>
      </c>
      <c r="D842" s="22" t="n">
        <v>46162</v>
      </c>
      <c r="E842" s="16" t="s">
        <v>596</v>
      </c>
    </row>
    <row r="843" customFormat="false" ht="15" hidden="false" customHeight="false" outlineLevel="0" collapsed="false">
      <c r="A843" s="16" t="s">
        <v>4141</v>
      </c>
      <c r="B843" s="16" t="s">
        <v>1137</v>
      </c>
      <c r="C843" s="16" t="s">
        <v>3330</v>
      </c>
      <c r="D843" s="22" t="n">
        <v>46131</v>
      </c>
      <c r="E843" s="16" t="s">
        <v>666</v>
      </c>
    </row>
    <row r="844" customFormat="false" ht="15" hidden="false" customHeight="false" outlineLevel="0" collapsed="false">
      <c r="A844" s="16" t="s">
        <v>4142</v>
      </c>
      <c r="B844" s="16" t="s">
        <v>1137</v>
      </c>
      <c r="C844" s="16" t="s">
        <v>3302</v>
      </c>
      <c r="D844" s="22" t="n">
        <v>46308</v>
      </c>
      <c r="E844" s="16" t="s">
        <v>666</v>
      </c>
    </row>
    <row r="845" customFormat="false" ht="15" hidden="false" customHeight="false" outlineLevel="0" collapsed="false">
      <c r="A845" s="16" t="s">
        <v>4143</v>
      </c>
      <c r="B845" s="16" t="s">
        <v>1137</v>
      </c>
      <c r="C845" s="16" t="s">
        <v>3310</v>
      </c>
      <c r="D845" s="22" t="n">
        <v>45934</v>
      </c>
      <c r="E845" s="16" t="s">
        <v>666</v>
      </c>
    </row>
    <row r="846" customFormat="false" ht="15" hidden="false" customHeight="false" outlineLevel="0" collapsed="false">
      <c r="A846" s="16" t="s">
        <v>4144</v>
      </c>
      <c r="B846" s="16" t="s">
        <v>1358</v>
      </c>
      <c r="C846" s="16" t="s">
        <v>3306</v>
      </c>
      <c r="D846" s="22" t="n">
        <v>45944</v>
      </c>
      <c r="E846" s="16" t="s">
        <v>588</v>
      </c>
    </row>
    <row r="847" customFormat="false" ht="15" hidden="false" customHeight="false" outlineLevel="0" collapsed="false">
      <c r="A847" s="16" t="s">
        <v>4145</v>
      </c>
      <c r="B847" s="16" t="s">
        <v>1358</v>
      </c>
      <c r="C847" s="16" t="s">
        <v>3310</v>
      </c>
      <c r="D847" s="22" t="n">
        <v>45944</v>
      </c>
      <c r="E847" s="16" t="s">
        <v>588</v>
      </c>
    </row>
    <row r="848" customFormat="false" ht="15" hidden="false" customHeight="false" outlineLevel="0" collapsed="false">
      <c r="A848" s="16" t="s">
        <v>4146</v>
      </c>
      <c r="B848" s="16" t="s">
        <v>1358</v>
      </c>
      <c r="C848" s="16" t="s">
        <v>3298</v>
      </c>
      <c r="D848" s="22" t="n">
        <v>46017</v>
      </c>
      <c r="E848" s="16" t="s">
        <v>588</v>
      </c>
    </row>
    <row r="849" customFormat="false" ht="15" hidden="false" customHeight="false" outlineLevel="0" collapsed="false">
      <c r="A849" s="16" t="s">
        <v>4147</v>
      </c>
      <c r="B849" s="16" t="s">
        <v>1358</v>
      </c>
      <c r="C849" s="16" t="s">
        <v>3310</v>
      </c>
      <c r="D849" s="22" t="n">
        <v>46255</v>
      </c>
      <c r="E849" s="16" t="s">
        <v>588</v>
      </c>
    </row>
    <row r="850" customFormat="false" ht="15" hidden="false" customHeight="false" outlineLevel="0" collapsed="false">
      <c r="A850" s="16" t="s">
        <v>4148</v>
      </c>
      <c r="B850" s="16" t="s">
        <v>1358</v>
      </c>
      <c r="C850" s="16" t="s">
        <v>3298</v>
      </c>
      <c r="D850" s="22" t="n">
        <v>46262</v>
      </c>
      <c r="E850" s="16" t="s">
        <v>588</v>
      </c>
    </row>
    <row r="851" customFormat="false" ht="15" hidden="false" customHeight="false" outlineLevel="0" collapsed="false">
      <c r="A851" s="16" t="s">
        <v>4149</v>
      </c>
      <c r="B851" s="16" t="s">
        <v>1358</v>
      </c>
      <c r="C851" s="16" t="s">
        <v>3300</v>
      </c>
      <c r="D851" s="22" t="n">
        <v>46215</v>
      </c>
      <c r="E851" s="16" t="s">
        <v>588</v>
      </c>
    </row>
    <row r="852" customFormat="false" ht="15" hidden="false" customHeight="false" outlineLevel="0" collapsed="false">
      <c r="A852" s="16" t="s">
        <v>4150</v>
      </c>
      <c r="B852" s="16" t="s">
        <v>1358</v>
      </c>
      <c r="C852" s="16" t="s">
        <v>3330</v>
      </c>
      <c r="D852" s="22" t="n">
        <v>46210</v>
      </c>
      <c r="E852" s="16" t="s">
        <v>588</v>
      </c>
    </row>
    <row r="853" customFormat="false" ht="15" hidden="false" customHeight="false" outlineLevel="0" collapsed="false">
      <c r="A853" s="16" t="s">
        <v>4151</v>
      </c>
      <c r="B853" s="16" t="s">
        <v>1358</v>
      </c>
      <c r="C853" s="16" t="s">
        <v>3306</v>
      </c>
      <c r="D853" s="22" t="n">
        <v>45941</v>
      </c>
      <c r="E853" s="16" t="s">
        <v>588</v>
      </c>
    </row>
    <row r="854" customFormat="false" ht="15" hidden="false" customHeight="false" outlineLevel="0" collapsed="false">
      <c r="A854" s="16" t="s">
        <v>4152</v>
      </c>
      <c r="B854" s="16" t="s">
        <v>1358</v>
      </c>
      <c r="C854" s="16" t="s">
        <v>3310</v>
      </c>
      <c r="D854" s="22" t="n">
        <v>46081</v>
      </c>
      <c r="E854" s="16" t="s">
        <v>588</v>
      </c>
    </row>
    <row r="855" customFormat="false" ht="15" hidden="false" customHeight="false" outlineLevel="0" collapsed="false">
      <c r="A855" s="16" t="s">
        <v>4153</v>
      </c>
      <c r="B855" s="16" t="s">
        <v>1358</v>
      </c>
      <c r="C855" s="16" t="s">
        <v>3300</v>
      </c>
      <c r="D855" s="22" t="n">
        <v>46148</v>
      </c>
      <c r="E855" s="16" t="s">
        <v>588</v>
      </c>
    </row>
    <row r="856" customFormat="false" ht="15" hidden="false" customHeight="false" outlineLevel="0" collapsed="false">
      <c r="A856" s="16" t="s">
        <v>4154</v>
      </c>
      <c r="B856" s="16" t="s">
        <v>668</v>
      </c>
      <c r="C856" s="16" t="s">
        <v>3302</v>
      </c>
      <c r="D856" s="22" t="n">
        <v>46298</v>
      </c>
      <c r="E856" s="16" t="s">
        <v>583</v>
      </c>
    </row>
    <row r="857" customFormat="false" ht="15" hidden="false" customHeight="false" outlineLevel="0" collapsed="false">
      <c r="A857" s="16" t="s">
        <v>4155</v>
      </c>
      <c r="B857" s="16" t="s">
        <v>668</v>
      </c>
      <c r="C857" s="16" t="s">
        <v>3310</v>
      </c>
      <c r="D857" s="22" t="n">
        <v>46035</v>
      </c>
      <c r="E857" s="16" t="s">
        <v>583</v>
      </c>
    </row>
    <row r="858" customFormat="false" ht="15" hidden="false" customHeight="false" outlineLevel="0" collapsed="false">
      <c r="A858" s="16" t="s">
        <v>4156</v>
      </c>
      <c r="B858" s="16" t="s">
        <v>668</v>
      </c>
      <c r="C858" s="16" t="s">
        <v>3306</v>
      </c>
      <c r="D858" s="22" t="n">
        <v>45993</v>
      </c>
      <c r="E858" s="16" t="s">
        <v>583</v>
      </c>
    </row>
    <row r="859" customFormat="false" ht="15" hidden="false" customHeight="false" outlineLevel="0" collapsed="false">
      <c r="A859" s="16" t="s">
        <v>4157</v>
      </c>
      <c r="B859" s="16" t="s">
        <v>668</v>
      </c>
      <c r="C859" s="16" t="s">
        <v>3306</v>
      </c>
      <c r="D859" s="22" t="n">
        <v>46015</v>
      </c>
      <c r="E859" s="16" t="s">
        <v>583</v>
      </c>
    </row>
    <row r="860" customFormat="false" ht="15" hidden="false" customHeight="false" outlineLevel="0" collapsed="false">
      <c r="A860" s="16" t="s">
        <v>4158</v>
      </c>
      <c r="B860" s="16" t="s">
        <v>668</v>
      </c>
      <c r="C860" s="16" t="s">
        <v>3330</v>
      </c>
      <c r="D860" s="22" t="n">
        <v>46132</v>
      </c>
      <c r="E860" s="16" t="s">
        <v>583</v>
      </c>
    </row>
    <row r="861" customFormat="false" ht="15" hidden="false" customHeight="false" outlineLevel="0" collapsed="false">
      <c r="A861" s="16" t="s">
        <v>4159</v>
      </c>
      <c r="B861" s="16" t="s">
        <v>668</v>
      </c>
      <c r="C861" s="16" t="s">
        <v>3300</v>
      </c>
      <c r="D861" s="22" t="n">
        <v>46252</v>
      </c>
      <c r="E861" s="16" t="s">
        <v>583</v>
      </c>
    </row>
    <row r="862" customFormat="false" ht="15" hidden="false" customHeight="false" outlineLevel="0" collapsed="false">
      <c r="A862" s="16" t="s">
        <v>4160</v>
      </c>
      <c r="B862" s="16" t="s">
        <v>668</v>
      </c>
      <c r="C862" s="16" t="s">
        <v>3310</v>
      </c>
      <c r="D862" s="22" t="n">
        <v>46020</v>
      </c>
      <c r="E862" s="16" t="s">
        <v>583</v>
      </c>
    </row>
    <row r="863" customFormat="false" ht="15" hidden="false" customHeight="false" outlineLevel="0" collapsed="false">
      <c r="A863" s="16" t="s">
        <v>4161</v>
      </c>
      <c r="B863" s="16" t="s">
        <v>220</v>
      </c>
      <c r="C863" s="16" t="s">
        <v>3310</v>
      </c>
      <c r="D863" s="22" t="n">
        <v>46147</v>
      </c>
      <c r="E863" s="16" t="s">
        <v>880</v>
      </c>
    </row>
    <row r="864" customFormat="false" ht="15" hidden="false" customHeight="false" outlineLevel="0" collapsed="false">
      <c r="A864" s="16" t="s">
        <v>4162</v>
      </c>
      <c r="B864" s="16" t="s">
        <v>220</v>
      </c>
      <c r="C864" s="16" t="s">
        <v>3330</v>
      </c>
      <c r="D864" s="22" t="n">
        <v>46144</v>
      </c>
      <c r="E864" s="16" t="s">
        <v>880</v>
      </c>
    </row>
    <row r="865" customFormat="false" ht="15" hidden="false" customHeight="false" outlineLevel="0" collapsed="false">
      <c r="A865" s="16" t="s">
        <v>4163</v>
      </c>
      <c r="B865" s="16" t="s">
        <v>220</v>
      </c>
      <c r="C865" s="16" t="s">
        <v>3310</v>
      </c>
      <c r="D865" s="22" t="n">
        <v>46052</v>
      </c>
      <c r="E865" s="16" t="s">
        <v>880</v>
      </c>
    </row>
    <row r="866" customFormat="false" ht="15" hidden="false" customHeight="false" outlineLevel="0" collapsed="false">
      <c r="A866" s="16" t="s">
        <v>4164</v>
      </c>
      <c r="B866" s="16" t="s">
        <v>220</v>
      </c>
      <c r="C866" s="16" t="s">
        <v>3298</v>
      </c>
      <c r="D866" s="22" t="n">
        <v>46152</v>
      </c>
      <c r="E866" s="16" t="s">
        <v>880</v>
      </c>
    </row>
    <row r="867" customFormat="false" ht="15" hidden="false" customHeight="false" outlineLevel="0" collapsed="false">
      <c r="A867" s="16" t="s">
        <v>4165</v>
      </c>
      <c r="B867" s="16" t="s">
        <v>220</v>
      </c>
      <c r="C867" s="16" t="s">
        <v>3306</v>
      </c>
      <c r="D867" s="22" t="n">
        <v>45942</v>
      </c>
      <c r="E867" s="16" t="s">
        <v>880</v>
      </c>
    </row>
    <row r="868" customFormat="false" ht="15" hidden="false" customHeight="false" outlineLevel="0" collapsed="false">
      <c r="A868" s="16" t="s">
        <v>4166</v>
      </c>
      <c r="B868" s="16" t="s">
        <v>220</v>
      </c>
      <c r="C868" s="16" t="s">
        <v>3300</v>
      </c>
      <c r="D868" s="22" t="n">
        <v>46265</v>
      </c>
      <c r="E868" s="16" t="s">
        <v>880</v>
      </c>
    </row>
    <row r="869" customFormat="false" ht="15" hidden="false" customHeight="false" outlineLevel="0" collapsed="false">
      <c r="A869" s="16" t="s">
        <v>4167</v>
      </c>
      <c r="B869" s="16" t="s">
        <v>220</v>
      </c>
      <c r="C869" s="16" t="s">
        <v>3330</v>
      </c>
      <c r="D869" s="22" t="n">
        <v>46300</v>
      </c>
      <c r="E869" s="16" t="s">
        <v>880</v>
      </c>
    </row>
    <row r="870" customFormat="false" ht="15" hidden="false" customHeight="false" outlineLevel="0" collapsed="false">
      <c r="A870" s="16" t="s">
        <v>4168</v>
      </c>
      <c r="B870" s="16" t="s">
        <v>945</v>
      </c>
      <c r="C870" s="16" t="s">
        <v>3302</v>
      </c>
      <c r="D870" s="22" t="n">
        <v>46062</v>
      </c>
      <c r="E870" s="16" t="s">
        <v>573</v>
      </c>
    </row>
    <row r="871" customFormat="false" ht="15" hidden="false" customHeight="false" outlineLevel="0" collapsed="false">
      <c r="A871" s="16" t="s">
        <v>4169</v>
      </c>
      <c r="B871" s="16" t="s">
        <v>945</v>
      </c>
      <c r="C871" s="16" t="s">
        <v>3302</v>
      </c>
      <c r="D871" s="22" t="n">
        <v>45964</v>
      </c>
      <c r="E871" s="16" t="s">
        <v>573</v>
      </c>
    </row>
    <row r="872" customFormat="false" ht="15" hidden="false" customHeight="false" outlineLevel="0" collapsed="false">
      <c r="A872" s="16" t="s">
        <v>4170</v>
      </c>
      <c r="B872" s="16" t="s">
        <v>945</v>
      </c>
      <c r="C872" s="16" t="s">
        <v>3300</v>
      </c>
      <c r="D872" s="22" t="n">
        <v>45961</v>
      </c>
      <c r="E872" s="16" t="s">
        <v>573</v>
      </c>
    </row>
    <row r="873" customFormat="false" ht="15" hidden="false" customHeight="false" outlineLevel="0" collapsed="false">
      <c r="A873" s="16" t="s">
        <v>4171</v>
      </c>
      <c r="B873" s="16" t="s">
        <v>945</v>
      </c>
      <c r="C873" s="16" t="s">
        <v>3298</v>
      </c>
      <c r="D873" s="22" t="n">
        <v>46010</v>
      </c>
      <c r="E873" s="16" t="s">
        <v>573</v>
      </c>
    </row>
    <row r="874" customFormat="false" ht="15" hidden="false" customHeight="false" outlineLevel="0" collapsed="false">
      <c r="A874" s="16" t="s">
        <v>4172</v>
      </c>
      <c r="B874" s="16" t="s">
        <v>945</v>
      </c>
      <c r="C874" s="16" t="s">
        <v>3302</v>
      </c>
      <c r="D874" s="22" t="n">
        <v>46212</v>
      </c>
      <c r="E874" s="16" t="s">
        <v>573</v>
      </c>
    </row>
    <row r="875" customFormat="false" ht="15" hidden="false" customHeight="false" outlineLevel="0" collapsed="false">
      <c r="A875" s="16" t="s">
        <v>4173</v>
      </c>
      <c r="B875" s="16" t="s">
        <v>952</v>
      </c>
      <c r="C875" s="16" t="s">
        <v>3310</v>
      </c>
      <c r="D875" s="22" t="n">
        <v>46256</v>
      </c>
      <c r="E875" s="16" t="s">
        <v>765</v>
      </c>
    </row>
    <row r="876" customFormat="false" ht="15" hidden="false" customHeight="false" outlineLevel="0" collapsed="false">
      <c r="A876" s="16" t="s">
        <v>4174</v>
      </c>
      <c r="B876" s="16" t="s">
        <v>952</v>
      </c>
      <c r="C876" s="16" t="s">
        <v>3300</v>
      </c>
      <c r="D876" s="22" t="n">
        <v>46171</v>
      </c>
      <c r="E876" s="16" t="s">
        <v>765</v>
      </c>
    </row>
    <row r="877" customFormat="false" ht="15" hidden="false" customHeight="false" outlineLevel="0" collapsed="false">
      <c r="A877" s="16" t="s">
        <v>4175</v>
      </c>
      <c r="B877" s="16" t="s">
        <v>702</v>
      </c>
      <c r="C877" s="16" t="s">
        <v>3306</v>
      </c>
      <c r="D877" s="22" t="n">
        <v>46105</v>
      </c>
      <c r="E877" s="16" t="s">
        <v>704</v>
      </c>
    </row>
    <row r="878" customFormat="false" ht="15" hidden="false" customHeight="false" outlineLevel="0" collapsed="false">
      <c r="A878" s="16" t="s">
        <v>4176</v>
      </c>
      <c r="B878" s="16" t="s">
        <v>702</v>
      </c>
      <c r="C878" s="16" t="s">
        <v>3298</v>
      </c>
      <c r="D878" s="22" t="n">
        <v>46100</v>
      </c>
      <c r="E878" s="16" t="s">
        <v>704</v>
      </c>
    </row>
    <row r="879" customFormat="false" ht="15" hidden="false" customHeight="false" outlineLevel="0" collapsed="false">
      <c r="A879" s="16" t="s">
        <v>4177</v>
      </c>
      <c r="B879" s="16" t="s">
        <v>394</v>
      </c>
      <c r="C879" s="16" t="s">
        <v>3306</v>
      </c>
      <c r="D879" s="22" t="n">
        <v>46161</v>
      </c>
      <c r="E879" s="16" t="s">
        <v>765</v>
      </c>
    </row>
    <row r="880" customFormat="false" ht="15" hidden="false" customHeight="false" outlineLevel="0" collapsed="false">
      <c r="A880" s="16" t="s">
        <v>4178</v>
      </c>
      <c r="B880" s="16" t="s">
        <v>394</v>
      </c>
      <c r="C880" s="16" t="s">
        <v>3306</v>
      </c>
      <c r="D880" s="22" t="n">
        <v>46070</v>
      </c>
      <c r="E880" s="16" t="s">
        <v>765</v>
      </c>
    </row>
    <row r="881" customFormat="false" ht="15" hidden="false" customHeight="false" outlineLevel="0" collapsed="false">
      <c r="A881" s="16" t="s">
        <v>4179</v>
      </c>
      <c r="B881" s="16" t="s">
        <v>394</v>
      </c>
      <c r="C881" s="16" t="s">
        <v>3300</v>
      </c>
      <c r="D881" s="22" t="n">
        <v>46023</v>
      </c>
      <c r="E881" s="16" t="s">
        <v>765</v>
      </c>
    </row>
    <row r="882" customFormat="false" ht="15" hidden="false" customHeight="false" outlineLevel="0" collapsed="false">
      <c r="A882" s="16" t="s">
        <v>4180</v>
      </c>
      <c r="B882" s="16" t="s">
        <v>394</v>
      </c>
      <c r="C882" s="16" t="s">
        <v>3302</v>
      </c>
      <c r="D882" s="22" t="n">
        <v>46155</v>
      </c>
      <c r="E882" s="16" t="s">
        <v>765</v>
      </c>
    </row>
    <row r="883" customFormat="false" ht="15" hidden="false" customHeight="false" outlineLevel="0" collapsed="false">
      <c r="A883" s="16" t="s">
        <v>4181</v>
      </c>
      <c r="B883" s="16" t="s">
        <v>394</v>
      </c>
      <c r="C883" s="16" t="s">
        <v>3306</v>
      </c>
      <c r="D883" s="22" t="n">
        <v>46148</v>
      </c>
      <c r="E883" s="16" t="s">
        <v>765</v>
      </c>
    </row>
    <row r="884" customFormat="false" ht="15" hidden="false" customHeight="false" outlineLevel="0" collapsed="false">
      <c r="A884" s="16" t="s">
        <v>4182</v>
      </c>
      <c r="B884" s="16" t="s">
        <v>394</v>
      </c>
      <c r="C884" s="16" t="s">
        <v>3302</v>
      </c>
      <c r="D884" s="22" t="n">
        <v>46284</v>
      </c>
      <c r="E884" s="16" t="s">
        <v>765</v>
      </c>
    </row>
    <row r="885" customFormat="false" ht="15" hidden="false" customHeight="false" outlineLevel="0" collapsed="false">
      <c r="A885" s="16" t="s">
        <v>4183</v>
      </c>
      <c r="B885" s="16" t="s">
        <v>394</v>
      </c>
      <c r="C885" s="16" t="s">
        <v>3302</v>
      </c>
      <c r="D885" s="22" t="n">
        <v>46116</v>
      </c>
      <c r="E885" s="16" t="s">
        <v>765</v>
      </c>
    </row>
    <row r="886" customFormat="false" ht="15" hidden="false" customHeight="false" outlineLevel="0" collapsed="false">
      <c r="A886" s="16" t="s">
        <v>4184</v>
      </c>
      <c r="B886" s="16" t="s">
        <v>394</v>
      </c>
      <c r="C886" s="16" t="s">
        <v>3300</v>
      </c>
      <c r="D886" s="22" t="n">
        <v>46070</v>
      </c>
      <c r="E886" s="16" t="s">
        <v>765</v>
      </c>
    </row>
    <row r="887" customFormat="false" ht="15" hidden="false" customHeight="false" outlineLevel="0" collapsed="false">
      <c r="A887" s="16" t="s">
        <v>4185</v>
      </c>
      <c r="B887" s="16" t="s">
        <v>394</v>
      </c>
      <c r="C887" s="16" t="s">
        <v>3302</v>
      </c>
      <c r="D887" s="22" t="n">
        <v>45983</v>
      </c>
      <c r="E887" s="16" t="s">
        <v>765</v>
      </c>
    </row>
    <row r="888" customFormat="false" ht="15" hidden="false" customHeight="false" outlineLevel="0" collapsed="false">
      <c r="A888" s="16" t="s">
        <v>4186</v>
      </c>
      <c r="B888" s="16" t="s">
        <v>394</v>
      </c>
      <c r="C888" s="16" t="s">
        <v>3330</v>
      </c>
      <c r="D888" s="22" t="n">
        <v>46163</v>
      </c>
      <c r="E888" s="16" t="s">
        <v>765</v>
      </c>
    </row>
    <row r="889" customFormat="false" ht="15" hidden="false" customHeight="false" outlineLevel="0" collapsed="false">
      <c r="A889" s="16" t="s">
        <v>4187</v>
      </c>
      <c r="B889" s="16" t="s">
        <v>397</v>
      </c>
      <c r="C889" s="16" t="s">
        <v>3300</v>
      </c>
      <c r="D889" s="22" t="n">
        <v>46042</v>
      </c>
      <c r="E889" s="16" t="s">
        <v>600</v>
      </c>
    </row>
    <row r="890" customFormat="false" ht="15" hidden="false" customHeight="false" outlineLevel="0" collapsed="false">
      <c r="A890" s="16" t="s">
        <v>4188</v>
      </c>
      <c r="B890" s="16" t="s">
        <v>397</v>
      </c>
      <c r="C890" s="16" t="s">
        <v>3300</v>
      </c>
      <c r="D890" s="22" t="n">
        <v>45925</v>
      </c>
      <c r="E890" s="16" t="s">
        <v>600</v>
      </c>
    </row>
    <row r="891" customFormat="false" ht="15" hidden="false" customHeight="false" outlineLevel="0" collapsed="false">
      <c r="A891" s="16" t="s">
        <v>4189</v>
      </c>
      <c r="B891" s="16" t="s">
        <v>397</v>
      </c>
      <c r="C891" s="16" t="s">
        <v>3310</v>
      </c>
      <c r="D891" s="22" t="n">
        <v>46305</v>
      </c>
      <c r="E891" s="16" t="s">
        <v>600</v>
      </c>
    </row>
    <row r="892" customFormat="false" ht="15" hidden="false" customHeight="false" outlineLevel="0" collapsed="false">
      <c r="A892" s="16" t="s">
        <v>4190</v>
      </c>
      <c r="B892" s="16" t="s">
        <v>397</v>
      </c>
      <c r="C892" s="16" t="s">
        <v>3302</v>
      </c>
      <c r="D892" s="22" t="n">
        <v>46173</v>
      </c>
      <c r="E892" s="16" t="s">
        <v>600</v>
      </c>
    </row>
    <row r="893" customFormat="false" ht="15" hidden="false" customHeight="false" outlineLevel="0" collapsed="false">
      <c r="A893" s="16" t="s">
        <v>4191</v>
      </c>
      <c r="B893" s="16" t="s">
        <v>397</v>
      </c>
      <c r="C893" s="16" t="s">
        <v>3300</v>
      </c>
      <c r="D893" s="22" t="n">
        <v>46275</v>
      </c>
      <c r="E893" s="16" t="s">
        <v>600</v>
      </c>
    </row>
    <row r="894" customFormat="false" ht="15" hidden="false" customHeight="false" outlineLevel="0" collapsed="false">
      <c r="A894" s="16" t="s">
        <v>4192</v>
      </c>
      <c r="B894" s="16" t="s">
        <v>397</v>
      </c>
      <c r="C894" s="16" t="s">
        <v>3310</v>
      </c>
      <c r="D894" s="22" t="n">
        <v>46282</v>
      </c>
      <c r="E894" s="16" t="s">
        <v>600</v>
      </c>
    </row>
    <row r="895" customFormat="false" ht="15" hidden="false" customHeight="false" outlineLevel="0" collapsed="false">
      <c r="A895" s="16" t="s">
        <v>4193</v>
      </c>
      <c r="B895" s="16" t="s">
        <v>397</v>
      </c>
      <c r="C895" s="16" t="s">
        <v>3306</v>
      </c>
      <c r="D895" s="22" t="n">
        <v>46277</v>
      </c>
      <c r="E895" s="16" t="s">
        <v>600</v>
      </c>
    </row>
    <row r="896" customFormat="false" ht="15" hidden="false" customHeight="false" outlineLevel="0" collapsed="false">
      <c r="A896" s="16" t="s">
        <v>4194</v>
      </c>
      <c r="B896" s="16" t="s">
        <v>397</v>
      </c>
      <c r="C896" s="16" t="s">
        <v>3330</v>
      </c>
      <c r="D896" s="22" t="n">
        <v>46089</v>
      </c>
      <c r="E896" s="16" t="s">
        <v>600</v>
      </c>
    </row>
    <row r="897" customFormat="false" ht="15" hidden="false" customHeight="false" outlineLevel="0" collapsed="false">
      <c r="A897" s="16" t="s">
        <v>4195</v>
      </c>
      <c r="B897" s="16" t="s">
        <v>397</v>
      </c>
      <c r="C897" s="16" t="s">
        <v>3310</v>
      </c>
      <c r="D897" s="22" t="n">
        <v>46002</v>
      </c>
      <c r="E897" s="16" t="s">
        <v>600</v>
      </c>
    </row>
    <row r="898" customFormat="false" ht="15" hidden="false" customHeight="false" outlineLevel="0" collapsed="false">
      <c r="A898" s="16" t="s">
        <v>4196</v>
      </c>
      <c r="B898" s="16" t="s">
        <v>780</v>
      </c>
      <c r="C898" s="16" t="s">
        <v>3302</v>
      </c>
      <c r="D898" s="22" t="n">
        <v>46049</v>
      </c>
      <c r="E898" s="16" t="s">
        <v>677</v>
      </c>
    </row>
    <row r="899" customFormat="false" ht="15" hidden="false" customHeight="false" outlineLevel="0" collapsed="false">
      <c r="A899" s="16" t="s">
        <v>4197</v>
      </c>
      <c r="B899" s="16" t="s">
        <v>780</v>
      </c>
      <c r="C899" s="16" t="s">
        <v>3306</v>
      </c>
      <c r="D899" s="22" t="n">
        <v>45974</v>
      </c>
      <c r="E899" s="16" t="s">
        <v>677</v>
      </c>
    </row>
    <row r="900" customFormat="false" ht="15" hidden="false" customHeight="false" outlineLevel="0" collapsed="false">
      <c r="A900" s="16" t="s">
        <v>4198</v>
      </c>
      <c r="B900" s="16" t="s">
        <v>780</v>
      </c>
      <c r="C900" s="16" t="s">
        <v>3300</v>
      </c>
      <c r="D900" s="22" t="n">
        <v>45989</v>
      </c>
      <c r="E900" s="16" t="s">
        <v>677</v>
      </c>
    </row>
    <row r="901" customFormat="false" ht="15" hidden="false" customHeight="false" outlineLevel="0" collapsed="false">
      <c r="A901" s="16" t="s">
        <v>4199</v>
      </c>
      <c r="B901" s="16" t="s">
        <v>963</v>
      </c>
      <c r="C901" s="16" t="s">
        <v>3310</v>
      </c>
      <c r="D901" s="22" t="n">
        <v>46052</v>
      </c>
      <c r="E901" s="16" t="s">
        <v>654</v>
      </c>
    </row>
    <row r="902" customFormat="false" ht="15" hidden="false" customHeight="false" outlineLevel="0" collapsed="false">
      <c r="A902" s="16" t="s">
        <v>4200</v>
      </c>
      <c r="B902" s="16" t="s">
        <v>963</v>
      </c>
      <c r="C902" s="16" t="s">
        <v>3302</v>
      </c>
      <c r="D902" s="22" t="n">
        <v>46247</v>
      </c>
      <c r="E902" s="16" t="s">
        <v>654</v>
      </c>
    </row>
    <row r="903" customFormat="false" ht="15" hidden="false" customHeight="false" outlineLevel="0" collapsed="false">
      <c r="A903" s="16" t="s">
        <v>4201</v>
      </c>
      <c r="B903" s="16" t="s">
        <v>963</v>
      </c>
      <c r="C903" s="16" t="s">
        <v>3300</v>
      </c>
      <c r="D903" s="22" t="n">
        <v>46267</v>
      </c>
      <c r="E903" s="16" t="s">
        <v>654</v>
      </c>
    </row>
    <row r="904" customFormat="false" ht="15" hidden="false" customHeight="false" outlineLevel="0" collapsed="false">
      <c r="A904" s="16" t="s">
        <v>4202</v>
      </c>
      <c r="B904" s="16" t="s">
        <v>963</v>
      </c>
      <c r="C904" s="16" t="s">
        <v>3302</v>
      </c>
      <c r="D904" s="22" t="n">
        <v>46241</v>
      </c>
      <c r="E904" s="16" t="s">
        <v>654</v>
      </c>
    </row>
    <row r="905" customFormat="false" ht="15" hidden="false" customHeight="false" outlineLevel="0" collapsed="false">
      <c r="A905" s="16" t="s">
        <v>4203</v>
      </c>
      <c r="B905" s="16" t="s">
        <v>963</v>
      </c>
      <c r="C905" s="16" t="s">
        <v>3300</v>
      </c>
      <c r="D905" s="22" t="n">
        <v>46213</v>
      </c>
      <c r="E905" s="16" t="s">
        <v>654</v>
      </c>
    </row>
    <row r="906" customFormat="false" ht="15" hidden="false" customHeight="false" outlineLevel="0" collapsed="false">
      <c r="A906" s="16" t="s">
        <v>4204</v>
      </c>
      <c r="B906" s="16" t="s">
        <v>963</v>
      </c>
      <c r="C906" s="16" t="s">
        <v>3302</v>
      </c>
      <c r="D906" s="22" t="n">
        <v>46231</v>
      </c>
      <c r="E906" s="16" t="s">
        <v>654</v>
      </c>
    </row>
    <row r="907" customFormat="false" ht="15" hidden="false" customHeight="false" outlineLevel="0" collapsed="false">
      <c r="A907" s="16" t="s">
        <v>4205</v>
      </c>
      <c r="B907" s="16" t="s">
        <v>266</v>
      </c>
      <c r="C907" s="16" t="s">
        <v>3306</v>
      </c>
      <c r="D907" s="22" t="n">
        <v>46010</v>
      </c>
      <c r="E907" s="16" t="s">
        <v>831</v>
      </c>
    </row>
    <row r="908" customFormat="false" ht="15" hidden="false" customHeight="false" outlineLevel="0" collapsed="false">
      <c r="A908" s="16" t="s">
        <v>4206</v>
      </c>
      <c r="B908" s="16" t="s">
        <v>266</v>
      </c>
      <c r="C908" s="16" t="s">
        <v>3300</v>
      </c>
      <c r="D908" s="22" t="n">
        <v>46157</v>
      </c>
      <c r="E908" s="16" t="s">
        <v>831</v>
      </c>
    </row>
    <row r="909" customFormat="false" ht="15" hidden="false" customHeight="false" outlineLevel="0" collapsed="false">
      <c r="A909" s="16" t="s">
        <v>4207</v>
      </c>
      <c r="B909" s="16" t="s">
        <v>266</v>
      </c>
      <c r="C909" s="16" t="s">
        <v>3300</v>
      </c>
      <c r="D909" s="22" t="n">
        <v>46249</v>
      </c>
      <c r="E909" s="16" t="s">
        <v>831</v>
      </c>
    </row>
    <row r="910" customFormat="false" ht="15" hidden="false" customHeight="false" outlineLevel="0" collapsed="false">
      <c r="A910" s="16" t="s">
        <v>4208</v>
      </c>
      <c r="B910" s="16" t="s">
        <v>266</v>
      </c>
      <c r="C910" s="16" t="s">
        <v>3298</v>
      </c>
      <c r="D910" s="22" t="n">
        <v>46062</v>
      </c>
      <c r="E910" s="16" t="s">
        <v>831</v>
      </c>
    </row>
    <row r="911" customFormat="false" ht="15" hidden="false" customHeight="false" outlineLevel="0" collapsed="false">
      <c r="A911" s="16" t="s">
        <v>4209</v>
      </c>
      <c r="B911" s="16" t="s">
        <v>266</v>
      </c>
      <c r="C911" s="16" t="s">
        <v>3302</v>
      </c>
      <c r="D911" s="22" t="n">
        <v>46122</v>
      </c>
      <c r="E911" s="16" t="s">
        <v>831</v>
      </c>
    </row>
    <row r="912" customFormat="false" ht="15" hidden="false" customHeight="false" outlineLevel="0" collapsed="false">
      <c r="A912" s="16" t="s">
        <v>4210</v>
      </c>
      <c r="B912" s="16" t="s">
        <v>266</v>
      </c>
      <c r="C912" s="16" t="s">
        <v>3302</v>
      </c>
      <c r="D912" s="22" t="n">
        <v>45943</v>
      </c>
      <c r="E912" s="16" t="s">
        <v>831</v>
      </c>
    </row>
    <row r="913" customFormat="false" ht="15" hidden="false" customHeight="false" outlineLevel="0" collapsed="false">
      <c r="A913" s="16" t="s">
        <v>4211</v>
      </c>
      <c r="B913" s="16" t="s">
        <v>266</v>
      </c>
      <c r="C913" s="16" t="s">
        <v>3330</v>
      </c>
      <c r="D913" s="22" t="n">
        <v>46043</v>
      </c>
      <c r="E913" s="16" t="s">
        <v>831</v>
      </c>
    </row>
    <row r="914" customFormat="false" ht="15" hidden="false" customHeight="false" outlineLevel="0" collapsed="false">
      <c r="A914" s="16" t="s">
        <v>4212</v>
      </c>
      <c r="B914" s="16" t="s">
        <v>266</v>
      </c>
      <c r="C914" s="16" t="s">
        <v>3300</v>
      </c>
      <c r="D914" s="22" t="n">
        <v>46247</v>
      </c>
      <c r="E914" s="16" t="s">
        <v>831</v>
      </c>
    </row>
    <row r="915" customFormat="false" ht="15" hidden="false" customHeight="false" outlineLevel="0" collapsed="false">
      <c r="A915" s="16" t="s">
        <v>4213</v>
      </c>
      <c r="B915" s="16" t="s">
        <v>266</v>
      </c>
      <c r="C915" s="16" t="s">
        <v>3300</v>
      </c>
      <c r="D915" s="22" t="n">
        <v>45940</v>
      </c>
      <c r="E915" s="16" t="s">
        <v>831</v>
      </c>
    </row>
    <row r="916" customFormat="false" ht="15" hidden="false" customHeight="false" outlineLevel="0" collapsed="false">
      <c r="A916" s="16" t="s">
        <v>4214</v>
      </c>
      <c r="B916" s="16" t="s">
        <v>266</v>
      </c>
      <c r="C916" s="16" t="s">
        <v>3310</v>
      </c>
      <c r="D916" s="22" t="n">
        <v>45955</v>
      </c>
      <c r="E916" s="16" t="s">
        <v>831</v>
      </c>
    </row>
    <row r="917" customFormat="false" ht="15" hidden="false" customHeight="false" outlineLevel="0" collapsed="false">
      <c r="A917" s="16" t="s">
        <v>4215</v>
      </c>
      <c r="B917" s="16" t="s">
        <v>317</v>
      </c>
      <c r="C917" s="16" t="s">
        <v>3310</v>
      </c>
      <c r="D917" s="22" t="n">
        <v>45918</v>
      </c>
      <c r="E917" s="16" t="s">
        <v>729</v>
      </c>
    </row>
    <row r="918" customFormat="false" ht="15" hidden="false" customHeight="false" outlineLevel="0" collapsed="false">
      <c r="A918" s="16" t="s">
        <v>4216</v>
      </c>
      <c r="B918" s="16" t="s">
        <v>317</v>
      </c>
      <c r="C918" s="16" t="s">
        <v>3298</v>
      </c>
      <c r="D918" s="22" t="n">
        <v>46235</v>
      </c>
      <c r="E918" s="16" t="s">
        <v>729</v>
      </c>
    </row>
    <row r="919" customFormat="false" ht="15" hidden="false" customHeight="false" outlineLevel="0" collapsed="false">
      <c r="A919" s="16" t="s">
        <v>4217</v>
      </c>
      <c r="B919" s="16" t="s">
        <v>317</v>
      </c>
      <c r="C919" s="16" t="s">
        <v>3306</v>
      </c>
      <c r="D919" s="22" t="n">
        <v>46214</v>
      </c>
      <c r="E919" s="16" t="s">
        <v>729</v>
      </c>
    </row>
    <row r="920" customFormat="false" ht="15" hidden="false" customHeight="false" outlineLevel="0" collapsed="false">
      <c r="A920" s="16" t="s">
        <v>4218</v>
      </c>
      <c r="B920" s="16" t="s">
        <v>317</v>
      </c>
      <c r="C920" s="16" t="s">
        <v>3302</v>
      </c>
      <c r="D920" s="22" t="n">
        <v>46216</v>
      </c>
      <c r="E920" s="16" t="s">
        <v>729</v>
      </c>
    </row>
    <row r="921" customFormat="false" ht="15" hidden="false" customHeight="false" outlineLevel="0" collapsed="false">
      <c r="A921" s="16" t="s">
        <v>4219</v>
      </c>
      <c r="B921" s="16" t="s">
        <v>571</v>
      </c>
      <c r="C921" s="16" t="s">
        <v>3306</v>
      </c>
      <c r="D921" s="22" t="n">
        <v>46056</v>
      </c>
      <c r="E921" s="16" t="s">
        <v>573</v>
      </c>
    </row>
    <row r="922" customFormat="false" ht="15" hidden="false" customHeight="false" outlineLevel="0" collapsed="false">
      <c r="A922" s="16" t="s">
        <v>4220</v>
      </c>
      <c r="B922" s="16" t="s">
        <v>571</v>
      </c>
      <c r="C922" s="16" t="s">
        <v>3298</v>
      </c>
      <c r="D922" s="22" t="n">
        <v>46100</v>
      </c>
      <c r="E922" s="16" t="s">
        <v>573</v>
      </c>
    </row>
    <row r="923" customFormat="false" ht="15" hidden="false" customHeight="false" outlineLevel="0" collapsed="false">
      <c r="A923" s="16" t="s">
        <v>4221</v>
      </c>
      <c r="B923" s="16" t="s">
        <v>571</v>
      </c>
      <c r="C923" s="16" t="s">
        <v>3306</v>
      </c>
      <c r="D923" s="22" t="n">
        <v>45967</v>
      </c>
      <c r="E923" s="16" t="s">
        <v>573</v>
      </c>
    </row>
    <row r="924" customFormat="false" ht="15" hidden="false" customHeight="false" outlineLevel="0" collapsed="false">
      <c r="A924" s="16" t="s">
        <v>4222</v>
      </c>
      <c r="B924" s="16" t="s">
        <v>571</v>
      </c>
      <c r="C924" s="16" t="s">
        <v>3298</v>
      </c>
      <c r="D924" s="22" t="n">
        <v>46191</v>
      </c>
      <c r="E924" s="16" t="s">
        <v>573</v>
      </c>
    </row>
    <row r="925" customFormat="false" ht="15" hidden="false" customHeight="false" outlineLevel="0" collapsed="false">
      <c r="A925" s="16" t="s">
        <v>4223</v>
      </c>
      <c r="B925" s="16" t="s">
        <v>571</v>
      </c>
      <c r="C925" s="16" t="s">
        <v>3298</v>
      </c>
      <c r="D925" s="22" t="n">
        <v>46188</v>
      </c>
      <c r="E925" s="16" t="s">
        <v>573</v>
      </c>
    </row>
    <row r="926" customFormat="false" ht="15" hidden="false" customHeight="false" outlineLevel="0" collapsed="false">
      <c r="A926" s="16" t="s">
        <v>4224</v>
      </c>
      <c r="B926" s="16" t="s">
        <v>571</v>
      </c>
      <c r="C926" s="16" t="s">
        <v>3302</v>
      </c>
      <c r="D926" s="22" t="n">
        <v>46281</v>
      </c>
      <c r="E926" s="16" t="s">
        <v>573</v>
      </c>
    </row>
    <row r="927" customFormat="false" ht="15" hidden="false" customHeight="false" outlineLevel="0" collapsed="false">
      <c r="A927" s="16" t="s">
        <v>4225</v>
      </c>
      <c r="B927" s="16" t="s">
        <v>571</v>
      </c>
      <c r="C927" s="16" t="s">
        <v>3310</v>
      </c>
      <c r="D927" s="22" t="n">
        <v>45984</v>
      </c>
      <c r="E927" s="16" t="s">
        <v>573</v>
      </c>
    </row>
    <row r="928" customFormat="false" ht="15" hidden="false" customHeight="false" outlineLevel="0" collapsed="false">
      <c r="A928" s="16" t="s">
        <v>4226</v>
      </c>
      <c r="B928" s="16" t="s">
        <v>571</v>
      </c>
      <c r="C928" s="16" t="s">
        <v>3298</v>
      </c>
      <c r="D928" s="22" t="n">
        <v>46307</v>
      </c>
      <c r="E928" s="16" t="s">
        <v>573</v>
      </c>
    </row>
    <row r="929" customFormat="false" ht="15" hidden="false" customHeight="false" outlineLevel="0" collapsed="false">
      <c r="A929" s="16" t="s">
        <v>4227</v>
      </c>
      <c r="B929" s="16" t="s">
        <v>571</v>
      </c>
      <c r="C929" s="16" t="s">
        <v>3298</v>
      </c>
      <c r="D929" s="22" t="n">
        <v>46168</v>
      </c>
      <c r="E929" s="16" t="s">
        <v>573</v>
      </c>
    </row>
    <row r="930" customFormat="false" ht="15" hidden="false" customHeight="false" outlineLevel="0" collapsed="false">
      <c r="A930" s="16" t="s">
        <v>4228</v>
      </c>
      <c r="B930" s="16" t="s">
        <v>571</v>
      </c>
      <c r="C930" s="16" t="s">
        <v>3306</v>
      </c>
      <c r="D930" s="22" t="n">
        <v>45928</v>
      </c>
      <c r="E930" s="16" t="s">
        <v>573</v>
      </c>
    </row>
    <row r="931" customFormat="false" ht="15" hidden="false" customHeight="false" outlineLevel="0" collapsed="false">
      <c r="A931" s="16" t="s">
        <v>4229</v>
      </c>
      <c r="B931" s="16" t="s">
        <v>448</v>
      </c>
      <c r="C931" s="16" t="s">
        <v>3302</v>
      </c>
      <c r="D931" s="22" t="n">
        <v>46011</v>
      </c>
      <c r="E931" s="16" t="s">
        <v>860</v>
      </c>
    </row>
    <row r="932" customFormat="false" ht="15" hidden="false" customHeight="false" outlineLevel="0" collapsed="false">
      <c r="A932" s="16" t="s">
        <v>4230</v>
      </c>
      <c r="B932" s="16" t="s">
        <v>448</v>
      </c>
      <c r="C932" s="16" t="s">
        <v>3300</v>
      </c>
      <c r="D932" s="22" t="n">
        <v>46162</v>
      </c>
      <c r="E932" s="16" t="s">
        <v>860</v>
      </c>
    </row>
    <row r="933" customFormat="false" ht="15" hidden="false" customHeight="false" outlineLevel="0" collapsed="false">
      <c r="A933" s="16" t="s">
        <v>4231</v>
      </c>
      <c r="B933" s="16" t="s">
        <v>448</v>
      </c>
      <c r="C933" s="16" t="s">
        <v>3298</v>
      </c>
      <c r="D933" s="22" t="n">
        <v>46156</v>
      </c>
      <c r="E933" s="16" t="s">
        <v>860</v>
      </c>
    </row>
    <row r="934" customFormat="false" ht="15" hidden="false" customHeight="false" outlineLevel="0" collapsed="false">
      <c r="A934" s="16" t="s">
        <v>4232</v>
      </c>
      <c r="B934" s="16" t="s">
        <v>456</v>
      </c>
      <c r="C934" s="16" t="s">
        <v>3306</v>
      </c>
      <c r="D934" s="22" t="n">
        <v>46015</v>
      </c>
      <c r="E934" s="16" t="s">
        <v>622</v>
      </c>
    </row>
    <row r="935" customFormat="false" ht="15" hidden="false" customHeight="false" outlineLevel="0" collapsed="false">
      <c r="A935" s="16" t="s">
        <v>4233</v>
      </c>
      <c r="B935" s="16" t="s">
        <v>456</v>
      </c>
      <c r="C935" s="16" t="s">
        <v>3306</v>
      </c>
      <c r="D935" s="22" t="n">
        <v>45992</v>
      </c>
      <c r="E935" s="16" t="s">
        <v>622</v>
      </c>
    </row>
    <row r="936" customFormat="false" ht="15" hidden="false" customHeight="false" outlineLevel="0" collapsed="false">
      <c r="A936" s="16" t="s">
        <v>4234</v>
      </c>
      <c r="B936" s="16" t="s">
        <v>456</v>
      </c>
      <c r="C936" s="16" t="s">
        <v>3298</v>
      </c>
      <c r="D936" s="22" t="n">
        <v>46254</v>
      </c>
      <c r="E936" s="16" t="s">
        <v>622</v>
      </c>
    </row>
    <row r="937" customFormat="false" ht="15" hidden="false" customHeight="false" outlineLevel="0" collapsed="false">
      <c r="A937" s="16" t="s">
        <v>4235</v>
      </c>
      <c r="B937" s="16" t="s">
        <v>456</v>
      </c>
      <c r="C937" s="16" t="s">
        <v>3310</v>
      </c>
      <c r="D937" s="22" t="n">
        <v>46177</v>
      </c>
      <c r="E937" s="16" t="s">
        <v>622</v>
      </c>
    </row>
    <row r="938" customFormat="false" ht="15" hidden="false" customHeight="false" outlineLevel="0" collapsed="false">
      <c r="A938" s="16" t="s">
        <v>4236</v>
      </c>
      <c r="B938" s="16" t="s">
        <v>1289</v>
      </c>
      <c r="C938" s="16" t="s">
        <v>3306</v>
      </c>
      <c r="D938" s="22" t="n">
        <v>46196</v>
      </c>
      <c r="E938" s="16" t="s">
        <v>880</v>
      </c>
    </row>
    <row r="939" customFormat="false" ht="15" hidden="false" customHeight="false" outlineLevel="0" collapsed="false">
      <c r="A939" s="16" t="s">
        <v>4237</v>
      </c>
      <c r="B939" s="16" t="s">
        <v>1289</v>
      </c>
      <c r="C939" s="16" t="s">
        <v>3330</v>
      </c>
      <c r="D939" s="22" t="n">
        <v>46085</v>
      </c>
      <c r="E939" s="16" t="s">
        <v>880</v>
      </c>
    </row>
    <row r="940" customFormat="false" ht="15" hidden="false" customHeight="false" outlineLevel="0" collapsed="false">
      <c r="A940" s="16" t="s">
        <v>4238</v>
      </c>
      <c r="B940" s="16" t="s">
        <v>1289</v>
      </c>
      <c r="C940" s="16" t="s">
        <v>3330</v>
      </c>
      <c r="D940" s="22" t="n">
        <v>45955</v>
      </c>
      <c r="E940" s="16" t="s">
        <v>880</v>
      </c>
    </row>
    <row r="941" customFormat="false" ht="15" hidden="false" customHeight="false" outlineLevel="0" collapsed="false">
      <c r="A941" s="16" t="s">
        <v>4239</v>
      </c>
      <c r="B941" s="16" t="s">
        <v>1289</v>
      </c>
      <c r="C941" s="16" t="s">
        <v>3310</v>
      </c>
      <c r="D941" s="22" t="n">
        <v>45978</v>
      </c>
      <c r="E941" s="16" t="s">
        <v>880</v>
      </c>
    </row>
    <row r="942" customFormat="false" ht="15" hidden="false" customHeight="false" outlineLevel="0" collapsed="false">
      <c r="A942" s="16" t="s">
        <v>4240</v>
      </c>
      <c r="B942" s="16" t="s">
        <v>1292</v>
      </c>
      <c r="C942" s="16" t="s">
        <v>3330</v>
      </c>
      <c r="D942" s="22" t="n">
        <v>45974</v>
      </c>
      <c r="E942" s="16" t="s">
        <v>831</v>
      </c>
    </row>
    <row r="943" customFormat="false" ht="15" hidden="false" customHeight="false" outlineLevel="0" collapsed="false">
      <c r="A943" s="16" t="s">
        <v>4241</v>
      </c>
      <c r="B943" s="16" t="s">
        <v>1292</v>
      </c>
      <c r="C943" s="16" t="s">
        <v>3330</v>
      </c>
      <c r="D943" s="22" t="n">
        <v>46044</v>
      </c>
      <c r="E943" s="16" t="s">
        <v>831</v>
      </c>
    </row>
    <row r="944" customFormat="false" ht="15" hidden="false" customHeight="false" outlineLevel="0" collapsed="false">
      <c r="A944" s="16" t="s">
        <v>4242</v>
      </c>
      <c r="B944" s="16" t="s">
        <v>1292</v>
      </c>
      <c r="C944" s="16" t="s">
        <v>3330</v>
      </c>
      <c r="D944" s="22" t="n">
        <v>46230</v>
      </c>
      <c r="E944" s="16" t="s">
        <v>831</v>
      </c>
    </row>
    <row r="945" customFormat="false" ht="15" hidden="false" customHeight="false" outlineLevel="0" collapsed="false">
      <c r="A945" s="16" t="s">
        <v>4243</v>
      </c>
      <c r="B945" s="16" t="s">
        <v>1292</v>
      </c>
      <c r="C945" s="16" t="s">
        <v>3302</v>
      </c>
      <c r="D945" s="22" t="n">
        <v>46133</v>
      </c>
      <c r="E945" s="16" t="s">
        <v>831</v>
      </c>
    </row>
    <row r="946" customFormat="false" ht="15" hidden="false" customHeight="false" outlineLevel="0" collapsed="false">
      <c r="A946" s="16" t="s">
        <v>4244</v>
      </c>
      <c r="B946" s="16" t="s">
        <v>1292</v>
      </c>
      <c r="C946" s="16" t="s">
        <v>3300</v>
      </c>
      <c r="D946" s="22" t="n">
        <v>46191</v>
      </c>
      <c r="E946" s="16" t="s">
        <v>831</v>
      </c>
    </row>
    <row r="947" customFormat="false" ht="15" hidden="false" customHeight="false" outlineLevel="0" collapsed="false">
      <c r="A947" s="16" t="s">
        <v>4245</v>
      </c>
      <c r="B947" s="16" t="s">
        <v>1292</v>
      </c>
      <c r="C947" s="16" t="s">
        <v>3302</v>
      </c>
      <c r="D947" s="22" t="n">
        <v>46021</v>
      </c>
      <c r="E947" s="16" t="s">
        <v>831</v>
      </c>
    </row>
    <row r="948" customFormat="false" ht="15" hidden="false" customHeight="false" outlineLevel="0" collapsed="false">
      <c r="A948" s="16" t="s">
        <v>4246</v>
      </c>
      <c r="B948" s="16" t="s">
        <v>743</v>
      </c>
      <c r="C948" s="16" t="s">
        <v>3302</v>
      </c>
      <c r="D948" s="22" t="n">
        <v>46202</v>
      </c>
      <c r="E948" s="16" t="s">
        <v>622</v>
      </c>
    </row>
    <row r="949" customFormat="false" ht="15" hidden="false" customHeight="false" outlineLevel="0" collapsed="false">
      <c r="A949" s="16" t="s">
        <v>4247</v>
      </c>
      <c r="B949" s="16" t="s">
        <v>743</v>
      </c>
      <c r="C949" s="16" t="s">
        <v>3330</v>
      </c>
      <c r="D949" s="22" t="n">
        <v>46044</v>
      </c>
      <c r="E949" s="16" t="s">
        <v>622</v>
      </c>
    </row>
    <row r="950" customFormat="false" ht="15" hidden="false" customHeight="false" outlineLevel="0" collapsed="false">
      <c r="A950" s="16" t="s">
        <v>4248</v>
      </c>
      <c r="B950" s="16" t="s">
        <v>743</v>
      </c>
      <c r="C950" s="16" t="s">
        <v>3302</v>
      </c>
      <c r="D950" s="22" t="n">
        <v>46037</v>
      </c>
      <c r="E950" s="16" t="s">
        <v>622</v>
      </c>
    </row>
    <row r="951" customFormat="false" ht="15" hidden="false" customHeight="false" outlineLevel="0" collapsed="false">
      <c r="A951" s="16" t="s">
        <v>4249</v>
      </c>
      <c r="B951" s="16" t="s">
        <v>182</v>
      </c>
      <c r="C951" s="16" t="s">
        <v>3302</v>
      </c>
      <c r="D951" s="22" t="n">
        <v>46103</v>
      </c>
      <c r="E951" s="16" t="s">
        <v>573</v>
      </c>
    </row>
    <row r="952" customFormat="false" ht="15" hidden="false" customHeight="false" outlineLevel="0" collapsed="false">
      <c r="A952" s="16" t="s">
        <v>4250</v>
      </c>
      <c r="B952" s="16" t="s">
        <v>182</v>
      </c>
      <c r="C952" s="16" t="s">
        <v>3306</v>
      </c>
      <c r="D952" s="22" t="n">
        <v>45992</v>
      </c>
      <c r="E952" s="16" t="s">
        <v>573</v>
      </c>
    </row>
    <row r="953" customFormat="false" ht="15" hidden="false" customHeight="false" outlineLevel="0" collapsed="false">
      <c r="A953" s="16" t="s">
        <v>4251</v>
      </c>
      <c r="B953" s="16" t="s">
        <v>182</v>
      </c>
      <c r="C953" s="16" t="s">
        <v>3298</v>
      </c>
      <c r="D953" s="22" t="n">
        <v>46197</v>
      </c>
      <c r="E953" s="16" t="s">
        <v>573</v>
      </c>
    </row>
    <row r="954" customFormat="false" ht="15" hidden="false" customHeight="false" outlineLevel="0" collapsed="false">
      <c r="A954" s="16" t="s">
        <v>4252</v>
      </c>
      <c r="B954" s="16" t="s">
        <v>182</v>
      </c>
      <c r="C954" s="16" t="s">
        <v>3302</v>
      </c>
      <c r="D954" s="22" t="n">
        <v>45948</v>
      </c>
      <c r="E954" s="16" t="s">
        <v>573</v>
      </c>
    </row>
    <row r="955" customFormat="false" ht="15" hidden="false" customHeight="false" outlineLevel="0" collapsed="false">
      <c r="A955" s="16" t="s">
        <v>4253</v>
      </c>
      <c r="B955" s="16" t="s">
        <v>182</v>
      </c>
      <c r="C955" s="16" t="s">
        <v>3300</v>
      </c>
      <c r="D955" s="22" t="n">
        <v>46035</v>
      </c>
      <c r="E955" s="16" t="s">
        <v>573</v>
      </c>
    </row>
    <row r="956" customFormat="false" ht="15" hidden="false" customHeight="false" outlineLevel="0" collapsed="false">
      <c r="A956" s="16" t="s">
        <v>4254</v>
      </c>
      <c r="B956" s="16" t="s">
        <v>182</v>
      </c>
      <c r="C956" s="16" t="s">
        <v>3298</v>
      </c>
      <c r="D956" s="22" t="n">
        <v>46291</v>
      </c>
      <c r="E956" s="16" t="s">
        <v>573</v>
      </c>
    </row>
    <row r="957" customFormat="false" ht="15" hidden="false" customHeight="false" outlineLevel="0" collapsed="false">
      <c r="A957" s="16" t="s">
        <v>4255</v>
      </c>
      <c r="B957" s="16" t="s">
        <v>182</v>
      </c>
      <c r="C957" s="16" t="s">
        <v>3298</v>
      </c>
      <c r="D957" s="22" t="n">
        <v>45997</v>
      </c>
      <c r="E957" s="16" t="s">
        <v>573</v>
      </c>
    </row>
    <row r="958" customFormat="false" ht="15" hidden="false" customHeight="false" outlineLevel="0" collapsed="false">
      <c r="A958" s="16" t="s">
        <v>4256</v>
      </c>
      <c r="B958" s="16" t="s">
        <v>182</v>
      </c>
      <c r="C958" s="16" t="s">
        <v>3300</v>
      </c>
      <c r="D958" s="22" t="n">
        <v>46019</v>
      </c>
      <c r="E958" s="16" t="s">
        <v>573</v>
      </c>
    </row>
    <row r="959" customFormat="false" ht="15" hidden="false" customHeight="false" outlineLevel="0" collapsed="false">
      <c r="A959" s="16" t="s">
        <v>4257</v>
      </c>
      <c r="B959" s="16" t="s">
        <v>810</v>
      </c>
      <c r="C959" s="16" t="s">
        <v>3310</v>
      </c>
      <c r="D959" s="22" t="n">
        <v>46254</v>
      </c>
      <c r="E959" s="16" t="s">
        <v>583</v>
      </c>
    </row>
    <row r="960" customFormat="false" ht="15" hidden="false" customHeight="false" outlineLevel="0" collapsed="false">
      <c r="A960" s="16" t="s">
        <v>4258</v>
      </c>
      <c r="B960" s="16" t="s">
        <v>810</v>
      </c>
      <c r="C960" s="16" t="s">
        <v>3302</v>
      </c>
      <c r="D960" s="22" t="n">
        <v>46257</v>
      </c>
      <c r="E960" s="16" t="s">
        <v>583</v>
      </c>
    </row>
    <row r="961" customFormat="false" ht="15" hidden="false" customHeight="false" outlineLevel="0" collapsed="false">
      <c r="A961" s="16" t="s">
        <v>4259</v>
      </c>
      <c r="B961" s="16" t="s">
        <v>810</v>
      </c>
      <c r="C961" s="16" t="s">
        <v>3306</v>
      </c>
      <c r="D961" s="22" t="n">
        <v>46204</v>
      </c>
      <c r="E961" s="16" t="s">
        <v>583</v>
      </c>
    </row>
    <row r="962" customFormat="false" ht="15" hidden="false" customHeight="false" outlineLevel="0" collapsed="false">
      <c r="A962" s="16" t="s">
        <v>4260</v>
      </c>
      <c r="B962" s="16" t="s">
        <v>810</v>
      </c>
      <c r="C962" s="16" t="s">
        <v>3302</v>
      </c>
      <c r="D962" s="22" t="n">
        <v>46176</v>
      </c>
      <c r="E962" s="16" t="s">
        <v>583</v>
      </c>
    </row>
    <row r="963" customFormat="false" ht="15" hidden="false" customHeight="false" outlineLevel="0" collapsed="false">
      <c r="A963" s="16" t="s">
        <v>4261</v>
      </c>
      <c r="B963" s="16" t="s">
        <v>810</v>
      </c>
      <c r="C963" s="16" t="s">
        <v>3306</v>
      </c>
      <c r="D963" s="22" t="n">
        <v>46103</v>
      </c>
      <c r="E963" s="16" t="s">
        <v>583</v>
      </c>
    </row>
    <row r="964" customFormat="false" ht="15" hidden="false" customHeight="false" outlineLevel="0" collapsed="false">
      <c r="A964" s="16" t="s">
        <v>4262</v>
      </c>
      <c r="B964" s="16" t="s">
        <v>810</v>
      </c>
      <c r="C964" s="16" t="s">
        <v>3300</v>
      </c>
      <c r="D964" s="22" t="n">
        <v>45968</v>
      </c>
      <c r="E964" s="16" t="s">
        <v>583</v>
      </c>
    </row>
    <row r="965" customFormat="false" ht="15" hidden="false" customHeight="false" outlineLevel="0" collapsed="false">
      <c r="A965" s="16" t="s">
        <v>4263</v>
      </c>
      <c r="B965" s="16" t="s">
        <v>810</v>
      </c>
      <c r="C965" s="16" t="s">
        <v>3302</v>
      </c>
      <c r="D965" s="22" t="n">
        <v>46217</v>
      </c>
      <c r="E965" s="16" t="s">
        <v>583</v>
      </c>
    </row>
    <row r="966" customFormat="false" ht="15" hidden="false" customHeight="false" outlineLevel="0" collapsed="false">
      <c r="A966" s="16" t="s">
        <v>4264</v>
      </c>
      <c r="B966" s="16" t="s">
        <v>254</v>
      </c>
      <c r="C966" s="16" t="s">
        <v>3306</v>
      </c>
      <c r="D966" s="22" t="n">
        <v>46169</v>
      </c>
      <c r="E966" s="16" t="s">
        <v>663</v>
      </c>
    </row>
    <row r="967" customFormat="false" ht="15" hidden="false" customHeight="false" outlineLevel="0" collapsed="false">
      <c r="A967" s="16" t="s">
        <v>4265</v>
      </c>
      <c r="B967" s="16" t="s">
        <v>254</v>
      </c>
      <c r="C967" s="16" t="s">
        <v>3300</v>
      </c>
      <c r="D967" s="22" t="n">
        <v>46293</v>
      </c>
      <c r="E967" s="16" t="s">
        <v>663</v>
      </c>
    </row>
    <row r="968" customFormat="false" ht="15" hidden="false" customHeight="false" outlineLevel="0" collapsed="false">
      <c r="A968" s="16" t="s">
        <v>4266</v>
      </c>
      <c r="B968" s="16" t="s">
        <v>254</v>
      </c>
      <c r="C968" s="16" t="s">
        <v>3298</v>
      </c>
      <c r="D968" s="22" t="n">
        <v>45998</v>
      </c>
      <c r="E968" s="16" t="s">
        <v>663</v>
      </c>
    </row>
    <row r="969" customFormat="false" ht="15" hidden="false" customHeight="false" outlineLevel="0" collapsed="false">
      <c r="A969" s="16" t="s">
        <v>4267</v>
      </c>
      <c r="B969" s="16" t="s">
        <v>254</v>
      </c>
      <c r="C969" s="16" t="s">
        <v>3306</v>
      </c>
      <c r="D969" s="22" t="n">
        <v>46095</v>
      </c>
      <c r="E969" s="16" t="s">
        <v>663</v>
      </c>
    </row>
    <row r="970" customFormat="false" ht="15" hidden="false" customHeight="false" outlineLevel="0" collapsed="false">
      <c r="A970" s="16" t="s">
        <v>4268</v>
      </c>
      <c r="B970" s="16" t="s">
        <v>258</v>
      </c>
      <c r="C970" s="16" t="s">
        <v>3298</v>
      </c>
      <c r="D970" s="22" t="n">
        <v>46224</v>
      </c>
      <c r="E970" s="16" t="s">
        <v>600</v>
      </c>
    </row>
    <row r="971" customFormat="false" ht="15" hidden="false" customHeight="false" outlineLevel="0" collapsed="false">
      <c r="A971" s="16" t="s">
        <v>4269</v>
      </c>
      <c r="B971" s="16" t="s">
        <v>258</v>
      </c>
      <c r="C971" s="16" t="s">
        <v>3300</v>
      </c>
      <c r="D971" s="22" t="n">
        <v>45955</v>
      </c>
      <c r="E971" s="16" t="s">
        <v>600</v>
      </c>
    </row>
    <row r="972" customFormat="false" ht="15" hidden="false" customHeight="false" outlineLevel="0" collapsed="false">
      <c r="A972" s="16" t="s">
        <v>4270</v>
      </c>
      <c r="B972" s="16" t="s">
        <v>258</v>
      </c>
      <c r="C972" s="16" t="s">
        <v>3298</v>
      </c>
      <c r="D972" s="22" t="n">
        <v>46045</v>
      </c>
      <c r="E972" s="16" t="s">
        <v>600</v>
      </c>
    </row>
    <row r="973" customFormat="false" ht="15" hidden="false" customHeight="false" outlineLevel="0" collapsed="false">
      <c r="A973" s="16" t="s">
        <v>4271</v>
      </c>
      <c r="B973" s="16" t="s">
        <v>258</v>
      </c>
      <c r="C973" s="16" t="s">
        <v>3330</v>
      </c>
      <c r="D973" s="22" t="n">
        <v>46177</v>
      </c>
      <c r="E973" s="16" t="s">
        <v>600</v>
      </c>
    </row>
    <row r="974" customFormat="false" ht="15" hidden="false" customHeight="false" outlineLevel="0" collapsed="false">
      <c r="A974" s="16" t="s">
        <v>4272</v>
      </c>
      <c r="B974" s="16" t="s">
        <v>258</v>
      </c>
      <c r="C974" s="16" t="s">
        <v>3300</v>
      </c>
      <c r="D974" s="22" t="n">
        <v>46159</v>
      </c>
      <c r="E974" s="16" t="s">
        <v>600</v>
      </c>
    </row>
    <row r="975" customFormat="false" ht="15" hidden="false" customHeight="false" outlineLevel="0" collapsed="false">
      <c r="A975" s="16" t="s">
        <v>4273</v>
      </c>
      <c r="B975" s="16" t="s">
        <v>258</v>
      </c>
      <c r="C975" s="16" t="s">
        <v>3310</v>
      </c>
      <c r="D975" s="22" t="n">
        <v>46017</v>
      </c>
      <c r="E975" s="16" t="s">
        <v>600</v>
      </c>
    </row>
    <row r="976" customFormat="false" ht="15" hidden="false" customHeight="false" outlineLevel="0" collapsed="false">
      <c r="A976" s="16" t="s">
        <v>4274</v>
      </c>
      <c r="B976" s="16" t="s">
        <v>258</v>
      </c>
      <c r="C976" s="16" t="s">
        <v>3302</v>
      </c>
      <c r="D976" s="22" t="n">
        <v>46090</v>
      </c>
      <c r="E976" s="16" t="s">
        <v>600</v>
      </c>
    </row>
    <row r="977" customFormat="false" ht="15" hidden="false" customHeight="false" outlineLevel="0" collapsed="false">
      <c r="A977" s="16" t="s">
        <v>4275</v>
      </c>
      <c r="B977" s="16" t="s">
        <v>309</v>
      </c>
      <c r="C977" s="16" t="s">
        <v>3330</v>
      </c>
      <c r="D977" s="22" t="n">
        <v>46283</v>
      </c>
      <c r="E977" s="16" t="s">
        <v>596</v>
      </c>
    </row>
    <row r="978" customFormat="false" ht="15" hidden="false" customHeight="false" outlineLevel="0" collapsed="false">
      <c r="A978" s="16" t="s">
        <v>4276</v>
      </c>
      <c r="B978" s="16" t="s">
        <v>939</v>
      </c>
      <c r="C978" s="16" t="s">
        <v>3330</v>
      </c>
      <c r="D978" s="22" t="n">
        <v>46117</v>
      </c>
      <c r="E978" s="16" t="s">
        <v>860</v>
      </c>
    </row>
    <row r="979" customFormat="false" ht="15" hidden="false" customHeight="false" outlineLevel="0" collapsed="false">
      <c r="A979" s="16" t="s">
        <v>4277</v>
      </c>
      <c r="B979" s="16" t="s">
        <v>939</v>
      </c>
      <c r="C979" s="16" t="s">
        <v>3330</v>
      </c>
      <c r="D979" s="22" t="n">
        <v>46044</v>
      </c>
      <c r="E979" s="16" t="s">
        <v>860</v>
      </c>
    </row>
    <row r="980" customFormat="false" ht="15" hidden="false" customHeight="false" outlineLevel="0" collapsed="false">
      <c r="A980" s="16" t="s">
        <v>4278</v>
      </c>
      <c r="B980" s="16" t="s">
        <v>408</v>
      </c>
      <c r="C980" s="16" t="s">
        <v>3300</v>
      </c>
      <c r="D980" s="22" t="n">
        <v>46152</v>
      </c>
      <c r="E980" s="16" t="s">
        <v>622</v>
      </c>
    </row>
    <row r="981" customFormat="false" ht="15" hidden="false" customHeight="false" outlineLevel="0" collapsed="false">
      <c r="A981" s="16" t="s">
        <v>4279</v>
      </c>
      <c r="B981" s="16" t="s">
        <v>2855</v>
      </c>
      <c r="C981" s="16" t="s">
        <v>3300</v>
      </c>
      <c r="D981" s="22" t="n">
        <v>45939</v>
      </c>
      <c r="E981" s="16" t="s">
        <v>704</v>
      </c>
    </row>
    <row r="982" customFormat="false" ht="15" hidden="false" customHeight="false" outlineLevel="0" collapsed="false">
      <c r="A982" s="16" t="s">
        <v>4280</v>
      </c>
      <c r="B982" s="16" t="s">
        <v>2855</v>
      </c>
      <c r="C982" s="16" t="s">
        <v>3330</v>
      </c>
      <c r="D982" s="22" t="n">
        <v>46159</v>
      </c>
      <c r="E982" s="16" t="s">
        <v>704</v>
      </c>
    </row>
    <row r="983" customFormat="false" ht="15" hidden="false" customHeight="false" outlineLevel="0" collapsed="false">
      <c r="A983" s="16" t="s">
        <v>4281</v>
      </c>
      <c r="B983" s="16" t="s">
        <v>260</v>
      </c>
      <c r="C983" s="16" t="s">
        <v>3330</v>
      </c>
      <c r="D983" s="22" t="n">
        <v>46076</v>
      </c>
      <c r="E983" s="16" t="s">
        <v>691</v>
      </c>
    </row>
    <row r="984" customFormat="false" ht="15" hidden="false" customHeight="false" outlineLevel="0" collapsed="false">
      <c r="A984" s="16" t="s">
        <v>4282</v>
      </c>
      <c r="B984" s="16" t="s">
        <v>210</v>
      </c>
      <c r="C984" s="16" t="s">
        <v>3330</v>
      </c>
      <c r="D984" s="22" t="n">
        <v>46124</v>
      </c>
      <c r="E984" s="16" t="s">
        <v>654</v>
      </c>
    </row>
    <row r="985" customFormat="false" ht="15" hidden="false" customHeight="false" outlineLevel="0" collapsed="false">
      <c r="A985" s="16" t="s">
        <v>4283</v>
      </c>
      <c r="B985" s="16" t="s">
        <v>210</v>
      </c>
      <c r="C985" s="16" t="s">
        <v>3306</v>
      </c>
      <c r="D985" s="22" t="n">
        <v>46037</v>
      </c>
      <c r="E985" s="16" t="s">
        <v>654</v>
      </c>
    </row>
    <row r="986" customFormat="false" ht="15" hidden="false" customHeight="false" outlineLevel="0" collapsed="false">
      <c r="A986" s="16" t="s">
        <v>4284</v>
      </c>
      <c r="B986" s="16" t="s">
        <v>210</v>
      </c>
      <c r="C986" s="16" t="s">
        <v>3306</v>
      </c>
      <c r="D986" s="22" t="n">
        <v>46189</v>
      </c>
      <c r="E986" s="16" t="s">
        <v>654</v>
      </c>
    </row>
    <row r="987" customFormat="false" ht="15" hidden="false" customHeight="false" outlineLevel="0" collapsed="false">
      <c r="A987" s="16" t="s">
        <v>4285</v>
      </c>
      <c r="B987" s="16" t="s">
        <v>2862</v>
      </c>
      <c r="C987" s="16" t="s">
        <v>3310</v>
      </c>
      <c r="D987" s="22" t="n">
        <v>46108</v>
      </c>
      <c r="E987" s="16" t="s">
        <v>622</v>
      </c>
    </row>
    <row r="988" customFormat="false" ht="15" hidden="false" customHeight="false" outlineLevel="0" collapsed="false">
      <c r="A988" s="16" t="s">
        <v>4286</v>
      </c>
      <c r="B988" s="16" t="s">
        <v>2862</v>
      </c>
      <c r="C988" s="16" t="s">
        <v>3310</v>
      </c>
      <c r="D988" s="22" t="n">
        <v>46204</v>
      </c>
      <c r="E988" s="16" t="s">
        <v>622</v>
      </c>
    </row>
    <row r="989" customFormat="false" ht="15" hidden="false" customHeight="false" outlineLevel="0" collapsed="false">
      <c r="A989" s="16" t="s">
        <v>4287</v>
      </c>
      <c r="B989" s="16" t="s">
        <v>2862</v>
      </c>
      <c r="C989" s="16" t="s">
        <v>3302</v>
      </c>
      <c r="D989" s="22" t="n">
        <v>46164</v>
      </c>
      <c r="E989" s="16" t="s">
        <v>622</v>
      </c>
    </row>
    <row r="990" customFormat="false" ht="15" hidden="false" customHeight="false" outlineLevel="0" collapsed="false">
      <c r="A990" s="16" t="s">
        <v>4288</v>
      </c>
      <c r="B990" s="16" t="s">
        <v>415</v>
      </c>
      <c r="C990" s="16" t="s">
        <v>3302</v>
      </c>
      <c r="D990" s="22" t="n">
        <v>46027</v>
      </c>
      <c r="E990" s="16" t="s">
        <v>633</v>
      </c>
    </row>
    <row r="991" customFormat="false" ht="15" hidden="false" customHeight="false" outlineLevel="0" collapsed="false">
      <c r="A991" s="16" t="s">
        <v>4289</v>
      </c>
      <c r="B991" s="16" t="s">
        <v>462</v>
      </c>
      <c r="C991" s="16" t="s">
        <v>3310</v>
      </c>
      <c r="D991" s="22" t="n">
        <v>46105</v>
      </c>
      <c r="E991" s="16" t="s">
        <v>604</v>
      </c>
    </row>
    <row r="992" customFormat="false" ht="15" hidden="false" customHeight="false" outlineLevel="0" collapsed="false">
      <c r="A992" s="16" t="s">
        <v>4290</v>
      </c>
      <c r="B992" s="16" t="s">
        <v>462</v>
      </c>
      <c r="C992" s="16" t="s">
        <v>3310</v>
      </c>
      <c r="D992" s="22" t="n">
        <v>46074</v>
      </c>
      <c r="E992" s="16" t="s">
        <v>604</v>
      </c>
    </row>
    <row r="993" customFormat="false" ht="15" hidden="false" customHeight="false" outlineLevel="0" collapsed="false">
      <c r="A993" s="16" t="s">
        <v>4291</v>
      </c>
      <c r="B993" s="16" t="s">
        <v>462</v>
      </c>
      <c r="C993" s="16" t="s">
        <v>3302</v>
      </c>
      <c r="D993" s="22" t="n">
        <v>46140</v>
      </c>
      <c r="E993" s="16" t="s">
        <v>604</v>
      </c>
    </row>
    <row r="994" customFormat="false" ht="15" hidden="false" customHeight="false" outlineLevel="0" collapsed="false">
      <c r="A994" s="16" t="s">
        <v>4292</v>
      </c>
      <c r="B994" s="16" t="s">
        <v>462</v>
      </c>
      <c r="C994" s="16" t="s">
        <v>3306</v>
      </c>
      <c r="D994" s="22" t="n">
        <v>46137</v>
      </c>
      <c r="E994" s="16" t="s">
        <v>604</v>
      </c>
    </row>
    <row r="995" customFormat="false" ht="15" hidden="false" customHeight="false" outlineLevel="0" collapsed="false">
      <c r="A995" s="16" t="s">
        <v>4293</v>
      </c>
      <c r="B995" s="16" t="s">
        <v>1920</v>
      </c>
      <c r="C995" s="16" t="s">
        <v>3302</v>
      </c>
      <c r="D995" s="22" t="n">
        <v>46135</v>
      </c>
      <c r="E995" s="16" t="s">
        <v>637</v>
      </c>
    </row>
    <row r="996" customFormat="false" ht="15" hidden="false" customHeight="false" outlineLevel="0" collapsed="false">
      <c r="A996" s="16" t="s">
        <v>4294</v>
      </c>
      <c r="B996" s="16" t="s">
        <v>1920</v>
      </c>
      <c r="C996" s="16" t="s">
        <v>3302</v>
      </c>
      <c r="D996" s="22" t="n">
        <v>46071</v>
      </c>
      <c r="E996" s="16" t="s">
        <v>637</v>
      </c>
    </row>
    <row r="997" customFormat="false" ht="15" hidden="false" customHeight="false" outlineLevel="0" collapsed="false">
      <c r="A997" s="16" t="s">
        <v>4295</v>
      </c>
      <c r="B997" s="16" t="s">
        <v>1920</v>
      </c>
      <c r="C997" s="16" t="s">
        <v>3306</v>
      </c>
      <c r="D997" s="22" t="n">
        <v>46073</v>
      </c>
      <c r="E997" s="16" t="s">
        <v>637</v>
      </c>
    </row>
    <row r="998" customFormat="false" ht="15" hidden="false" customHeight="false" outlineLevel="0" collapsed="false">
      <c r="A998" s="16" t="s">
        <v>4296</v>
      </c>
      <c r="B998" s="16" t="s">
        <v>334</v>
      </c>
      <c r="C998" s="16" t="s">
        <v>3330</v>
      </c>
      <c r="D998" s="22" t="n">
        <v>46244</v>
      </c>
      <c r="E998" s="16" t="s">
        <v>765</v>
      </c>
    </row>
    <row r="999" customFormat="false" ht="15" hidden="false" customHeight="false" outlineLevel="0" collapsed="false">
      <c r="A999" s="16" t="s">
        <v>4297</v>
      </c>
      <c r="B999" s="16" t="s">
        <v>2873</v>
      </c>
      <c r="C999" s="16" t="s">
        <v>3306</v>
      </c>
      <c r="D999" s="22" t="n">
        <v>45959</v>
      </c>
      <c r="E999" s="16" t="s">
        <v>666</v>
      </c>
    </row>
    <row r="1000" customFormat="false" ht="15" hidden="false" customHeight="false" outlineLevel="0" collapsed="false">
      <c r="A1000" s="16" t="s">
        <v>4298</v>
      </c>
      <c r="B1000" s="16" t="s">
        <v>2873</v>
      </c>
      <c r="C1000" s="16" t="s">
        <v>3302</v>
      </c>
      <c r="D1000" s="22" t="n">
        <v>46299</v>
      </c>
      <c r="E1000" s="16" t="s">
        <v>666</v>
      </c>
    </row>
    <row r="1001" customFormat="false" ht="15" hidden="false" customHeight="false" outlineLevel="0" collapsed="false">
      <c r="A1001" s="16" t="s">
        <v>4299</v>
      </c>
      <c r="B1001" s="16" t="s">
        <v>919</v>
      </c>
      <c r="C1001" s="16" t="s">
        <v>3300</v>
      </c>
      <c r="D1001" s="22" t="n">
        <v>46156</v>
      </c>
      <c r="E1001" s="16" t="s">
        <v>654</v>
      </c>
    </row>
    <row r="1002" customFormat="false" ht="15" hidden="false" customHeight="false" outlineLevel="0" collapsed="false">
      <c r="A1002" s="16" t="s">
        <v>4300</v>
      </c>
      <c r="B1002" s="16" t="s">
        <v>1223</v>
      </c>
      <c r="C1002" s="16" t="s">
        <v>3306</v>
      </c>
      <c r="D1002" s="22" t="n">
        <v>46153</v>
      </c>
      <c r="E1002" s="16" t="s">
        <v>717</v>
      </c>
    </row>
    <row r="1003" customFormat="false" ht="15" hidden="false" customHeight="false" outlineLevel="0" collapsed="false">
      <c r="A1003" s="16" t="s">
        <v>4301</v>
      </c>
      <c r="B1003" s="16" t="s">
        <v>1223</v>
      </c>
      <c r="C1003" s="16" t="s">
        <v>3302</v>
      </c>
      <c r="D1003" s="22" t="n">
        <v>46304</v>
      </c>
      <c r="E1003" s="16" t="s">
        <v>717</v>
      </c>
    </row>
    <row r="1004" customFormat="false" ht="15" hidden="false" customHeight="false" outlineLevel="0" collapsed="false">
      <c r="A1004" s="16" t="s">
        <v>4302</v>
      </c>
      <c r="B1004" s="16" t="s">
        <v>2880</v>
      </c>
      <c r="C1004" s="16" t="s">
        <v>3310</v>
      </c>
      <c r="D1004" s="22" t="n">
        <v>46132</v>
      </c>
      <c r="E1004" s="16" t="s">
        <v>677</v>
      </c>
    </row>
    <row r="1005" customFormat="false" ht="15" hidden="false" customHeight="false" outlineLevel="0" collapsed="false">
      <c r="A1005" s="16" t="s">
        <v>4303</v>
      </c>
      <c r="B1005" s="16" t="s">
        <v>234</v>
      </c>
      <c r="C1005" s="16" t="s">
        <v>3300</v>
      </c>
      <c r="D1005" s="22" t="n">
        <v>46136</v>
      </c>
      <c r="E1005" s="16" t="s">
        <v>691</v>
      </c>
    </row>
    <row r="1006" customFormat="false" ht="15" hidden="false" customHeight="false" outlineLevel="0" collapsed="false">
      <c r="A1006" s="16" t="s">
        <v>4304</v>
      </c>
      <c r="B1006" s="16" t="s">
        <v>214</v>
      </c>
      <c r="C1006" s="16" t="s">
        <v>3300</v>
      </c>
      <c r="D1006" s="22" t="n">
        <v>46132</v>
      </c>
      <c r="E1006" s="16" t="s">
        <v>596</v>
      </c>
    </row>
    <row r="1007" customFormat="false" ht="15" hidden="false" customHeight="false" outlineLevel="0" collapsed="false">
      <c r="A1007" s="16" t="s">
        <v>4305</v>
      </c>
      <c r="B1007" s="16" t="s">
        <v>2304</v>
      </c>
      <c r="C1007" s="16" t="s">
        <v>3306</v>
      </c>
      <c r="D1007" s="22" t="n">
        <v>46110</v>
      </c>
      <c r="E1007" s="16" t="s">
        <v>596</v>
      </c>
    </row>
    <row r="1008" customFormat="false" ht="15" hidden="false" customHeight="false" outlineLevel="0" collapsed="false">
      <c r="A1008" s="16" t="s">
        <v>4306</v>
      </c>
      <c r="B1008" s="16" t="s">
        <v>2304</v>
      </c>
      <c r="C1008" s="16" t="s">
        <v>3310</v>
      </c>
      <c r="D1008" s="22" t="n">
        <v>46277</v>
      </c>
      <c r="E1008" s="16" t="s">
        <v>596</v>
      </c>
    </row>
    <row r="1009" customFormat="false" ht="15" hidden="false" customHeight="false" outlineLevel="0" collapsed="false">
      <c r="A1009" s="16" t="s">
        <v>4307</v>
      </c>
      <c r="B1009" s="16" t="s">
        <v>1915</v>
      </c>
      <c r="C1009" s="16" t="s">
        <v>3310</v>
      </c>
      <c r="D1009" s="22" t="n">
        <v>46172</v>
      </c>
      <c r="E1009" s="16" t="s">
        <v>578</v>
      </c>
    </row>
    <row r="1010" customFormat="false" ht="15" hidden="false" customHeight="false" outlineLevel="0" collapsed="false">
      <c r="A1010" s="16" t="s">
        <v>4308</v>
      </c>
      <c r="B1010" s="16" t="s">
        <v>1915</v>
      </c>
      <c r="C1010" s="16" t="s">
        <v>3300</v>
      </c>
      <c r="D1010" s="22" t="n">
        <v>45949</v>
      </c>
      <c r="E1010" s="16" t="s">
        <v>578</v>
      </c>
    </row>
    <row r="1011" customFormat="false" ht="15" hidden="false" customHeight="false" outlineLevel="0" collapsed="false">
      <c r="A1011" s="16" t="s">
        <v>4309</v>
      </c>
      <c r="B1011" s="16" t="s">
        <v>377</v>
      </c>
      <c r="C1011" s="16" t="s">
        <v>3306</v>
      </c>
      <c r="D1011" s="22" t="n">
        <v>46241</v>
      </c>
      <c r="E1011" s="16" t="s">
        <v>831</v>
      </c>
    </row>
    <row r="1012" customFormat="false" ht="15" hidden="false" customHeight="false" outlineLevel="0" collapsed="false">
      <c r="A1012" s="16" t="s">
        <v>4310</v>
      </c>
      <c r="B1012" s="16" t="s">
        <v>377</v>
      </c>
      <c r="C1012" s="16" t="s">
        <v>3310</v>
      </c>
      <c r="D1012" s="22" t="n">
        <v>46199</v>
      </c>
      <c r="E1012" s="16" t="s">
        <v>831</v>
      </c>
    </row>
    <row r="1013" customFormat="false" ht="15" hidden="false" customHeight="false" outlineLevel="0" collapsed="false">
      <c r="A1013" s="16" t="s">
        <v>4311</v>
      </c>
      <c r="B1013" s="16" t="s">
        <v>377</v>
      </c>
      <c r="C1013" s="16" t="s">
        <v>3306</v>
      </c>
      <c r="D1013" s="22" t="n">
        <v>46281</v>
      </c>
      <c r="E1013" s="16" t="s">
        <v>831</v>
      </c>
    </row>
    <row r="1014" customFormat="false" ht="15" hidden="false" customHeight="false" outlineLevel="0" collapsed="false">
      <c r="A1014" s="16" t="s">
        <v>4312</v>
      </c>
      <c r="B1014" s="16" t="s">
        <v>377</v>
      </c>
      <c r="C1014" s="16" t="s">
        <v>3302</v>
      </c>
      <c r="D1014" s="22" t="n">
        <v>46116</v>
      </c>
      <c r="E1014" s="16" t="s">
        <v>831</v>
      </c>
    </row>
    <row r="1015" customFormat="false" ht="15" hidden="false" customHeight="false" outlineLevel="0" collapsed="false">
      <c r="A1015" s="16" t="s">
        <v>4313</v>
      </c>
      <c r="B1015" s="16" t="s">
        <v>656</v>
      </c>
      <c r="C1015" s="16" t="s">
        <v>3306</v>
      </c>
      <c r="D1015" s="22" t="n">
        <v>45917</v>
      </c>
      <c r="E1015" s="16" t="s">
        <v>578</v>
      </c>
    </row>
    <row r="1016" customFormat="false" ht="15" hidden="false" customHeight="false" outlineLevel="0" collapsed="false">
      <c r="A1016" s="16" t="s">
        <v>4314</v>
      </c>
      <c r="B1016" s="16" t="s">
        <v>242</v>
      </c>
      <c r="C1016" s="16" t="s">
        <v>3302</v>
      </c>
      <c r="D1016" s="22" t="n">
        <v>46142</v>
      </c>
      <c r="E1016" s="16" t="s">
        <v>654</v>
      </c>
    </row>
    <row r="1017" customFormat="false" ht="15" hidden="false" customHeight="false" outlineLevel="0" collapsed="false">
      <c r="A1017" s="16" t="s">
        <v>4315</v>
      </c>
      <c r="B1017" s="16" t="s">
        <v>242</v>
      </c>
      <c r="C1017" s="16" t="s">
        <v>3310</v>
      </c>
      <c r="D1017" s="22" t="n">
        <v>45941</v>
      </c>
      <c r="E1017" s="16" t="s">
        <v>654</v>
      </c>
    </row>
    <row r="1018" customFormat="false" ht="15" hidden="false" customHeight="false" outlineLevel="0" collapsed="false">
      <c r="A1018" s="16" t="s">
        <v>4316</v>
      </c>
      <c r="B1018" s="16" t="s">
        <v>242</v>
      </c>
      <c r="C1018" s="16" t="s">
        <v>3300</v>
      </c>
      <c r="D1018" s="22" t="n">
        <v>46067</v>
      </c>
      <c r="E1018" s="16" t="s">
        <v>654</v>
      </c>
    </row>
    <row r="1019" customFormat="false" ht="15" hidden="false" customHeight="false" outlineLevel="0" collapsed="false">
      <c r="A1019" s="16" t="s">
        <v>4317</v>
      </c>
      <c r="B1019" s="16" t="s">
        <v>242</v>
      </c>
      <c r="C1019" s="16" t="s">
        <v>3310</v>
      </c>
      <c r="D1019" s="22" t="n">
        <v>46067</v>
      </c>
      <c r="E1019" s="16" t="s">
        <v>654</v>
      </c>
    </row>
    <row r="1020" customFormat="false" ht="15" hidden="false" customHeight="false" outlineLevel="0" collapsed="false">
      <c r="A1020" s="16" t="s">
        <v>4318</v>
      </c>
      <c r="B1020" s="16" t="s">
        <v>439</v>
      </c>
      <c r="C1020" s="16" t="s">
        <v>3330</v>
      </c>
      <c r="D1020" s="22" t="n">
        <v>46130</v>
      </c>
      <c r="E1020" s="16" t="s">
        <v>578</v>
      </c>
    </row>
    <row r="1021" customFormat="false" ht="15" hidden="false" customHeight="false" outlineLevel="0" collapsed="false">
      <c r="A1021" s="16" t="s">
        <v>4319</v>
      </c>
      <c r="B1021" s="16" t="s">
        <v>439</v>
      </c>
      <c r="C1021" s="16" t="s">
        <v>3330</v>
      </c>
      <c r="D1021" s="22" t="n">
        <v>46184</v>
      </c>
      <c r="E1021" s="16" t="s">
        <v>578</v>
      </c>
    </row>
    <row r="1022" customFormat="false" ht="15" hidden="false" customHeight="false" outlineLevel="0" collapsed="false">
      <c r="A1022" s="16" t="s">
        <v>4320</v>
      </c>
      <c r="B1022" s="16" t="s">
        <v>439</v>
      </c>
      <c r="C1022" s="16" t="s">
        <v>3306</v>
      </c>
      <c r="D1022" s="22" t="n">
        <v>46307</v>
      </c>
      <c r="E1022" s="16" t="s">
        <v>578</v>
      </c>
    </row>
    <row r="1023" customFormat="false" ht="15" hidden="false" customHeight="false" outlineLevel="0" collapsed="false">
      <c r="A1023" s="16" t="s">
        <v>4321</v>
      </c>
      <c r="B1023" s="16" t="s">
        <v>586</v>
      </c>
      <c r="C1023" s="16" t="s">
        <v>3306</v>
      </c>
      <c r="D1023" s="22" t="n">
        <v>46207</v>
      </c>
      <c r="E1023" s="16" t="s">
        <v>578</v>
      </c>
    </row>
    <row r="1024" customFormat="false" ht="15" hidden="false" customHeight="false" outlineLevel="0" collapsed="false">
      <c r="A1024" s="16" t="s">
        <v>4322</v>
      </c>
      <c r="B1024" s="16" t="s">
        <v>586</v>
      </c>
      <c r="C1024" s="16" t="s">
        <v>3300</v>
      </c>
      <c r="D1024" s="22" t="n">
        <v>46065</v>
      </c>
      <c r="E1024" s="16" t="s">
        <v>578</v>
      </c>
    </row>
    <row r="1025" customFormat="false" ht="15" hidden="false" customHeight="false" outlineLevel="0" collapsed="false">
      <c r="A1025" s="16" t="s">
        <v>4323</v>
      </c>
      <c r="B1025" s="16" t="s">
        <v>635</v>
      </c>
      <c r="C1025" s="16" t="s">
        <v>3302</v>
      </c>
      <c r="D1025" s="22" t="n">
        <v>46011</v>
      </c>
      <c r="E1025" s="16" t="s">
        <v>637</v>
      </c>
    </row>
    <row r="1026" customFormat="false" ht="15" hidden="false" customHeight="false" outlineLevel="0" collapsed="false">
      <c r="A1026" s="16" t="s">
        <v>4324</v>
      </c>
      <c r="B1026" s="16" t="s">
        <v>635</v>
      </c>
      <c r="C1026" s="16" t="s">
        <v>3300</v>
      </c>
      <c r="D1026" s="22" t="n">
        <v>46217</v>
      </c>
      <c r="E1026" s="16" t="s">
        <v>637</v>
      </c>
    </row>
    <row r="1027" customFormat="false" ht="15" hidden="false" customHeight="false" outlineLevel="0" collapsed="false">
      <c r="A1027" s="16" t="s">
        <v>4325</v>
      </c>
      <c r="B1027" s="16" t="s">
        <v>635</v>
      </c>
      <c r="C1027" s="16" t="s">
        <v>3302</v>
      </c>
      <c r="D1027" s="22" t="n">
        <v>46070</v>
      </c>
      <c r="E1027" s="16" t="s">
        <v>637</v>
      </c>
    </row>
    <row r="1028" customFormat="false" ht="15" hidden="false" customHeight="false" outlineLevel="0" collapsed="false">
      <c r="A1028" s="16" t="s">
        <v>4326</v>
      </c>
      <c r="B1028" s="16" t="s">
        <v>1220</v>
      </c>
      <c r="C1028" s="16" t="s">
        <v>3306</v>
      </c>
      <c r="D1028" s="22" t="n">
        <v>46158</v>
      </c>
      <c r="E1028" s="16" t="s">
        <v>704</v>
      </c>
    </row>
    <row r="1029" customFormat="false" ht="15" hidden="false" customHeight="false" outlineLevel="0" collapsed="false">
      <c r="A1029" s="16" t="s">
        <v>4327</v>
      </c>
      <c r="B1029" s="16" t="s">
        <v>1220</v>
      </c>
      <c r="C1029" s="16" t="s">
        <v>3306</v>
      </c>
      <c r="D1029" s="22" t="n">
        <v>46285</v>
      </c>
      <c r="E1029" s="16" t="s">
        <v>704</v>
      </c>
    </row>
    <row r="1030" customFormat="false" ht="15" hidden="false" customHeight="false" outlineLevel="0" collapsed="false">
      <c r="A1030" s="16" t="s">
        <v>4328</v>
      </c>
      <c r="B1030" s="16" t="s">
        <v>313</v>
      </c>
      <c r="C1030" s="16" t="s">
        <v>3330</v>
      </c>
      <c r="D1030" s="22" t="n">
        <v>46129</v>
      </c>
      <c r="E1030" s="16" t="s">
        <v>685</v>
      </c>
    </row>
    <row r="1031" customFormat="false" ht="15" hidden="false" customHeight="false" outlineLevel="0" collapsed="false">
      <c r="A1031" s="16" t="s">
        <v>4329</v>
      </c>
      <c r="B1031" s="16" t="s">
        <v>313</v>
      </c>
      <c r="C1031" s="16" t="s">
        <v>3300</v>
      </c>
      <c r="D1031" s="22" t="n">
        <v>45924</v>
      </c>
      <c r="E1031" s="16" t="s">
        <v>685</v>
      </c>
    </row>
    <row r="1032" customFormat="false" ht="15" hidden="false" customHeight="false" outlineLevel="0" collapsed="false">
      <c r="A1032" s="16" t="s">
        <v>4330</v>
      </c>
      <c r="B1032" s="16" t="s">
        <v>313</v>
      </c>
      <c r="C1032" s="16" t="s">
        <v>3302</v>
      </c>
      <c r="D1032" s="22" t="n">
        <v>45945</v>
      </c>
      <c r="E1032" s="16" t="s">
        <v>685</v>
      </c>
    </row>
    <row r="1033" customFormat="false" ht="15" hidden="false" customHeight="false" outlineLevel="0" collapsed="false">
      <c r="A1033" s="16" t="s">
        <v>4331</v>
      </c>
      <c r="B1033" s="16" t="s">
        <v>313</v>
      </c>
      <c r="C1033" s="16" t="s">
        <v>3302</v>
      </c>
      <c r="D1033" s="22" t="n">
        <v>45927</v>
      </c>
      <c r="E1033" s="16" t="s">
        <v>685</v>
      </c>
    </row>
    <row r="1034" customFormat="false" ht="15" hidden="false" customHeight="false" outlineLevel="0" collapsed="false">
      <c r="A1034" s="16" t="s">
        <v>4332</v>
      </c>
      <c r="B1034" s="16" t="s">
        <v>313</v>
      </c>
      <c r="C1034" s="16" t="s">
        <v>3310</v>
      </c>
      <c r="D1034" s="22" t="n">
        <v>46042</v>
      </c>
      <c r="E1034" s="16" t="s">
        <v>685</v>
      </c>
    </row>
    <row r="1035" customFormat="false" ht="15" hidden="false" customHeight="false" outlineLevel="0" collapsed="false">
      <c r="A1035" s="16" t="s">
        <v>4333</v>
      </c>
      <c r="B1035" s="16" t="s">
        <v>384</v>
      </c>
      <c r="C1035" s="16" t="s">
        <v>3302</v>
      </c>
      <c r="D1035" s="22" t="n">
        <v>46007</v>
      </c>
      <c r="E1035" s="16" t="s">
        <v>583</v>
      </c>
    </row>
    <row r="1036" customFormat="false" ht="15" hidden="false" customHeight="false" outlineLevel="0" collapsed="false">
      <c r="A1036" s="16" t="s">
        <v>4334</v>
      </c>
      <c r="B1036" s="16" t="s">
        <v>320</v>
      </c>
      <c r="C1036" s="16" t="s">
        <v>3330</v>
      </c>
      <c r="D1036" s="22" t="n">
        <v>46012</v>
      </c>
      <c r="E1036" s="16" t="s">
        <v>596</v>
      </c>
    </row>
    <row r="1037" customFormat="false" ht="15" hidden="false" customHeight="false" outlineLevel="0" collapsed="false">
      <c r="A1037" s="16" t="s">
        <v>4335</v>
      </c>
      <c r="B1037" s="16" t="s">
        <v>320</v>
      </c>
      <c r="C1037" s="16" t="s">
        <v>3298</v>
      </c>
      <c r="D1037" s="22" t="n">
        <v>46258</v>
      </c>
      <c r="E1037" s="16" t="s">
        <v>596</v>
      </c>
    </row>
    <row r="1038" customFormat="false" ht="15" hidden="false" customHeight="false" outlineLevel="0" collapsed="false">
      <c r="A1038" s="16" t="s">
        <v>4336</v>
      </c>
      <c r="B1038" s="16" t="s">
        <v>936</v>
      </c>
      <c r="C1038" s="16" t="s">
        <v>3302</v>
      </c>
      <c r="D1038" s="22" t="n">
        <v>45971</v>
      </c>
      <c r="E1038" s="16" t="s">
        <v>600</v>
      </c>
    </row>
    <row r="1039" customFormat="false" ht="15" hidden="false" customHeight="false" outlineLevel="0" collapsed="false">
      <c r="A1039" s="16" t="s">
        <v>4337</v>
      </c>
      <c r="B1039" s="16" t="s">
        <v>1400</v>
      </c>
      <c r="C1039" s="16" t="s">
        <v>3302</v>
      </c>
      <c r="D1039" s="22" t="n">
        <v>46306</v>
      </c>
      <c r="E1039" s="16" t="s">
        <v>622</v>
      </c>
    </row>
    <row r="1040" customFormat="false" ht="15" hidden="false" customHeight="false" outlineLevel="0" collapsed="false">
      <c r="A1040" s="16" t="s">
        <v>4338</v>
      </c>
      <c r="B1040" s="16" t="s">
        <v>1400</v>
      </c>
      <c r="C1040" s="16" t="s">
        <v>3306</v>
      </c>
      <c r="D1040" s="22" t="n">
        <v>46043</v>
      </c>
      <c r="E1040" s="16" t="s">
        <v>622</v>
      </c>
    </row>
    <row r="1041" customFormat="false" ht="15" hidden="false" customHeight="false" outlineLevel="0" collapsed="false">
      <c r="A1041" s="16" t="s">
        <v>4339</v>
      </c>
      <c r="B1041" s="16" t="s">
        <v>1400</v>
      </c>
      <c r="C1041" s="16" t="s">
        <v>3310</v>
      </c>
      <c r="D1041" s="22" t="n">
        <v>45982</v>
      </c>
      <c r="E1041" s="16" t="s">
        <v>622</v>
      </c>
    </row>
    <row r="1042" customFormat="false" ht="15" hidden="false" customHeight="false" outlineLevel="0" collapsed="false">
      <c r="A1042" s="16" t="s">
        <v>4340</v>
      </c>
      <c r="B1042" s="16" t="s">
        <v>1400</v>
      </c>
      <c r="C1042" s="16" t="s">
        <v>3306</v>
      </c>
      <c r="D1042" s="22" t="n">
        <v>46150</v>
      </c>
      <c r="E1042" s="16" t="s">
        <v>622</v>
      </c>
    </row>
    <row r="1043" customFormat="false" ht="15" hidden="false" customHeight="false" outlineLevel="0" collapsed="false">
      <c r="A1043" s="16" t="s">
        <v>4341</v>
      </c>
      <c r="B1043" s="16" t="s">
        <v>1400</v>
      </c>
      <c r="C1043" s="16" t="s">
        <v>3298</v>
      </c>
      <c r="D1043" s="22" t="n">
        <v>46024</v>
      </c>
      <c r="E1043" s="16" t="s">
        <v>622</v>
      </c>
    </row>
    <row r="1044" customFormat="false" ht="15" hidden="false" customHeight="false" outlineLevel="0" collapsed="false">
      <c r="A1044" s="16" t="s">
        <v>4342</v>
      </c>
      <c r="B1044" s="16" t="s">
        <v>1426</v>
      </c>
      <c r="C1044" s="16" t="s">
        <v>3300</v>
      </c>
      <c r="D1044" s="22" t="n">
        <v>46268</v>
      </c>
      <c r="E1044" s="16" t="s">
        <v>704</v>
      </c>
    </row>
    <row r="1045" customFormat="false" ht="15" hidden="false" customHeight="false" outlineLevel="0" collapsed="false">
      <c r="A1045" s="16" t="s">
        <v>4343</v>
      </c>
      <c r="B1045" s="16" t="s">
        <v>277</v>
      </c>
      <c r="C1045" s="16" t="s">
        <v>3302</v>
      </c>
      <c r="D1045" s="22" t="n">
        <v>46127</v>
      </c>
      <c r="E1045" s="16" t="s">
        <v>578</v>
      </c>
    </row>
    <row r="1046" customFormat="false" ht="15" hidden="false" customHeight="false" outlineLevel="0" collapsed="false">
      <c r="A1046" s="16" t="s">
        <v>4344</v>
      </c>
      <c r="B1046" s="16" t="s">
        <v>277</v>
      </c>
      <c r="C1046" s="16" t="s">
        <v>3302</v>
      </c>
      <c r="D1046" s="22" t="n">
        <v>46291</v>
      </c>
      <c r="E1046" s="16" t="s">
        <v>578</v>
      </c>
    </row>
    <row r="1047" customFormat="false" ht="15" hidden="false" customHeight="false" outlineLevel="0" collapsed="false">
      <c r="A1047" s="16" t="s">
        <v>4345</v>
      </c>
      <c r="B1047" s="16" t="s">
        <v>454</v>
      </c>
      <c r="C1047" s="16" t="s">
        <v>3302</v>
      </c>
      <c r="D1047" s="22" t="n">
        <v>46286</v>
      </c>
      <c r="E1047" s="16" t="s">
        <v>677</v>
      </c>
    </row>
    <row r="1048" customFormat="false" ht="15" hidden="false" customHeight="false" outlineLevel="0" collapsed="false">
      <c r="A1048" s="16" t="s">
        <v>4346</v>
      </c>
      <c r="B1048" s="16" t="s">
        <v>454</v>
      </c>
      <c r="C1048" s="16" t="s">
        <v>3302</v>
      </c>
      <c r="D1048" s="22" t="n">
        <v>46253</v>
      </c>
      <c r="E1048" s="16" t="s">
        <v>677</v>
      </c>
    </row>
    <row r="1049" customFormat="false" ht="15" hidden="false" customHeight="false" outlineLevel="0" collapsed="false">
      <c r="A1049" s="16" t="s">
        <v>4347</v>
      </c>
      <c r="B1049" s="16" t="s">
        <v>763</v>
      </c>
      <c r="C1049" s="16" t="s">
        <v>3298</v>
      </c>
      <c r="D1049" s="22" t="n">
        <v>46294</v>
      </c>
      <c r="E1049" s="16" t="s">
        <v>666</v>
      </c>
    </row>
    <row r="1050" customFormat="false" ht="15" hidden="false" customHeight="false" outlineLevel="0" collapsed="false">
      <c r="A1050" s="16" t="s">
        <v>4348</v>
      </c>
      <c r="B1050" s="16" t="s">
        <v>332</v>
      </c>
      <c r="C1050" s="16" t="s">
        <v>3300</v>
      </c>
      <c r="D1050" s="22" t="n">
        <v>46079</v>
      </c>
      <c r="E1050" s="16" t="s">
        <v>860</v>
      </c>
    </row>
    <row r="1051" customFormat="false" ht="15" hidden="false" customHeight="false" outlineLevel="0" collapsed="false">
      <c r="A1051" s="16" t="s">
        <v>4349</v>
      </c>
      <c r="B1051" s="16" t="s">
        <v>332</v>
      </c>
      <c r="C1051" s="16" t="s">
        <v>3298</v>
      </c>
      <c r="D1051" s="22" t="n">
        <v>46273</v>
      </c>
      <c r="E1051" s="16" t="s">
        <v>860</v>
      </c>
    </row>
    <row r="1052" customFormat="false" ht="15" hidden="false" customHeight="false" outlineLevel="0" collapsed="false">
      <c r="A1052" s="16" t="s">
        <v>4350</v>
      </c>
      <c r="B1052" s="16" t="s">
        <v>332</v>
      </c>
      <c r="C1052" s="16" t="s">
        <v>3310</v>
      </c>
      <c r="D1052" s="22" t="n">
        <v>46277</v>
      </c>
      <c r="E1052" s="16" t="s">
        <v>860</v>
      </c>
    </row>
    <row r="1053" customFormat="false" ht="15" hidden="false" customHeight="false" outlineLevel="0" collapsed="false">
      <c r="A1053" s="16" t="s">
        <v>4351</v>
      </c>
      <c r="B1053" s="16" t="s">
        <v>332</v>
      </c>
      <c r="C1053" s="16" t="s">
        <v>3300</v>
      </c>
      <c r="D1053" s="22" t="n">
        <v>45966</v>
      </c>
      <c r="E1053" s="16" t="s">
        <v>860</v>
      </c>
    </row>
    <row r="1054" customFormat="false" ht="15" hidden="false" customHeight="false" outlineLevel="0" collapsed="false">
      <c r="A1054" s="16" t="s">
        <v>4352</v>
      </c>
      <c r="B1054" s="16" t="s">
        <v>581</v>
      </c>
      <c r="C1054" s="16" t="s">
        <v>3300</v>
      </c>
      <c r="D1054" s="22" t="n">
        <v>46043</v>
      </c>
      <c r="E1054" s="16" t="s">
        <v>567</v>
      </c>
    </row>
    <row r="1055" customFormat="false" ht="15" hidden="false" customHeight="false" outlineLevel="0" collapsed="false">
      <c r="A1055" s="16" t="s">
        <v>4353</v>
      </c>
      <c r="B1055" s="16" t="s">
        <v>581</v>
      </c>
      <c r="C1055" s="16" t="s">
        <v>3300</v>
      </c>
      <c r="D1055" s="22" t="n">
        <v>45916</v>
      </c>
      <c r="E1055" s="16" t="s">
        <v>567</v>
      </c>
    </row>
    <row r="1056" customFormat="false" ht="15" hidden="false" customHeight="false" outlineLevel="0" collapsed="false">
      <c r="A1056" s="16" t="s">
        <v>4354</v>
      </c>
      <c r="B1056" s="16" t="s">
        <v>581</v>
      </c>
      <c r="C1056" s="16" t="s">
        <v>3330</v>
      </c>
      <c r="D1056" s="22" t="n">
        <v>45987</v>
      </c>
      <c r="E1056" s="16" t="s">
        <v>567</v>
      </c>
    </row>
    <row r="1057" customFormat="false" ht="15" hidden="false" customHeight="false" outlineLevel="0" collapsed="false">
      <c r="A1057" s="16" t="s">
        <v>4355</v>
      </c>
      <c r="B1057" s="16" t="s">
        <v>1503</v>
      </c>
      <c r="C1057" s="16" t="s">
        <v>3302</v>
      </c>
      <c r="D1057" s="22" t="n">
        <v>46070</v>
      </c>
      <c r="E1057" s="16" t="s">
        <v>860</v>
      </c>
    </row>
    <row r="1058" customFormat="false" ht="15" hidden="false" customHeight="false" outlineLevel="0" collapsed="false">
      <c r="A1058" s="16" t="s">
        <v>4356</v>
      </c>
      <c r="B1058" s="16" t="s">
        <v>1503</v>
      </c>
      <c r="C1058" s="16" t="s">
        <v>3310</v>
      </c>
      <c r="D1058" s="22" t="n">
        <v>46058</v>
      </c>
      <c r="E1058" s="16" t="s">
        <v>860</v>
      </c>
    </row>
    <row r="1059" customFormat="false" ht="15" hidden="false" customHeight="false" outlineLevel="0" collapsed="false">
      <c r="A1059" s="16" t="s">
        <v>4357</v>
      </c>
      <c r="B1059" s="16" t="s">
        <v>1503</v>
      </c>
      <c r="C1059" s="16" t="s">
        <v>3300</v>
      </c>
      <c r="D1059" s="22" t="n">
        <v>45951</v>
      </c>
      <c r="E1059" s="16" t="s">
        <v>860</v>
      </c>
    </row>
    <row r="1060" customFormat="false" ht="15" hidden="false" customHeight="false" outlineLevel="0" collapsed="false">
      <c r="A1060" s="16" t="s">
        <v>4358</v>
      </c>
      <c r="B1060" s="16" t="s">
        <v>1503</v>
      </c>
      <c r="C1060" s="16" t="s">
        <v>3306</v>
      </c>
      <c r="D1060" s="22" t="n">
        <v>46152</v>
      </c>
      <c r="E1060" s="16" t="s">
        <v>860</v>
      </c>
    </row>
    <row r="1061" customFormat="false" ht="15" hidden="false" customHeight="false" outlineLevel="0" collapsed="false">
      <c r="A1061" s="16" t="s">
        <v>4359</v>
      </c>
      <c r="B1061" s="16" t="s">
        <v>289</v>
      </c>
      <c r="C1061" s="16" t="s">
        <v>3300</v>
      </c>
      <c r="D1061" s="22" t="n">
        <v>46226</v>
      </c>
      <c r="E1061" s="16" t="s">
        <v>704</v>
      </c>
    </row>
    <row r="1062" customFormat="false" ht="15" hidden="false" customHeight="false" outlineLevel="0" collapsed="false">
      <c r="A1062" s="16" t="s">
        <v>4360</v>
      </c>
      <c r="B1062" s="16" t="s">
        <v>289</v>
      </c>
      <c r="C1062" s="16" t="s">
        <v>3310</v>
      </c>
      <c r="D1062" s="22" t="n">
        <v>45946</v>
      </c>
      <c r="E1062" s="16" t="s">
        <v>704</v>
      </c>
    </row>
    <row r="1063" customFormat="false" ht="15" hidden="false" customHeight="false" outlineLevel="0" collapsed="false">
      <c r="A1063" s="16" t="s">
        <v>4361</v>
      </c>
      <c r="B1063" s="16" t="s">
        <v>1834</v>
      </c>
      <c r="C1063" s="16" t="s">
        <v>3302</v>
      </c>
      <c r="D1063" s="22" t="n">
        <v>45940</v>
      </c>
      <c r="E1063" s="16" t="s">
        <v>633</v>
      </c>
    </row>
    <row r="1064" customFormat="false" ht="15" hidden="false" customHeight="false" outlineLevel="0" collapsed="false">
      <c r="A1064" s="16" t="s">
        <v>4362</v>
      </c>
      <c r="B1064" s="16" t="s">
        <v>1834</v>
      </c>
      <c r="C1064" s="16" t="s">
        <v>3298</v>
      </c>
      <c r="D1064" s="22" t="n">
        <v>45928</v>
      </c>
      <c r="E1064" s="16" t="s">
        <v>633</v>
      </c>
    </row>
    <row r="1065" customFormat="false" ht="15" hidden="false" customHeight="false" outlineLevel="0" collapsed="false">
      <c r="A1065" s="16" t="s">
        <v>4363</v>
      </c>
      <c r="B1065" s="16" t="s">
        <v>1834</v>
      </c>
      <c r="C1065" s="16" t="s">
        <v>3330</v>
      </c>
      <c r="D1065" s="22" t="n">
        <v>46125</v>
      </c>
      <c r="E1065" s="16" t="s">
        <v>633</v>
      </c>
    </row>
    <row r="1066" customFormat="false" ht="15" hidden="false" customHeight="false" outlineLevel="0" collapsed="false">
      <c r="A1066" s="16" t="s">
        <v>4364</v>
      </c>
      <c r="B1066" s="16" t="s">
        <v>976</v>
      </c>
      <c r="C1066" s="16" t="s">
        <v>3300</v>
      </c>
      <c r="D1066" s="22" t="n">
        <v>45954</v>
      </c>
      <c r="E1066" s="16" t="s">
        <v>677</v>
      </c>
    </row>
    <row r="1067" customFormat="false" ht="15" hidden="false" customHeight="false" outlineLevel="0" collapsed="false">
      <c r="A1067" s="16" t="s">
        <v>4365</v>
      </c>
      <c r="B1067" s="16" t="s">
        <v>976</v>
      </c>
      <c r="C1067" s="16" t="s">
        <v>3306</v>
      </c>
      <c r="D1067" s="22" t="n">
        <v>46300</v>
      </c>
      <c r="E1067" s="16" t="s">
        <v>677</v>
      </c>
    </row>
    <row r="1068" customFormat="false" ht="15" hidden="false" customHeight="false" outlineLevel="0" collapsed="false">
      <c r="A1068" s="16" t="s">
        <v>4366</v>
      </c>
      <c r="B1068" s="16" t="s">
        <v>799</v>
      </c>
      <c r="C1068" s="16" t="s">
        <v>3302</v>
      </c>
      <c r="D1068" s="22" t="n">
        <v>46095</v>
      </c>
      <c r="E1068" s="16" t="s">
        <v>646</v>
      </c>
    </row>
    <row r="1069" customFormat="false" ht="15" hidden="false" customHeight="false" outlineLevel="0" collapsed="false">
      <c r="A1069" s="16" t="s">
        <v>4367</v>
      </c>
      <c r="B1069" s="16" t="s">
        <v>799</v>
      </c>
      <c r="C1069" s="16" t="s">
        <v>3302</v>
      </c>
      <c r="D1069" s="22" t="n">
        <v>46307</v>
      </c>
      <c r="E1069" s="16" t="s">
        <v>646</v>
      </c>
    </row>
    <row r="1070" customFormat="false" ht="15" hidden="false" customHeight="false" outlineLevel="0" collapsed="false">
      <c r="A1070" s="16" t="s">
        <v>4368</v>
      </c>
      <c r="B1070" s="16" t="s">
        <v>799</v>
      </c>
      <c r="C1070" s="16" t="s">
        <v>3330</v>
      </c>
      <c r="D1070" s="22" t="n">
        <v>45949</v>
      </c>
      <c r="E1070" s="16" t="s">
        <v>646</v>
      </c>
    </row>
    <row r="1071" customFormat="false" ht="15" hidden="false" customHeight="false" outlineLevel="0" collapsed="false">
      <c r="A1071" s="16" t="s">
        <v>4369</v>
      </c>
      <c r="B1071" s="16" t="s">
        <v>799</v>
      </c>
      <c r="C1071" s="16" t="s">
        <v>3302</v>
      </c>
      <c r="D1071" s="22" t="n">
        <v>46048</v>
      </c>
      <c r="E1071" s="16" t="s">
        <v>646</v>
      </c>
    </row>
    <row r="1072" customFormat="false" ht="15" hidden="false" customHeight="false" outlineLevel="0" collapsed="false">
      <c r="A1072" s="16" t="s">
        <v>4370</v>
      </c>
      <c r="B1072" s="16" t="s">
        <v>285</v>
      </c>
      <c r="C1072" s="16" t="s">
        <v>3300</v>
      </c>
      <c r="D1072" s="22" t="n">
        <v>46287</v>
      </c>
      <c r="E1072" s="16" t="s">
        <v>591</v>
      </c>
    </row>
    <row r="1073" customFormat="false" ht="15" hidden="false" customHeight="false" outlineLevel="0" collapsed="false">
      <c r="A1073" s="16" t="s">
        <v>4371</v>
      </c>
      <c r="B1073" s="16" t="s">
        <v>2279</v>
      </c>
      <c r="C1073" s="16" t="s">
        <v>3300</v>
      </c>
      <c r="D1073" s="22" t="n">
        <v>46153</v>
      </c>
      <c r="E1073" s="16" t="s">
        <v>860</v>
      </c>
    </row>
    <row r="1074" customFormat="false" ht="15" hidden="false" customHeight="false" outlineLevel="0" collapsed="false">
      <c r="A1074" s="16" t="s">
        <v>4372</v>
      </c>
      <c r="B1074" s="16" t="s">
        <v>1336</v>
      </c>
      <c r="C1074" s="16" t="s">
        <v>3330</v>
      </c>
      <c r="D1074" s="22" t="n">
        <v>46000</v>
      </c>
      <c r="E1074" s="16" t="s">
        <v>765</v>
      </c>
    </row>
    <row r="1075" customFormat="false" ht="15" hidden="false" customHeight="false" outlineLevel="0" collapsed="false">
      <c r="A1075" s="16" t="s">
        <v>4373</v>
      </c>
      <c r="B1075" s="16" t="s">
        <v>1336</v>
      </c>
      <c r="C1075" s="16" t="s">
        <v>3330</v>
      </c>
      <c r="D1075" s="22" t="n">
        <v>46263</v>
      </c>
      <c r="E1075" s="16" t="s">
        <v>765</v>
      </c>
    </row>
    <row r="1076" customFormat="false" ht="15" hidden="false" customHeight="false" outlineLevel="0" collapsed="false">
      <c r="A1076" s="16" t="s">
        <v>4374</v>
      </c>
      <c r="B1076" s="16" t="s">
        <v>1336</v>
      </c>
      <c r="C1076" s="16" t="s">
        <v>3298</v>
      </c>
      <c r="D1076" s="22" t="n">
        <v>46026</v>
      </c>
      <c r="E1076" s="16" t="s">
        <v>765</v>
      </c>
    </row>
    <row r="1077" customFormat="false" ht="15" hidden="false" customHeight="false" outlineLevel="0" collapsed="false">
      <c r="A1077" s="16" t="s">
        <v>4375</v>
      </c>
      <c r="B1077" s="16" t="s">
        <v>1336</v>
      </c>
      <c r="C1077" s="16" t="s">
        <v>3302</v>
      </c>
      <c r="D1077" s="22" t="n">
        <v>46082</v>
      </c>
      <c r="E1077" s="16" t="s">
        <v>765</v>
      </c>
    </row>
    <row r="1078" customFormat="false" ht="15" hidden="false" customHeight="false" outlineLevel="0" collapsed="false">
      <c r="A1078" s="16" t="s">
        <v>4376</v>
      </c>
      <c r="B1078" s="16" t="s">
        <v>240</v>
      </c>
      <c r="C1078" s="16" t="s">
        <v>3310</v>
      </c>
      <c r="D1078" s="22" t="n">
        <v>46299</v>
      </c>
      <c r="E1078" s="16" t="s">
        <v>651</v>
      </c>
    </row>
    <row r="1079" customFormat="false" ht="15" hidden="false" customHeight="false" outlineLevel="0" collapsed="false">
      <c r="A1079" s="16" t="s">
        <v>4377</v>
      </c>
      <c r="B1079" s="16" t="s">
        <v>2309</v>
      </c>
      <c r="C1079" s="16" t="s">
        <v>3300</v>
      </c>
      <c r="D1079" s="22" t="n">
        <v>46093</v>
      </c>
      <c r="E1079" s="16" t="s">
        <v>573</v>
      </c>
    </row>
    <row r="1080" customFormat="false" ht="15" hidden="false" customHeight="false" outlineLevel="0" collapsed="false">
      <c r="A1080" s="16" t="s">
        <v>4378</v>
      </c>
      <c r="B1080" s="16" t="s">
        <v>2309</v>
      </c>
      <c r="C1080" s="16" t="s">
        <v>3330</v>
      </c>
      <c r="D1080" s="22" t="n">
        <v>46269</v>
      </c>
      <c r="E1080" s="16" t="s">
        <v>573</v>
      </c>
    </row>
    <row r="1081" customFormat="false" ht="15" hidden="false" customHeight="false" outlineLevel="0" collapsed="false">
      <c r="A1081" s="16" t="s">
        <v>4379</v>
      </c>
      <c r="B1081" s="16" t="s">
        <v>2309</v>
      </c>
      <c r="C1081" s="16" t="s">
        <v>3306</v>
      </c>
      <c r="D1081" s="22" t="n">
        <v>45978</v>
      </c>
      <c r="E1081" s="16" t="s">
        <v>573</v>
      </c>
    </row>
    <row r="1082" customFormat="false" ht="15" hidden="false" customHeight="false" outlineLevel="0" collapsed="false">
      <c r="A1082" s="16" t="s">
        <v>4380</v>
      </c>
      <c r="B1082" s="16" t="s">
        <v>199</v>
      </c>
      <c r="C1082" s="16" t="s">
        <v>3300</v>
      </c>
      <c r="D1082" s="22" t="n">
        <v>46278</v>
      </c>
      <c r="E1082" s="16" t="s">
        <v>600</v>
      </c>
    </row>
    <row r="1083" customFormat="false" ht="15" hidden="false" customHeight="false" outlineLevel="0" collapsed="false">
      <c r="A1083" s="16" t="s">
        <v>4381</v>
      </c>
      <c r="B1083" s="16" t="s">
        <v>199</v>
      </c>
      <c r="C1083" s="16" t="s">
        <v>3306</v>
      </c>
      <c r="D1083" s="22" t="n">
        <v>46300</v>
      </c>
      <c r="E1083" s="16" t="s">
        <v>600</v>
      </c>
    </row>
    <row r="1084" customFormat="false" ht="15" hidden="false" customHeight="false" outlineLevel="0" collapsed="false">
      <c r="A1084" s="16" t="s">
        <v>4382</v>
      </c>
      <c r="B1084" s="16" t="s">
        <v>199</v>
      </c>
      <c r="C1084" s="16" t="s">
        <v>3302</v>
      </c>
      <c r="D1084" s="22" t="n">
        <v>46099</v>
      </c>
      <c r="E1084" s="16" t="s">
        <v>600</v>
      </c>
    </row>
    <row r="1085" customFormat="false" ht="15" hidden="false" customHeight="false" outlineLevel="0" collapsed="false">
      <c r="A1085" s="16" t="s">
        <v>4383</v>
      </c>
      <c r="B1085" s="16" t="s">
        <v>490</v>
      </c>
      <c r="C1085" s="16" t="s">
        <v>3310</v>
      </c>
      <c r="D1085" s="22" t="n">
        <v>46281</v>
      </c>
      <c r="E1085" s="16" t="s">
        <v>567</v>
      </c>
    </row>
    <row r="1086" customFormat="false" ht="15" hidden="false" customHeight="false" outlineLevel="0" collapsed="false">
      <c r="A1086" s="16" t="s">
        <v>4384</v>
      </c>
      <c r="B1086" s="16" t="s">
        <v>175</v>
      </c>
      <c r="C1086" s="16" t="s">
        <v>3306</v>
      </c>
      <c r="D1086" s="22" t="n">
        <v>45982</v>
      </c>
      <c r="E1086" s="16" t="s">
        <v>880</v>
      </c>
    </row>
    <row r="1087" customFormat="false" ht="15" hidden="false" customHeight="false" outlineLevel="0" collapsed="false">
      <c r="A1087" s="16" t="s">
        <v>4385</v>
      </c>
      <c r="B1087" s="16" t="s">
        <v>175</v>
      </c>
      <c r="C1087" s="16" t="s">
        <v>3300</v>
      </c>
      <c r="D1087" s="22" t="n">
        <v>46114</v>
      </c>
      <c r="E1087" s="16" t="s">
        <v>880</v>
      </c>
    </row>
    <row r="1088" customFormat="false" ht="15" hidden="false" customHeight="false" outlineLevel="0" collapsed="false">
      <c r="A1088" s="16" t="s">
        <v>4386</v>
      </c>
      <c r="B1088" s="16" t="s">
        <v>1003</v>
      </c>
      <c r="C1088" s="16" t="s">
        <v>3330</v>
      </c>
      <c r="D1088" s="22" t="n">
        <v>46035</v>
      </c>
      <c r="E1088" s="16" t="s">
        <v>704</v>
      </c>
    </row>
    <row r="1089" customFormat="false" ht="15" hidden="false" customHeight="false" outlineLevel="0" collapsed="false">
      <c r="A1089" s="16" t="s">
        <v>4387</v>
      </c>
      <c r="B1089" s="16" t="s">
        <v>1003</v>
      </c>
      <c r="C1089" s="16" t="s">
        <v>3300</v>
      </c>
      <c r="D1089" s="22" t="n">
        <v>46089</v>
      </c>
      <c r="E1089" s="16" t="s">
        <v>704</v>
      </c>
    </row>
    <row r="1090" customFormat="false" ht="15" hidden="false" customHeight="false" outlineLevel="0" collapsed="false">
      <c r="A1090" s="16" t="s">
        <v>4388</v>
      </c>
      <c r="B1090" s="16" t="s">
        <v>1003</v>
      </c>
      <c r="C1090" s="16" t="s">
        <v>3302</v>
      </c>
      <c r="D1090" s="22" t="n">
        <v>46131</v>
      </c>
      <c r="E1090" s="16" t="s">
        <v>704</v>
      </c>
    </row>
    <row r="1091" customFormat="false" ht="15" hidden="false" customHeight="false" outlineLevel="0" collapsed="false">
      <c r="A1091" s="16" t="s">
        <v>4389</v>
      </c>
      <c r="B1091" s="16" t="s">
        <v>1003</v>
      </c>
      <c r="C1091" s="16" t="s">
        <v>3302</v>
      </c>
      <c r="D1091" s="22" t="n">
        <v>45943</v>
      </c>
      <c r="E1091" s="16" t="s">
        <v>704</v>
      </c>
    </row>
    <row r="1092" customFormat="false" ht="15" hidden="false" customHeight="false" outlineLevel="0" collapsed="false">
      <c r="A1092" s="16" t="s">
        <v>4390</v>
      </c>
      <c r="B1092" s="16" t="s">
        <v>973</v>
      </c>
      <c r="C1092" s="16" t="s">
        <v>3306</v>
      </c>
      <c r="D1092" s="22" t="n">
        <v>46293</v>
      </c>
      <c r="E1092" s="16" t="s">
        <v>654</v>
      </c>
    </row>
    <row r="1093" customFormat="false" ht="15" hidden="false" customHeight="false" outlineLevel="0" collapsed="false">
      <c r="A1093" s="16" t="s">
        <v>4391</v>
      </c>
      <c r="B1093" s="16" t="s">
        <v>973</v>
      </c>
      <c r="C1093" s="16" t="s">
        <v>3302</v>
      </c>
      <c r="D1093" s="22" t="n">
        <v>46100</v>
      </c>
      <c r="E1093" s="16" t="s">
        <v>654</v>
      </c>
    </row>
    <row r="1094" customFormat="false" ht="15" hidden="false" customHeight="false" outlineLevel="0" collapsed="false">
      <c r="A1094" s="16" t="s">
        <v>4392</v>
      </c>
      <c r="B1094" s="16" t="s">
        <v>973</v>
      </c>
      <c r="C1094" s="16" t="s">
        <v>3302</v>
      </c>
      <c r="D1094" s="22" t="n">
        <v>46265</v>
      </c>
      <c r="E1094" s="16" t="s">
        <v>654</v>
      </c>
    </row>
    <row r="1095" customFormat="false" ht="15" hidden="false" customHeight="false" outlineLevel="0" collapsed="false">
      <c r="A1095" s="16" t="s">
        <v>4393</v>
      </c>
      <c r="B1095" s="16" t="s">
        <v>2348</v>
      </c>
      <c r="C1095" s="16" t="s">
        <v>3310</v>
      </c>
      <c r="D1095" s="22" t="n">
        <v>46007</v>
      </c>
      <c r="E1095" s="16" t="s">
        <v>583</v>
      </c>
    </row>
    <row r="1096" customFormat="false" ht="15" hidden="false" customHeight="false" outlineLevel="0" collapsed="false">
      <c r="A1096" s="16" t="s">
        <v>4394</v>
      </c>
      <c r="B1096" s="16" t="s">
        <v>2348</v>
      </c>
      <c r="C1096" s="16" t="s">
        <v>3306</v>
      </c>
      <c r="D1096" s="22" t="n">
        <v>46077</v>
      </c>
      <c r="E1096" s="16" t="s">
        <v>583</v>
      </c>
    </row>
    <row r="1097" customFormat="false" ht="15" hidden="false" customHeight="false" outlineLevel="0" collapsed="false">
      <c r="A1097" s="16" t="s">
        <v>4395</v>
      </c>
      <c r="B1097" s="16" t="s">
        <v>2038</v>
      </c>
      <c r="C1097" s="16" t="s">
        <v>3302</v>
      </c>
      <c r="D1097" s="22" t="n">
        <v>46291</v>
      </c>
      <c r="E1097" s="16" t="s">
        <v>717</v>
      </c>
    </row>
    <row r="1098" customFormat="false" ht="15" hidden="false" customHeight="false" outlineLevel="0" collapsed="false">
      <c r="A1098" s="16" t="s">
        <v>4396</v>
      </c>
      <c r="B1098" s="16" t="s">
        <v>2038</v>
      </c>
      <c r="C1098" s="16" t="s">
        <v>3298</v>
      </c>
      <c r="D1098" s="22" t="n">
        <v>45953</v>
      </c>
      <c r="E1098" s="16" t="s">
        <v>717</v>
      </c>
    </row>
    <row r="1099" customFormat="false" ht="15" hidden="false" customHeight="false" outlineLevel="0" collapsed="false">
      <c r="A1099" s="16" t="s">
        <v>4397</v>
      </c>
      <c r="B1099" s="16" t="s">
        <v>2038</v>
      </c>
      <c r="C1099" s="16" t="s">
        <v>3306</v>
      </c>
      <c r="D1099" s="22" t="n">
        <v>45920</v>
      </c>
      <c r="E1099" s="16" t="s">
        <v>717</v>
      </c>
    </row>
    <row r="1100" customFormat="false" ht="15" hidden="false" customHeight="false" outlineLevel="0" collapsed="false">
      <c r="A1100" s="16" t="s">
        <v>4398</v>
      </c>
      <c r="B1100" s="16" t="s">
        <v>2969</v>
      </c>
      <c r="C1100" s="16" t="s">
        <v>3298</v>
      </c>
      <c r="D1100" s="22" t="n">
        <v>46143</v>
      </c>
      <c r="E1100" s="16" t="s">
        <v>622</v>
      </c>
    </row>
    <row r="1101" customFormat="false" ht="15" hidden="false" customHeight="false" outlineLevel="0" collapsed="false">
      <c r="A1101" s="16" t="s">
        <v>4399</v>
      </c>
      <c r="B1101" s="16" t="s">
        <v>2969</v>
      </c>
      <c r="C1101" s="16" t="s">
        <v>3310</v>
      </c>
      <c r="D1101" s="22" t="n">
        <v>46158</v>
      </c>
      <c r="E1101" s="16" t="s">
        <v>622</v>
      </c>
    </row>
    <row r="1102" customFormat="false" ht="15" hidden="false" customHeight="false" outlineLevel="0" collapsed="false">
      <c r="A1102" s="16" t="s">
        <v>4400</v>
      </c>
      <c r="B1102" s="16" t="s">
        <v>2969</v>
      </c>
      <c r="C1102" s="16" t="s">
        <v>3306</v>
      </c>
      <c r="D1102" s="22" t="n">
        <v>46001</v>
      </c>
      <c r="E1102" s="16" t="s">
        <v>622</v>
      </c>
    </row>
    <row r="1103" customFormat="false" ht="15" hidden="false" customHeight="false" outlineLevel="0" collapsed="false">
      <c r="A1103" s="16" t="s">
        <v>4401</v>
      </c>
      <c r="B1103" s="16" t="s">
        <v>847</v>
      </c>
      <c r="C1103" s="16" t="s">
        <v>3298</v>
      </c>
      <c r="D1103" s="22" t="n">
        <v>46141</v>
      </c>
      <c r="E1103" s="16" t="s">
        <v>633</v>
      </c>
    </row>
    <row r="1104" customFormat="false" ht="15" hidden="false" customHeight="false" outlineLevel="0" collapsed="false">
      <c r="A1104" s="16" t="s">
        <v>4402</v>
      </c>
      <c r="B1104" s="16" t="s">
        <v>847</v>
      </c>
      <c r="C1104" s="16" t="s">
        <v>3300</v>
      </c>
      <c r="D1104" s="22" t="n">
        <v>46294</v>
      </c>
      <c r="E1104" s="16" t="s">
        <v>633</v>
      </c>
    </row>
    <row r="1105" customFormat="false" ht="15" hidden="false" customHeight="false" outlineLevel="0" collapsed="false">
      <c r="A1105" s="16" t="s">
        <v>4403</v>
      </c>
      <c r="B1105" s="16" t="s">
        <v>847</v>
      </c>
      <c r="C1105" s="16" t="s">
        <v>3302</v>
      </c>
      <c r="D1105" s="22" t="n">
        <v>46289</v>
      </c>
      <c r="E1105" s="16" t="s">
        <v>633</v>
      </c>
    </row>
    <row r="1106" customFormat="false" ht="15" hidden="false" customHeight="false" outlineLevel="0" collapsed="false">
      <c r="A1106" s="16" t="s">
        <v>4404</v>
      </c>
      <c r="B1106" s="16" t="s">
        <v>847</v>
      </c>
      <c r="C1106" s="16" t="s">
        <v>3300</v>
      </c>
      <c r="D1106" s="22" t="n">
        <v>46271</v>
      </c>
      <c r="E1106" s="16" t="s">
        <v>633</v>
      </c>
    </row>
    <row r="1107" customFormat="false" ht="15" hidden="false" customHeight="false" outlineLevel="0" collapsed="false">
      <c r="A1107" s="16" t="s">
        <v>4405</v>
      </c>
      <c r="B1107" s="16" t="s">
        <v>2974</v>
      </c>
      <c r="C1107" s="16" t="s">
        <v>3306</v>
      </c>
      <c r="D1107" s="22" t="n">
        <v>46042</v>
      </c>
      <c r="E1107" s="16" t="s">
        <v>654</v>
      </c>
    </row>
    <row r="1108" customFormat="false" ht="15" hidden="false" customHeight="false" outlineLevel="0" collapsed="false">
      <c r="A1108" s="16" t="s">
        <v>4406</v>
      </c>
      <c r="B1108" s="16" t="s">
        <v>2974</v>
      </c>
      <c r="C1108" s="16" t="s">
        <v>3300</v>
      </c>
      <c r="D1108" s="22" t="n">
        <v>45943</v>
      </c>
      <c r="E1108" s="16" t="s">
        <v>654</v>
      </c>
    </row>
    <row r="1109" customFormat="false" ht="15" hidden="false" customHeight="false" outlineLevel="0" collapsed="false">
      <c r="A1109" s="16" t="s">
        <v>4407</v>
      </c>
      <c r="B1109" s="16" t="s">
        <v>429</v>
      </c>
      <c r="C1109" s="16" t="s">
        <v>3302</v>
      </c>
      <c r="D1109" s="22" t="n">
        <v>46127</v>
      </c>
      <c r="E1109" s="16" t="s">
        <v>591</v>
      </c>
    </row>
    <row r="1110" customFormat="false" ht="15" hidden="false" customHeight="false" outlineLevel="0" collapsed="false">
      <c r="A1110" s="16" t="s">
        <v>4408</v>
      </c>
      <c r="B1110" s="16" t="s">
        <v>429</v>
      </c>
      <c r="C1110" s="16" t="s">
        <v>3300</v>
      </c>
      <c r="D1110" s="22" t="n">
        <v>46013</v>
      </c>
      <c r="E1110" s="16" t="s">
        <v>591</v>
      </c>
    </row>
    <row r="1111" customFormat="false" ht="15" hidden="false" customHeight="false" outlineLevel="0" collapsed="false">
      <c r="A1111" s="16" t="s">
        <v>4409</v>
      </c>
      <c r="B1111" s="16" t="s">
        <v>1152</v>
      </c>
      <c r="C1111" s="16" t="s">
        <v>3302</v>
      </c>
      <c r="D1111" s="22" t="n">
        <v>46213</v>
      </c>
      <c r="E1111" s="16" t="s">
        <v>604</v>
      </c>
    </row>
    <row r="1112" customFormat="false" ht="15" hidden="false" customHeight="false" outlineLevel="0" collapsed="false">
      <c r="A1112" s="16" t="s">
        <v>4410</v>
      </c>
      <c r="B1112" s="16" t="s">
        <v>1152</v>
      </c>
      <c r="C1112" s="16" t="s">
        <v>3306</v>
      </c>
      <c r="D1112" s="22" t="n">
        <v>45937</v>
      </c>
      <c r="E1112" s="16" t="s">
        <v>604</v>
      </c>
    </row>
    <row r="1113" customFormat="false" ht="15" hidden="false" customHeight="false" outlineLevel="0" collapsed="false">
      <c r="A1113" s="16" t="s">
        <v>4411</v>
      </c>
      <c r="B1113" s="16" t="s">
        <v>1152</v>
      </c>
      <c r="C1113" s="16" t="s">
        <v>3300</v>
      </c>
      <c r="D1113" s="22" t="n">
        <v>46190</v>
      </c>
      <c r="E1113" s="16" t="s">
        <v>604</v>
      </c>
    </row>
    <row r="1114" customFormat="false" ht="15" hidden="false" customHeight="false" outlineLevel="0" collapsed="false">
      <c r="A1114" s="16" t="s">
        <v>4412</v>
      </c>
      <c r="B1114" s="16" t="s">
        <v>1152</v>
      </c>
      <c r="C1114" s="16" t="s">
        <v>3306</v>
      </c>
      <c r="D1114" s="22" t="n">
        <v>46141</v>
      </c>
      <c r="E1114" s="16" t="s">
        <v>604</v>
      </c>
    </row>
    <row r="1115" customFormat="false" ht="15" hidden="false" customHeight="false" outlineLevel="0" collapsed="false">
      <c r="A1115" s="16" t="s">
        <v>4413</v>
      </c>
      <c r="B1115" s="16" t="s">
        <v>281</v>
      </c>
      <c r="C1115" s="16" t="s">
        <v>3330</v>
      </c>
      <c r="D1115" s="22" t="n">
        <v>46152</v>
      </c>
      <c r="E1115" s="16" t="s">
        <v>663</v>
      </c>
    </row>
    <row r="1116" customFormat="false" ht="15" hidden="false" customHeight="false" outlineLevel="0" collapsed="false">
      <c r="A1116" s="16" t="s">
        <v>4414</v>
      </c>
      <c r="B1116" s="16" t="s">
        <v>2539</v>
      </c>
      <c r="C1116" s="16" t="s">
        <v>3302</v>
      </c>
      <c r="D1116" s="22" t="n">
        <v>46251</v>
      </c>
      <c r="E1116" s="16" t="s">
        <v>588</v>
      </c>
    </row>
    <row r="1117" customFormat="false" ht="15" hidden="false" customHeight="false" outlineLevel="0" collapsed="false">
      <c r="A1117" s="16" t="s">
        <v>4415</v>
      </c>
      <c r="B1117" s="16" t="s">
        <v>2539</v>
      </c>
      <c r="C1117" s="16" t="s">
        <v>3302</v>
      </c>
      <c r="D1117" s="22" t="n">
        <v>46031</v>
      </c>
      <c r="E1117" s="16" t="s">
        <v>588</v>
      </c>
    </row>
    <row r="1118" customFormat="false" ht="15" hidden="false" customHeight="false" outlineLevel="0" collapsed="false">
      <c r="A1118" s="16" t="s">
        <v>4416</v>
      </c>
      <c r="B1118" s="16" t="s">
        <v>2539</v>
      </c>
      <c r="C1118" s="16" t="s">
        <v>3306</v>
      </c>
      <c r="D1118" s="22" t="n">
        <v>45935</v>
      </c>
      <c r="E1118" s="16" t="s">
        <v>588</v>
      </c>
    </row>
    <row r="1119" customFormat="false" ht="15" hidden="false" customHeight="false" outlineLevel="0" collapsed="false">
      <c r="A1119" s="16" t="s">
        <v>4417</v>
      </c>
      <c r="B1119" s="16" t="s">
        <v>2539</v>
      </c>
      <c r="C1119" s="16" t="s">
        <v>3298</v>
      </c>
      <c r="D1119" s="22" t="n">
        <v>46070</v>
      </c>
      <c r="E1119" s="16" t="s">
        <v>588</v>
      </c>
    </row>
    <row r="1120" customFormat="false" ht="15" hidden="false" customHeight="false" outlineLevel="0" collapsed="false">
      <c r="A1120" s="16" t="s">
        <v>4418</v>
      </c>
      <c r="B1120" s="16" t="s">
        <v>2539</v>
      </c>
      <c r="C1120" s="16" t="s">
        <v>3310</v>
      </c>
      <c r="D1120" s="22" t="n">
        <v>46313</v>
      </c>
      <c r="E1120" s="16" t="s">
        <v>588</v>
      </c>
    </row>
    <row r="1121" customFormat="false" ht="15" hidden="false" customHeight="false" outlineLevel="0" collapsed="false">
      <c r="A1121" s="16" t="s">
        <v>4419</v>
      </c>
      <c r="B1121" s="16" t="s">
        <v>1719</v>
      </c>
      <c r="C1121" s="16" t="s">
        <v>3300</v>
      </c>
      <c r="D1121" s="22" t="n">
        <v>45942</v>
      </c>
      <c r="E1121" s="16" t="s">
        <v>578</v>
      </c>
    </row>
    <row r="1122" customFormat="false" ht="15" hidden="false" customHeight="false" outlineLevel="0" collapsed="false">
      <c r="A1122" s="16" t="s">
        <v>4420</v>
      </c>
      <c r="B1122" s="16" t="s">
        <v>753</v>
      </c>
      <c r="C1122" s="16" t="s">
        <v>3306</v>
      </c>
      <c r="D1122" s="22" t="n">
        <v>46283</v>
      </c>
      <c r="E1122" s="16" t="s">
        <v>654</v>
      </c>
    </row>
    <row r="1123" customFormat="false" ht="15" hidden="false" customHeight="false" outlineLevel="0" collapsed="false">
      <c r="A1123" s="16" t="s">
        <v>4421</v>
      </c>
      <c r="B1123" s="16" t="s">
        <v>367</v>
      </c>
      <c r="C1123" s="16" t="s">
        <v>3298</v>
      </c>
      <c r="D1123" s="22" t="n">
        <v>46172</v>
      </c>
      <c r="E1123" s="16" t="s">
        <v>654</v>
      </c>
    </row>
    <row r="1124" customFormat="false" ht="15" hidden="false" customHeight="false" outlineLevel="0" collapsed="false">
      <c r="A1124" s="16" t="s">
        <v>4422</v>
      </c>
      <c r="B1124" s="16" t="s">
        <v>367</v>
      </c>
      <c r="C1124" s="16" t="s">
        <v>3310</v>
      </c>
      <c r="D1124" s="22" t="n">
        <v>46233</v>
      </c>
      <c r="E1124" s="16" t="s">
        <v>654</v>
      </c>
    </row>
    <row r="1125" customFormat="false" ht="15" hidden="false" customHeight="false" outlineLevel="0" collapsed="false">
      <c r="A1125" s="16" t="s">
        <v>4423</v>
      </c>
      <c r="B1125" s="16" t="s">
        <v>1159</v>
      </c>
      <c r="C1125" s="16" t="s">
        <v>3330</v>
      </c>
      <c r="D1125" s="22" t="n">
        <v>46237</v>
      </c>
      <c r="E1125" s="16" t="s">
        <v>831</v>
      </c>
    </row>
    <row r="1126" customFormat="false" ht="15" hidden="false" customHeight="false" outlineLevel="0" collapsed="false">
      <c r="A1126" s="16" t="s">
        <v>4424</v>
      </c>
      <c r="B1126" s="16" t="s">
        <v>264</v>
      </c>
      <c r="C1126" s="16" t="s">
        <v>3302</v>
      </c>
      <c r="D1126" s="22" t="n">
        <v>46112</v>
      </c>
      <c r="E1126" s="16" t="s">
        <v>604</v>
      </c>
    </row>
    <row r="1127" customFormat="false" ht="15" hidden="false" customHeight="false" outlineLevel="0" collapsed="false">
      <c r="A1127" s="16" t="s">
        <v>4425</v>
      </c>
      <c r="B1127" s="16" t="s">
        <v>264</v>
      </c>
      <c r="C1127" s="16" t="s">
        <v>3330</v>
      </c>
      <c r="D1127" s="22" t="n">
        <v>45998</v>
      </c>
      <c r="E1127" s="16" t="s">
        <v>604</v>
      </c>
    </row>
    <row r="1128" customFormat="false" ht="15" hidden="false" customHeight="false" outlineLevel="0" collapsed="false">
      <c r="A1128" s="16" t="s">
        <v>4426</v>
      </c>
      <c r="B1128" s="16" t="s">
        <v>942</v>
      </c>
      <c r="C1128" s="16" t="s">
        <v>3300</v>
      </c>
      <c r="D1128" s="22" t="n">
        <v>46190</v>
      </c>
      <c r="E1128" s="16" t="s">
        <v>567</v>
      </c>
    </row>
    <row r="1129" customFormat="false" ht="15" hidden="false" customHeight="false" outlineLevel="0" collapsed="false">
      <c r="A1129" s="16" t="s">
        <v>4427</v>
      </c>
      <c r="B1129" s="16" t="s">
        <v>942</v>
      </c>
      <c r="C1129" s="16" t="s">
        <v>3300</v>
      </c>
      <c r="D1129" s="22" t="n">
        <v>45921</v>
      </c>
      <c r="E1129" s="16" t="s">
        <v>567</v>
      </c>
    </row>
    <row r="1130" customFormat="false" ht="15" hidden="false" customHeight="false" outlineLevel="0" collapsed="false">
      <c r="A1130" s="16" t="s">
        <v>4428</v>
      </c>
      <c r="B1130" s="16" t="s">
        <v>942</v>
      </c>
      <c r="C1130" s="16" t="s">
        <v>3310</v>
      </c>
      <c r="D1130" s="22" t="n">
        <v>46291</v>
      </c>
      <c r="E1130" s="16" t="s">
        <v>567</v>
      </c>
    </row>
    <row r="1131" customFormat="false" ht="15" hidden="false" customHeight="false" outlineLevel="0" collapsed="false">
      <c r="A1131" s="16" t="s">
        <v>4429</v>
      </c>
      <c r="B1131" s="16" t="s">
        <v>942</v>
      </c>
      <c r="C1131" s="16" t="s">
        <v>3298</v>
      </c>
      <c r="D1131" s="22" t="n">
        <v>46114</v>
      </c>
      <c r="E1131" s="16" t="s">
        <v>567</v>
      </c>
    </row>
    <row r="1132" customFormat="false" ht="15" hidden="false" customHeight="false" outlineLevel="0" collapsed="false">
      <c r="A1132" s="16" t="s">
        <v>4430</v>
      </c>
      <c r="B1132" s="16" t="s">
        <v>942</v>
      </c>
      <c r="C1132" s="16" t="s">
        <v>3310</v>
      </c>
      <c r="D1132" s="22" t="n">
        <v>46129</v>
      </c>
      <c r="E1132" s="16" t="s">
        <v>567</v>
      </c>
    </row>
    <row r="1133" customFormat="false" ht="15" hidden="false" customHeight="false" outlineLevel="0" collapsed="false">
      <c r="A1133" s="16" t="s">
        <v>4431</v>
      </c>
      <c r="B1133" s="16" t="s">
        <v>1339</v>
      </c>
      <c r="C1133" s="16" t="s">
        <v>3298</v>
      </c>
      <c r="D1133" s="22" t="n">
        <v>45993</v>
      </c>
      <c r="E1133" s="16" t="s">
        <v>654</v>
      </c>
    </row>
    <row r="1134" customFormat="false" ht="15" hidden="false" customHeight="false" outlineLevel="0" collapsed="false">
      <c r="A1134" s="16" t="s">
        <v>4432</v>
      </c>
      <c r="B1134" s="16" t="s">
        <v>1339</v>
      </c>
      <c r="C1134" s="16" t="s">
        <v>3310</v>
      </c>
      <c r="D1134" s="22" t="n">
        <v>46170</v>
      </c>
      <c r="E1134" s="16" t="s">
        <v>654</v>
      </c>
    </row>
    <row r="1135" customFormat="false" ht="15" hidden="false" customHeight="false" outlineLevel="0" collapsed="false">
      <c r="A1135" s="16" t="s">
        <v>4433</v>
      </c>
      <c r="B1135" s="16" t="s">
        <v>1339</v>
      </c>
      <c r="C1135" s="16" t="s">
        <v>3310</v>
      </c>
      <c r="D1135" s="22" t="n">
        <v>45915</v>
      </c>
      <c r="E1135" s="16" t="s">
        <v>654</v>
      </c>
    </row>
    <row r="1136" customFormat="false" ht="15" hidden="false" customHeight="false" outlineLevel="0" collapsed="false">
      <c r="A1136" s="16" t="s">
        <v>4434</v>
      </c>
      <c r="B1136" s="16" t="s">
        <v>1339</v>
      </c>
      <c r="C1136" s="16" t="s">
        <v>3310</v>
      </c>
      <c r="D1136" s="22" t="n">
        <v>46273</v>
      </c>
      <c r="E1136" s="16" t="s">
        <v>654</v>
      </c>
    </row>
    <row r="1137" customFormat="false" ht="15" hidden="false" customHeight="false" outlineLevel="0" collapsed="false">
      <c r="A1137" s="16" t="s">
        <v>4435</v>
      </c>
      <c r="B1137" s="16" t="s">
        <v>1339</v>
      </c>
      <c r="C1137" s="16" t="s">
        <v>3306</v>
      </c>
      <c r="D1137" s="22" t="n">
        <v>46046</v>
      </c>
      <c r="E1137" s="16" t="s">
        <v>654</v>
      </c>
    </row>
    <row r="1138" customFormat="false" ht="15" hidden="false" customHeight="false" outlineLevel="0" collapsed="false">
      <c r="A1138" s="16" t="s">
        <v>4436</v>
      </c>
      <c r="B1138" s="16" t="s">
        <v>389</v>
      </c>
      <c r="C1138" s="16" t="s">
        <v>3302</v>
      </c>
      <c r="D1138" s="22" t="n">
        <v>45948</v>
      </c>
      <c r="E1138" s="16" t="s">
        <v>604</v>
      </c>
    </row>
    <row r="1139" customFormat="false" ht="15" hidden="false" customHeight="false" outlineLevel="0" collapsed="false">
      <c r="A1139" s="16" t="s">
        <v>4437</v>
      </c>
      <c r="B1139" s="16" t="s">
        <v>2106</v>
      </c>
      <c r="C1139" s="16" t="s">
        <v>3300</v>
      </c>
      <c r="D1139" s="22" t="n">
        <v>45936</v>
      </c>
      <c r="E1139" s="16" t="s">
        <v>646</v>
      </c>
    </row>
    <row r="1140" customFormat="false" ht="15" hidden="false" customHeight="false" outlineLevel="0" collapsed="false">
      <c r="A1140" s="16" t="s">
        <v>4438</v>
      </c>
      <c r="B1140" s="16" t="s">
        <v>2106</v>
      </c>
      <c r="C1140" s="16" t="s">
        <v>3306</v>
      </c>
      <c r="D1140" s="22" t="n">
        <v>46200</v>
      </c>
      <c r="E1140" s="16" t="s">
        <v>646</v>
      </c>
    </row>
    <row r="1141" customFormat="false" ht="15" hidden="false" customHeight="false" outlineLevel="0" collapsed="false">
      <c r="A1141" s="16" t="s">
        <v>4439</v>
      </c>
      <c r="B1141" s="16" t="s">
        <v>2106</v>
      </c>
      <c r="C1141" s="16" t="s">
        <v>3300</v>
      </c>
      <c r="D1141" s="22" t="n">
        <v>45975</v>
      </c>
      <c r="E1141" s="16" t="s">
        <v>646</v>
      </c>
    </row>
    <row r="1142" customFormat="false" ht="15" hidden="false" customHeight="false" outlineLevel="0" collapsed="false">
      <c r="A1142" s="16" t="s">
        <v>4440</v>
      </c>
      <c r="B1142" s="16" t="s">
        <v>2106</v>
      </c>
      <c r="C1142" s="16" t="s">
        <v>3298</v>
      </c>
      <c r="D1142" s="22" t="n">
        <v>46060</v>
      </c>
      <c r="E1142" s="16" t="s">
        <v>646</v>
      </c>
    </row>
    <row r="1143" customFormat="false" ht="15" hidden="false" customHeight="false" outlineLevel="0" collapsed="false">
      <c r="A1143" s="16" t="s">
        <v>4441</v>
      </c>
      <c r="B1143" s="16" t="s">
        <v>466</v>
      </c>
      <c r="C1143" s="16" t="s">
        <v>3310</v>
      </c>
      <c r="D1143" s="22" t="n">
        <v>45953</v>
      </c>
      <c r="E1143" s="16" t="s">
        <v>666</v>
      </c>
    </row>
    <row r="1144" customFormat="false" ht="15" hidden="false" customHeight="false" outlineLevel="0" collapsed="false">
      <c r="A1144" s="16" t="s">
        <v>4442</v>
      </c>
      <c r="B1144" s="16" t="s">
        <v>466</v>
      </c>
      <c r="C1144" s="16" t="s">
        <v>3300</v>
      </c>
      <c r="D1144" s="22" t="n">
        <v>46206</v>
      </c>
      <c r="E1144" s="16" t="s">
        <v>666</v>
      </c>
    </row>
    <row r="1145" customFormat="false" ht="15" hidden="false" customHeight="false" outlineLevel="0" collapsed="false">
      <c r="A1145" s="16" t="s">
        <v>4443</v>
      </c>
      <c r="B1145" s="16" t="s">
        <v>466</v>
      </c>
      <c r="C1145" s="16" t="s">
        <v>3298</v>
      </c>
      <c r="D1145" s="22" t="n">
        <v>45987</v>
      </c>
      <c r="E1145" s="16" t="s">
        <v>666</v>
      </c>
    </row>
    <row r="1146" customFormat="false" ht="15" hidden="false" customHeight="false" outlineLevel="0" collapsed="false">
      <c r="A1146" s="16" t="s">
        <v>4444</v>
      </c>
      <c r="B1146" s="16" t="s">
        <v>283</v>
      </c>
      <c r="C1146" s="16" t="s">
        <v>3300</v>
      </c>
      <c r="D1146" s="22" t="n">
        <v>45919</v>
      </c>
      <c r="E1146" s="16" t="s">
        <v>729</v>
      </c>
    </row>
    <row r="1147" customFormat="false" ht="15" hidden="false" customHeight="false" outlineLevel="0" collapsed="false">
      <c r="A1147" s="16" t="s">
        <v>4445</v>
      </c>
      <c r="B1147" s="16" t="s">
        <v>283</v>
      </c>
      <c r="C1147" s="16" t="s">
        <v>3298</v>
      </c>
      <c r="D1147" s="22" t="n">
        <v>46277</v>
      </c>
      <c r="E1147" s="16" t="s">
        <v>729</v>
      </c>
    </row>
    <row r="1148" customFormat="false" ht="15" hidden="false" customHeight="false" outlineLevel="0" collapsed="false">
      <c r="A1148" s="16" t="s">
        <v>4446</v>
      </c>
      <c r="B1148" s="16" t="s">
        <v>283</v>
      </c>
      <c r="C1148" s="16" t="s">
        <v>3310</v>
      </c>
      <c r="D1148" s="22" t="n">
        <v>46010</v>
      </c>
      <c r="E1148" s="16" t="s">
        <v>729</v>
      </c>
    </row>
    <row r="1149" customFormat="false" ht="15" hidden="false" customHeight="false" outlineLevel="0" collapsed="false">
      <c r="A1149" s="16" t="s">
        <v>4447</v>
      </c>
      <c r="B1149" s="16" t="s">
        <v>472</v>
      </c>
      <c r="C1149" s="16" t="s">
        <v>3306</v>
      </c>
      <c r="D1149" s="22" t="n">
        <v>46144</v>
      </c>
      <c r="E1149" s="16" t="s">
        <v>666</v>
      </c>
    </row>
    <row r="1150" customFormat="false" ht="15" hidden="false" customHeight="false" outlineLevel="0" collapsed="false">
      <c r="A1150" s="16" t="s">
        <v>4448</v>
      </c>
      <c r="B1150" s="16" t="s">
        <v>1092</v>
      </c>
      <c r="C1150" s="16" t="s">
        <v>3300</v>
      </c>
      <c r="D1150" s="22" t="n">
        <v>45984</v>
      </c>
      <c r="E1150" s="16" t="s">
        <v>651</v>
      </c>
    </row>
    <row r="1151" customFormat="false" ht="15" hidden="false" customHeight="false" outlineLevel="0" collapsed="false">
      <c r="A1151" s="16" t="s">
        <v>4449</v>
      </c>
      <c r="B1151" s="16" t="s">
        <v>1092</v>
      </c>
      <c r="C1151" s="16" t="s">
        <v>3310</v>
      </c>
      <c r="D1151" s="22" t="n">
        <v>46006</v>
      </c>
      <c r="E1151" s="16" t="s">
        <v>651</v>
      </c>
    </row>
    <row r="1152" customFormat="false" ht="15" hidden="false" customHeight="false" outlineLevel="0" collapsed="false">
      <c r="A1152" s="16" t="s">
        <v>4450</v>
      </c>
      <c r="B1152" s="16" t="s">
        <v>413</v>
      </c>
      <c r="C1152" s="16" t="s">
        <v>3302</v>
      </c>
      <c r="D1152" s="22" t="n">
        <v>46302</v>
      </c>
      <c r="E1152" s="16" t="s">
        <v>567</v>
      </c>
    </row>
    <row r="1153" customFormat="false" ht="15" hidden="false" customHeight="false" outlineLevel="0" collapsed="false">
      <c r="A1153" s="16" t="s">
        <v>4451</v>
      </c>
      <c r="B1153" s="16" t="s">
        <v>413</v>
      </c>
      <c r="C1153" s="16" t="s">
        <v>3300</v>
      </c>
      <c r="D1153" s="22" t="n">
        <v>46099</v>
      </c>
      <c r="E1153" s="16" t="s">
        <v>567</v>
      </c>
    </row>
    <row r="1154" customFormat="false" ht="15" hidden="false" customHeight="false" outlineLevel="0" collapsed="false">
      <c r="A1154" s="16" t="s">
        <v>4452</v>
      </c>
      <c r="B1154" s="16" t="s">
        <v>413</v>
      </c>
      <c r="C1154" s="16" t="s">
        <v>3306</v>
      </c>
      <c r="D1154" s="22" t="n">
        <v>46097</v>
      </c>
      <c r="E1154" s="16" t="s">
        <v>567</v>
      </c>
    </row>
    <row r="1155" customFormat="false" ht="15" hidden="false" customHeight="false" outlineLevel="0" collapsed="false">
      <c r="A1155" s="16" t="s">
        <v>4453</v>
      </c>
      <c r="B1155" s="16" t="s">
        <v>413</v>
      </c>
      <c r="C1155" s="16" t="s">
        <v>3310</v>
      </c>
      <c r="D1155" s="22" t="n">
        <v>45973</v>
      </c>
      <c r="E1155" s="16" t="s">
        <v>567</v>
      </c>
    </row>
    <row r="1156" customFormat="false" ht="15" hidden="false" customHeight="false" outlineLevel="0" collapsed="false">
      <c r="A1156" s="16" t="s">
        <v>4454</v>
      </c>
      <c r="B1156" s="16" t="s">
        <v>294</v>
      </c>
      <c r="C1156" s="16" t="s">
        <v>3302</v>
      </c>
      <c r="D1156" s="22" t="n">
        <v>46121</v>
      </c>
      <c r="E1156" s="16" t="s">
        <v>604</v>
      </c>
    </row>
    <row r="1157" customFormat="false" ht="15" hidden="false" customHeight="false" outlineLevel="0" collapsed="false">
      <c r="A1157" s="16" t="s">
        <v>4455</v>
      </c>
      <c r="B1157" s="16" t="s">
        <v>1686</v>
      </c>
      <c r="C1157" s="16" t="s">
        <v>3302</v>
      </c>
      <c r="D1157" s="22" t="n">
        <v>46033</v>
      </c>
      <c r="E1157" s="16" t="s">
        <v>765</v>
      </c>
    </row>
    <row r="1158" customFormat="false" ht="15" hidden="false" customHeight="false" outlineLevel="0" collapsed="false">
      <c r="A1158" s="16" t="s">
        <v>4456</v>
      </c>
      <c r="B1158" s="16" t="s">
        <v>1686</v>
      </c>
      <c r="C1158" s="16" t="s">
        <v>3302</v>
      </c>
      <c r="D1158" s="22" t="n">
        <v>46119</v>
      </c>
      <c r="E1158" s="16" t="s">
        <v>765</v>
      </c>
    </row>
    <row r="1159" customFormat="false" ht="15" hidden="false" customHeight="false" outlineLevel="0" collapsed="false">
      <c r="A1159" s="16" t="s">
        <v>4457</v>
      </c>
      <c r="B1159" s="16" t="s">
        <v>1686</v>
      </c>
      <c r="C1159" s="16" t="s">
        <v>3306</v>
      </c>
      <c r="D1159" s="22" t="n">
        <v>45976</v>
      </c>
      <c r="E1159" s="16" t="s">
        <v>765</v>
      </c>
    </row>
    <row r="1160" customFormat="false" ht="15" hidden="false" customHeight="false" outlineLevel="0" collapsed="false">
      <c r="A1160" s="16" t="s">
        <v>4458</v>
      </c>
      <c r="B1160" s="16" t="s">
        <v>1686</v>
      </c>
      <c r="C1160" s="16" t="s">
        <v>3300</v>
      </c>
      <c r="D1160" s="22" t="n">
        <v>45977</v>
      </c>
      <c r="E1160" s="16" t="s">
        <v>765</v>
      </c>
    </row>
    <row r="1161" customFormat="false" ht="15" hidden="false" customHeight="false" outlineLevel="0" collapsed="false">
      <c r="A1161" s="16" t="s">
        <v>4459</v>
      </c>
      <c r="B1161" s="16" t="s">
        <v>1686</v>
      </c>
      <c r="C1161" s="16" t="s">
        <v>3330</v>
      </c>
      <c r="D1161" s="22" t="n">
        <v>45989</v>
      </c>
      <c r="E1161" s="16" t="s">
        <v>765</v>
      </c>
    </row>
    <row r="1162" customFormat="false" ht="15" hidden="false" customHeight="false" outlineLevel="0" collapsed="false">
      <c r="A1162" s="16" t="s">
        <v>4460</v>
      </c>
      <c r="B1162" s="16" t="s">
        <v>262</v>
      </c>
      <c r="C1162" s="16" t="s">
        <v>3310</v>
      </c>
      <c r="D1162" s="22" t="n">
        <v>46097</v>
      </c>
      <c r="E1162" s="16" t="s">
        <v>666</v>
      </c>
    </row>
    <row r="1163" customFormat="false" ht="15" hidden="false" customHeight="false" outlineLevel="0" collapsed="false">
      <c r="A1163" s="16" t="s">
        <v>4461</v>
      </c>
      <c r="B1163" s="16" t="s">
        <v>347</v>
      </c>
      <c r="C1163" s="16" t="s">
        <v>3330</v>
      </c>
      <c r="D1163" s="22" t="n">
        <v>46236</v>
      </c>
      <c r="E1163" s="16" t="s">
        <v>567</v>
      </c>
    </row>
    <row r="1164" customFormat="false" ht="15" hidden="false" customHeight="false" outlineLevel="0" collapsed="false">
      <c r="A1164" s="16" t="s">
        <v>4462</v>
      </c>
      <c r="B1164" s="16" t="s">
        <v>347</v>
      </c>
      <c r="C1164" s="16" t="s">
        <v>3302</v>
      </c>
      <c r="D1164" s="22" t="n">
        <v>45952</v>
      </c>
      <c r="E1164" s="16" t="s">
        <v>567</v>
      </c>
    </row>
    <row r="1165" customFormat="false" ht="15" hidden="false" customHeight="false" outlineLevel="0" collapsed="false">
      <c r="A1165" s="16" t="s">
        <v>4463</v>
      </c>
      <c r="B1165" s="16" t="s">
        <v>347</v>
      </c>
      <c r="C1165" s="16" t="s">
        <v>3302</v>
      </c>
      <c r="D1165" s="22" t="n">
        <v>45984</v>
      </c>
      <c r="E1165" s="16" t="s">
        <v>567</v>
      </c>
    </row>
    <row r="1166" customFormat="false" ht="15" hidden="false" customHeight="false" outlineLevel="0" collapsed="false">
      <c r="A1166" s="16" t="s">
        <v>4464</v>
      </c>
      <c r="B1166" s="16" t="s">
        <v>699</v>
      </c>
      <c r="C1166" s="16" t="s">
        <v>3330</v>
      </c>
      <c r="D1166" s="22" t="n">
        <v>46095</v>
      </c>
      <c r="E1166" s="16" t="s">
        <v>583</v>
      </c>
    </row>
    <row r="1167" customFormat="false" ht="15" hidden="false" customHeight="false" outlineLevel="0" collapsed="false">
      <c r="A1167" s="16" t="s">
        <v>4465</v>
      </c>
      <c r="B1167" s="16" t="s">
        <v>699</v>
      </c>
      <c r="C1167" s="16" t="s">
        <v>3300</v>
      </c>
      <c r="D1167" s="22" t="n">
        <v>46083</v>
      </c>
      <c r="E1167" s="16" t="s">
        <v>583</v>
      </c>
    </row>
    <row r="1168" customFormat="false" ht="15" hidden="false" customHeight="false" outlineLevel="0" collapsed="false">
      <c r="A1168" s="16" t="s">
        <v>4466</v>
      </c>
      <c r="B1168" s="16" t="s">
        <v>287</v>
      </c>
      <c r="C1168" s="16" t="s">
        <v>3300</v>
      </c>
      <c r="D1168" s="22" t="n">
        <v>46271</v>
      </c>
      <c r="E1168" s="16" t="s">
        <v>567</v>
      </c>
    </row>
    <row r="1169" customFormat="false" ht="15" hidden="false" customHeight="false" outlineLevel="0" collapsed="false">
      <c r="A1169" s="16" t="s">
        <v>4467</v>
      </c>
      <c r="B1169" s="16" t="s">
        <v>287</v>
      </c>
      <c r="C1169" s="16" t="s">
        <v>3310</v>
      </c>
      <c r="D1169" s="22" t="n">
        <v>46264</v>
      </c>
      <c r="E1169" s="16" t="s">
        <v>567</v>
      </c>
    </row>
    <row r="1170" customFormat="false" ht="15" hidden="false" customHeight="false" outlineLevel="0" collapsed="false">
      <c r="A1170" s="16" t="s">
        <v>4468</v>
      </c>
      <c r="B1170" s="16" t="s">
        <v>287</v>
      </c>
      <c r="C1170" s="16" t="s">
        <v>3306</v>
      </c>
      <c r="D1170" s="22" t="n">
        <v>46237</v>
      </c>
      <c r="E1170" s="16" t="s">
        <v>567</v>
      </c>
    </row>
    <row r="1171" customFormat="false" ht="15" hidden="false" customHeight="false" outlineLevel="0" collapsed="false">
      <c r="A1171" s="16" t="s">
        <v>4469</v>
      </c>
      <c r="B1171" s="16" t="s">
        <v>1082</v>
      </c>
      <c r="C1171" s="16" t="s">
        <v>3306</v>
      </c>
      <c r="D1171" s="22" t="n">
        <v>45973</v>
      </c>
      <c r="E1171" s="16" t="s">
        <v>765</v>
      </c>
    </row>
    <row r="1172" customFormat="false" ht="15" hidden="false" customHeight="false" outlineLevel="0" collapsed="false">
      <c r="A1172" s="16" t="s">
        <v>4470</v>
      </c>
      <c r="B1172" s="16" t="s">
        <v>1082</v>
      </c>
      <c r="C1172" s="16" t="s">
        <v>3300</v>
      </c>
      <c r="D1172" s="22" t="n">
        <v>46082</v>
      </c>
      <c r="E1172" s="16" t="s">
        <v>765</v>
      </c>
    </row>
    <row r="1173" customFormat="false" ht="15" hidden="false" customHeight="false" outlineLevel="0" collapsed="false">
      <c r="A1173" s="16" t="s">
        <v>4471</v>
      </c>
      <c r="B1173" s="16" t="s">
        <v>1933</v>
      </c>
      <c r="C1173" s="16" t="s">
        <v>3302</v>
      </c>
      <c r="D1173" s="22" t="n">
        <v>46224</v>
      </c>
      <c r="E1173" s="16" t="s">
        <v>622</v>
      </c>
    </row>
    <row r="1174" customFormat="false" ht="15" hidden="false" customHeight="false" outlineLevel="0" collapsed="false">
      <c r="A1174" s="16" t="s">
        <v>4472</v>
      </c>
      <c r="B1174" s="16" t="s">
        <v>833</v>
      </c>
      <c r="C1174" s="16" t="s">
        <v>3298</v>
      </c>
      <c r="D1174" s="22" t="n">
        <v>46248</v>
      </c>
      <c r="E1174" s="16" t="s">
        <v>717</v>
      </c>
    </row>
    <row r="1175" customFormat="false" ht="15" hidden="false" customHeight="false" outlineLevel="0" collapsed="false">
      <c r="A1175" s="16" t="s">
        <v>4473</v>
      </c>
      <c r="B1175" s="16" t="s">
        <v>833</v>
      </c>
      <c r="C1175" s="16" t="s">
        <v>3330</v>
      </c>
      <c r="D1175" s="22" t="n">
        <v>45945</v>
      </c>
      <c r="E1175" s="16" t="s">
        <v>717</v>
      </c>
    </row>
    <row r="1176" customFormat="false" ht="15" hidden="false" customHeight="false" outlineLevel="0" collapsed="false">
      <c r="A1176" s="16" t="s">
        <v>4474</v>
      </c>
      <c r="B1176" s="16" t="s">
        <v>218</v>
      </c>
      <c r="C1176" s="16" t="s">
        <v>3306</v>
      </c>
      <c r="D1176" s="22" t="n">
        <v>46199</v>
      </c>
      <c r="E1176" s="16" t="s">
        <v>600</v>
      </c>
    </row>
    <row r="1177" customFormat="false" ht="15" hidden="false" customHeight="false" outlineLevel="0" collapsed="false">
      <c r="A1177" s="16" t="s">
        <v>4475</v>
      </c>
      <c r="B1177" s="16" t="s">
        <v>218</v>
      </c>
      <c r="C1177" s="16" t="s">
        <v>3302</v>
      </c>
      <c r="D1177" s="22" t="n">
        <v>46257</v>
      </c>
      <c r="E1177" s="16" t="s">
        <v>600</v>
      </c>
    </row>
    <row r="1178" customFormat="false" ht="15" hidden="false" customHeight="false" outlineLevel="0" collapsed="false">
      <c r="A1178" s="16" t="s">
        <v>4476</v>
      </c>
      <c r="B1178" s="16" t="s">
        <v>218</v>
      </c>
      <c r="C1178" s="16" t="s">
        <v>3302</v>
      </c>
      <c r="D1178" s="22" t="n">
        <v>45972</v>
      </c>
      <c r="E1178" s="16" t="s">
        <v>600</v>
      </c>
    </row>
    <row r="1179" customFormat="false" ht="15" hidden="false" customHeight="false" outlineLevel="0" collapsed="false">
      <c r="A1179" s="16" t="s">
        <v>4477</v>
      </c>
      <c r="B1179" s="16" t="s">
        <v>446</v>
      </c>
      <c r="C1179" s="16" t="s">
        <v>3306</v>
      </c>
      <c r="D1179" s="22" t="n">
        <v>46290</v>
      </c>
      <c r="E1179" s="16" t="s">
        <v>600</v>
      </c>
    </row>
    <row r="1180" customFormat="false" ht="15" hidden="false" customHeight="false" outlineLevel="0" collapsed="false">
      <c r="A1180" s="16" t="s">
        <v>4478</v>
      </c>
      <c r="B1180" s="16" t="s">
        <v>1280</v>
      </c>
      <c r="C1180" s="16" t="s">
        <v>3330</v>
      </c>
      <c r="D1180" s="22" t="n">
        <v>45926</v>
      </c>
      <c r="E1180" s="16" t="s">
        <v>640</v>
      </c>
    </row>
    <row r="1181" customFormat="false" ht="15" hidden="false" customHeight="false" outlineLevel="0" collapsed="false">
      <c r="A1181" s="16" t="s">
        <v>4479</v>
      </c>
      <c r="B1181" s="16" t="s">
        <v>1280</v>
      </c>
      <c r="C1181" s="16" t="s">
        <v>3310</v>
      </c>
      <c r="D1181" s="22" t="n">
        <v>46004</v>
      </c>
      <c r="E1181" s="16" t="s">
        <v>640</v>
      </c>
    </row>
    <row r="1182" customFormat="false" ht="15" hidden="false" customHeight="false" outlineLevel="0" collapsed="false">
      <c r="A1182" s="16" t="s">
        <v>4480</v>
      </c>
      <c r="B1182" s="16" t="s">
        <v>1280</v>
      </c>
      <c r="C1182" s="16" t="s">
        <v>3306</v>
      </c>
      <c r="D1182" s="22" t="n">
        <v>46029</v>
      </c>
      <c r="E1182" s="16" t="s">
        <v>640</v>
      </c>
    </row>
    <row r="1183" customFormat="false" ht="15" hidden="false" customHeight="false" outlineLevel="0" collapsed="false">
      <c r="A1183" s="16" t="s">
        <v>4481</v>
      </c>
      <c r="B1183" s="16" t="s">
        <v>1280</v>
      </c>
      <c r="C1183" s="16" t="s">
        <v>3302</v>
      </c>
      <c r="D1183" s="22" t="n">
        <v>46205</v>
      </c>
      <c r="E1183" s="16" t="s">
        <v>640</v>
      </c>
    </row>
    <row r="1184" customFormat="false" ht="15" hidden="false" customHeight="false" outlineLevel="0" collapsed="false">
      <c r="A1184" s="16" t="s">
        <v>4482</v>
      </c>
      <c r="B1184" s="16" t="s">
        <v>2301</v>
      </c>
      <c r="C1184" s="16" t="s">
        <v>3330</v>
      </c>
      <c r="D1184" s="22" t="n">
        <v>45953</v>
      </c>
      <c r="E1184" s="16" t="s">
        <v>604</v>
      </c>
    </row>
    <row r="1185" customFormat="false" ht="15" hidden="false" customHeight="false" outlineLevel="0" collapsed="false">
      <c r="A1185" s="16" t="s">
        <v>4483</v>
      </c>
      <c r="B1185" s="16" t="s">
        <v>2301</v>
      </c>
      <c r="C1185" s="16" t="s">
        <v>3302</v>
      </c>
      <c r="D1185" s="22" t="n">
        <v>46022</v>
      </c>
      <c r="E1185" s="16" t="s">
        <v>604</v>
      </c>
    </row>
    <row r="1186" customFormat="false" ht="15" hidden="false" customHeight="false" outlineLevel="0" collapsed="false">
      <c r="A1186" s="16" t="s">
        <v>4484</v>
      </c>
      <c r="B1186" s="16" t="s">
        <v>3057</v>
      </c>
      <c r="C1186" s="16" t="s">
        <v>3302</v>
      </c>
      <c r="D1186" s="22" t="n">
        <v>46224</v>
      </c>
      <c r="E1186" s="16" t="s">
        <v>729</v>
      </c>
    </row>
    <row r="1187" customFormat="false" ht="15" hidden="false" customHeight="false" outlineLevel="0" collapsed="false">
      <c r="A1187" s="16" t="s">
        <v>4485</v>
      </c>
      <c r="B1187" s="16" t="s">
        <v>185</v>
      </c>
      <c r="C1187" s="16" t="s">
        <v>3310</v>
      </c>
      <c r="D1187" s="22" t="n">
        <v>45947</v>
      </c>
      <c r="E1187" s="16" t="s">
        <v>604</v>
      </c>
    </row>
    <row r="1188" customFormat="false" ht="15" hidden="false" customHeight="false" outlineLevel="0" collapsed="false">
      <c r="A1188" s="16" t="s">
        <v>4486</v>
      </c>
      <c r="B1188" s="16" t="s">
        <v>1664</v>
      </c>
      <c r="C1188" s="16" t="s">
        <v>3310</v>
      </c>
      <c r="D1188" s="22" t="n">
        <v>46117</v>
      </c>
      <c r="E1188" s="16" t="s">
        <v>663</v>
      </c>
    </row>
    <row r="1189" customFormat="false" ht="15" hidden="false" customHeight="false" outlineLevel="0" collapsed="false">
      <c r="A1189" s="16" t="s">
        <v>4487</v>
      </c>
      <c r="B1189" s="16" t="s">
        <v>1664</v>
      </c>
      <c r="C1189" s="16" t="s">
        <v>3310</v>
      </c>
      <c r="D1189" s="22" t="n">
        <v>46154</v>
      </c>
      <c r="E1189" s="16" t="s">
        <v>663</v>
      </c>
    </row>
    <row r="1190" customFormat="false" ht="15" hidden="false" customHeight="false" outlineLevel="0" collapsed="false">
      <c r="A1190" s="16" t="s">
        <v>4488</v>
      </c>
      <c r="B1190" s="16" t="s">
        <v>1664</v>
      </c>
      <c r="C1190" s="16" t="s">
        <v>3306</v>
      </c>
      <c r="D1190" s="22" t="n">
        <v>46203</v>
      </c>
      <c r="E1190" s="16" t="s">
        <v>663</v>
      </c>
    </row>
    <row r="1191" customFormat="false" ht="15" hidden="false" customHeight="false" outlineLevel="0" collapsed="false">
      <c r="A1191" s="16" t="s">
        <v>4489</v>
      </c>
      <c r="B1191" s="16" t="s">
        <v>3064</v>
      </c>
      <c r="C1191" s="16" t="s">
        <v>3306</v>
      </c>
      <c r="D1191" s="22" t="n">
        <v>46186</v>
      </c>
      <c r="E1191" s="16" t="s">
        <v>573</v>
      </c>
    </row>
    <row r="1192" customFormat="false" ht="15" hidden="false" customHeight="false" outlineLevel="0" collapsed="false">
      <c r="A1192" s="16" t="s">
        <v>4490</v>
      </c>
      <c r="B1192" s="16" t="s">
        <v>3064</v>
      </c>
      <c r="C1192" s="16" t="s">
        <v>3300</v>
      </c>
      <c r="D1192" s="22" t="n">
        <v>46068</v>
      </c>
      <c r="E1192" s="16" t="s">
        <v>573</v>
      </c>
    </row>
    <row r="1193" customFormat="false" ht="15" hidden="false" customHeight="false" outlineLevel="0" collapsed="false">
      <c r="A1193" s="16" t="s">
        <v>4491</v>
      </c>
      <c r="B1193" s="16" t="s">
        <v>296</v>
      </c>
      <c r="C1193" s="16" t="s">
        <v>3302</v>
      </c>
      <c r="D1193" s="22" t="n">
        <v>46047</v>
      </c>
      <c r="E1193" s="16" t="s">
        <v>651</v>
      </c>
    </row>
    <row r="1194" customFormat="false" ht="15" hidden="false" customHeight="false" outlineLevel="0" collapsed="false">
      <c r="A1194" s="16" t="s">
        <v>4492</v>
      </c>
      <c r="B1194" s="16" t="s">
        <v>224</v>
      </c>
      <c r="C1194" s="16" t="s">
        <v>3330</v>
      </c>
      <c r="D1194" s="22" t="n">
        <v>46214</v>
      </c>
      <c r="E1194" s="16" t="s">
        <v>685</v>
      </c>
    </row>
    <row r="1195" customFormat="false" ht="15" hidden="false" customHeight="false" outlineLevel="0" collapsed="false">
      <c r="A1195" s="16" t="s">
        <v>4493</v>
      </c>
      <c r="B1195" s="16" t="s">
        <v>224</v>
      </c>
      <c r="C1195" s="16" t="s">
        <v>3302</v>
      </c>
      <c r="D1195" s="22" t="n">
        <v>46134</v>
      </c>
      <c r="E1195" s="16" t="s">
        <v>685</v>
      </c>
    </row>
    <row r="1196" customFormat="false" ht="15" hidden="false" customHeight="false" outlineLevel="0" collapsed="false">
      <c r="A1196" s="16" t="s">
        <v>4494</v>
      </c>
      <c r="B1196" s="16" t="s">
        <v>1512</v>
      </c>
      <c r="C1196" s="16" t="s">
        <v>3302</v>
      </c>
      <c r="D1196" s="22" t="n">
        <v>46142</v>
      </c>
      <c r="E1196" s="16" t="s">
        <v>646</v>
      </c>
    </row>
    <row r="1197" customFormat="false" ht="15" hidden="false" customHeight="false" outlineLevel="0" collapsed="false">
      <c r="A1197" s="16" t="s">
        <v>4495</v>
      </c>
      <c r="B1197" s="16" t="s">
        <v>1512</v>
      </c>
      <c r="C1197" s="16" t="s">
        <v>3302</v>
      </c>
      <c r="D1197" s="22" t="n">
        <v>46100</v>
      </c>
      <c r="E1197" s="16" t="s">
        <v>646</v>
      </c>
    </row>
    <row r="1198" customFormat="false" ht="15" hidden="false" customHeight="false" outlineLevel="0" collapsed="false">
      <c r="A1198" s="16" t="s">
        <v>4496</v>
      </c>
      <c r="B1198" s="16" t="s">
        <v>2101</v>
      </c>
      <c r="C1198" s="16" t="s">
        <v>3306</v>
      </c>
      <c r="D1198" s="22" t="n">
        <v>46161</v>
      </c>
      <c r="E1198" s="16" t="s">
        <v>717</v>
      </c>
    </row>
    <row r="1199" customFormat="false" ht="15" hidden="false" customHeight="false" outlineLevel="0" collapsed="false">
      <c r="A1199" s="16" t="s">
        <v>4497</v>
      </c>
      <c r="B1199" s="16" t="s">
        <v>2101</v>
      </c>
      <c r="C1199" s="16" t="s">
        <v>3330</v>
      </c>
      <c r="D1199" s="22" t="n">
        <v>46223</v>
      </c>
      <c r="E1199" s="16" t="s">
        <v>717</v>
      </c>
    </row>
    <row r="1200" customFormat="false" ht="15" hidden="false" customHeight="false" outlineLevel="0" collapsed="false">
      <c r="A1200" s="16" t="s">
        <v>4498</v>
      </c>
      <c r="B1200" s="16" t="s">
        <v>2288</v>
      </c>
      <c r="C1200" s="16" t="s">
        <v>3306</v>
      </c>
      <c r="D1200" s="22" t="n">
        <v>46167</v>
      </c>
      <c r="E1200" s="16" t="s">
        <v>717</v>
      </c>
    </row>
    <row r="1201" customFormat="false" ht="15" hidden="false" customHeight="false" outlineLevel="0" collapsed="false">
      <c r="A1201" s="16" t="s">
        <v>4499</v>
      </c>
      <c r="B1201" s="16" t="s">
        <v>2288</v>
      </c>
      <c r="C1201" s="16" t="s">
        <v>3302</v>
      </c>
      <c r="D1201" s="22" t="n">
        <v>46116</v>
      </c>
      <c r="E1201" s="16" t="s">
        <v>717</v>
      </c>
    </row>
    <row r="1202" customFormat="false" ht="15" hidden="false" customHeight="false" outlineLevel="0" collapsed="false">
      <c r="A1202" s="16" t="s">
        <v>4500</v>
      </c>
      <c r="B1202" s="16" t="s">
        <v>3077</v>
      </c>
      <c r="C1202" s="16" t="s">
        <v>3306</v>
      </c>
      <c r="D1202" s="22" t="n">
        <v>46060</v>
      </c>
      <c r="E1202" s="16" t="s">
        <v>646</v>
      </c>
    </row>
    <row r="1203" customFormat="false" ht="15" hidden="false" customHeight="false" outlineLevel="0" collapsed="false">
      <c r="A1203" s="16" t="s">
        <v>4501</v>
      </c>
      <c r="B1203" s="16" t="s">
        <v>1170</v>
      </c>
      <c r="C1203" s="16" t="s">
        <v>3300</v>
      </c>
      <c r="D1203" s="22" t="n">
        <v>46261</v>
      </c>
      <c r="E1203" s="16" t="s">
        <v>677</v>
      </c>
    </row>
    <row r="1204" customFormat="false" ht="15" hidden="false" customHeight="false" outlineLevel="0" collapsed="false">
      <c r="A1204" s="16" t="s">
        <v>4502</v>
      </c>
      <c r="B1204" s="16" t="s">
        <v>1170</v>
      </c>
      <c r="C1204" s="16" t="s">
        <v>3302</v>
      </c>
      <c r="D1204" s="22" t="n">
        <v>46226</v>
      </c>
      <c r="E1204" s="16" t="s">
        <v>677</v>
      </c>
    </row>
    <row r="1205" customFormat="false" ht="15" hidden="false" customHeight="false" outlineLevel="0" collapsed="false">
      <c r="A1205" s="16" t="s">
        <v>4503</v>
      </c>
      <c r="B1205" s="16" t="s">
        <v>1170</v>
      </c>
      <c r="C1205" s="16" t="s">
        <v>3302</v>
      </c>
      <c r="D1205" s="22" t="n">
        <v>46195</v>
      </c>
      <c r="E1205" s="16" t="s">
        <v>677</v>
      </c>
    </row>
    <row r="1206" customFormat="false" ht="15" hidden="false" customHeight="false" outlineLevel="0" collapsed="false">
      <c r="A1206" s="16" t="s">
        <v>4504</v>
      </c>
      <c r="B1206" s="16" t="s">
        <v>231</v>
      </c>
      <c r="C1206" s="16" t="s">
        <v>3310</v>
      </c>
      <c r="D1206" s="22" t="n">
        <v>46247</v>
      </c>
      <c r="E1206" s="16" t="s">
        <v>591</v>
      </c>
    </row>
    <row r="1207" customFormat="false" ht="15" hidden="false" customHeight="false" outlineLevel="0" collapsed="false">
      <c r="A1207" s="16" t="s">
        <v>4505</v>
      </c>
      <c r="B1207" s="16" t="s">
        <v>1944</v>
      </c>
      <c r="C1207" s="16" t="s">
        <v>3302</v>
      </c>
      <c r="D1207" s="22" t="n">
        <v>46282</v>
      </c>
      <c r="E1207" s="16" t="s">
        <v>596</v>
      </c>
    </row>
    <row r="1208" customFormat="false" ht="15" hidden="false" customHeight="false" outlineLevel="0" collapsed="false">
      <c r="A1208" s="16" t="s">
        <v>4506</v>
      </c>
      <c r="B1208" s="16" t="s">
        <v>1147</v>
      </c>
      <c r="C1208" s="16" t="s">
        <v>3298</v>
      </c>
      <c r="D1208" s="22" t="n">
        <v>46293</v>
      </c>
      <c r="E1208" s="16" t="s">
        <v>604</v>
      </c>
    </row>
    <row r="1209" customFormat="false" ht="15" hidden="false" customHeight="false" outlineLevel="0" collapsed="false">
      <c r="A1209" s="16" t="s">
        <v>4507</v>
      </c>
      <c r="B1209" s="16" t="s">
        <v>1147</v>
      </c>
      <c r="C1209" s="16" t="s">
        <v>3302</v>
      </c>
      <c r="D1209" s="22" t="n">
        <v>46271</v>
      </c>
      <c r="E1209" s="16" t="s">
        <v>604</v>
      </c>
    </row>
    <row r="1210" customFormat="false" ht="15" hidden="false" customHeight="false" outlineLevel="0" collapsed="false">
      <c r="A1210" s="16" t="s">
        <v>4508</v>
      </c>
      <c r="B1210" s="16" t="s">
        <v>1147</v>
      </c>
      <c r="C1210" s="16" t="s">
        <v>3300</v>
      </c>
      <c r="D1210" s="22" t="n">
        <v>46127</v>
      </c>
      <c r="E1210" s="16" t="s">
        <v>604</v>
      </c>
    </row>
    <row r="1211" customFormat="false" ht="15" hidden="false" customHeight="false" outlineLevel="0" collapsed="false">
      <c r="A1211" s="16" t="s">
        <v>4509</v>
      </c>
      <c r="B1211" s="16" t="s">
        <v>190</v>
      </c>
      <c r="C1211" s="16" t="s">
        <v>3306</v>
      </c>
      <c r="D1211" s="22" t="n">
        <v>46137</v>
      </c>
      <c r="E1211" s="16" t="s">
        <v>646</v>
      </c>
    </row>
    <row r="1212" customFormat="false" ht="15" hidden="false" customHeight="false" outlineLevel="0" collapsed="false">
      <c r="A1212" s="16" t="s">
        <v>4510</v>
      </c>
      <c r="B1212" s="16" t="s">
        <v>190</v>
      </c>
      <c r="C1212" s="16" t="s">
        <v>3330</v>
      </c>
      <c r="D1212" s="22" t="n">
        <v>45951</v>
      </c>
      <c r="E1212" s="16" t="s">
        <v>646</v>
      </c>
    </row>
    <row r="1213" customFormat="false" ht="15" hidden="false" customHeight="false" outlineLevel="0" collapsed="false">
      <c r="A1213" s="16" t="s">
        <v>4511</v>
      </c>
      <c r="B1213" s="16" t="s">
        <v>190</v>
      </c>
      <c r="C1213" s="16" t="s">
        <v>3300</v>
      </c>
      <c r="D1213" s="22" t="n">
        <v>46146</v>
      </c>
      <c r="E1213" s="16" t="s">
        <v>646</v>
      </c>
    </row>
    <row r="1214" customFormat="false" ht="15" hidden="false" customHeight="false" outlineLevel="0" collapsed="false">
      <c r="A1214" s="16" t="s">
        <v>4512</v>
      </c>
      <c r="B1214" s="16" t="s">
        <v>190</v>
      </c>
      <c r="C1214" s="16" t="s">
        <v>3300</v>
      </c>
      <c r="D1214" s="22" t="n">
        <v>45965</v>
      </c>
      <c r="E1214" s="16" t="s">
        <v>646</v>
      </c>
    </row>
    <row r="1215" customFormat="false" ht="15" hidden="false" customHeight="false" outlineLevel="0" collapsed="false">
      <c r="A1215" s="16" t="s">
        <v>4513</v>
      </c>
      <c r="B1215" s="16" t="s">
        <v>2134</v>
      </c>
      <c r="C1215" s="16" t="s">
        <v>3300</v>
      </c>
      <c r="D1215" s="22" t="n">
        <v>46312</v>
      </c>
      <c r="E1215" s="16" t="s">
        <v>591</v>
      </c>
    </row>
    <row r="1216" customFormat="false" ht="15" hidden="false" customHeight="false" outlineLevel="0" collapsed="false">
      <c r="A1216" s="16" t="s">
        <v>4514</v>
      </c>
      <c r="B1216" s="16" t="s">
        <v>488</v>
      </c>
      <c r="C1216" s="16" t="s">
        <v>3330</v>
      </c>
      <c r="D1216" s="22" t="n">
        <v>46050</v>
      </c>
      <c r="E1216" s="16" t="s">
        <v>578</v>
      </c>
    </row>
    <row r="1217" customFormat="false" ht="15" hidden="false" customHeight="false" outlineLevel="0" collapsed="false">
      <c r="A1217" s="16" t="s">
        <v>4515</v>
      </c>
      <c r="B1217" s="16" t="s">
        <v>488</v>
      </c>
      <c r="C1217" s="16" t="s">
        <v>3302</v>
      </c>
      <c r="D1217" s="22" t="n">
        <v>46017</v>
      </c>
      <c r="E1217" s="16" t="s">
        <v>578</v>
      </c>
    </row>
    <row r="1218" customFormat="false" ht="15" hidden="false" customHeight="false" outlineLevel="0" collapsed="false">
      <c r="A1218" s="16" t="s">
        <v>4516</v>
      </c>
      <c r="B1218" s="16" t="s">
        <v>478</v>
      </c>
      <c r="C1218" s="16" t="s">
        <v>3306</v>
      </c>
      <c r="D1218" s="22" t="n">
        <v>46055</v>
      </c>
      <c r="E1218" s="16" t="s">
        <v>600</v>
      </c>
    </row>
    <row r="1219" customFormat="false" ht="15" hidden="false" customHeight="false" outlineLevel="0" collapsed="false">
      <c r="A1219" s="16" t="s">
        <v>4517</v>
      </c>
      <c r="B1219" s="16" t="s">
        <v>478</v>
      </c>
      <c r="C1219" s="16" t="s">
        <v>3300</v>
      </c>
      <c r="D1219" s="22" t="n">
        <v>46140</v>
      </c>
      <c r="E1219" s="16" t="s">
        <v>600</v>
      </c>
    </row>
    <row r="1220" customFormat="false" ht="15" hidden="false" customHeight="false" outlineLevel="0" collapsed="false">
      <c r="A1220" s="16" t="s">
        <v>4518</v>
      </c>
      <c r="B1220" s="16" t="s">
        <v>478</v>
      </c>
      <c r="C1220" s="16" t="s">
        <v>3306</v>
      </c>
      <c r="D1220" s="22" t="n">
        <v>46029</v>
      </c>
      <c r="E1220" s="16" t="s">
        <v>600</v>
      </c>
    </row>
    <row r="1221" customFormat="false" ht="15" hidden="false" customHeight="false" outlineLevel="0" collapsed="false">
      <c r="A1221" s="16" t="s">
        <v>4519</v>
      </c>
      <c r="B1221" s="16" t="s">
        <v>478</v>
      </c>
      <c r="C1221" s="16" t="s">
        <v>3298</v>
      </c>
      <c r="D1221" s="22" t="n">
        <v>46082</v>
      </c>
      <c r="E1221" s="16" t="s">
        <v>600</v>
      </c>
    </row>
    <row r="1222" customFormat="false" ht="15" hidden="false" customHeight="false" outlineLevel="0" collapsed="false">
      <c r="A1222" s="16" t="s">
        <v>4520</v>
      </c>
      <c r="B1222" s="16" t="s">
        <v>435</v>
      </c>
      <c r="C1222" s="16" t="s">
        <v>3330</v>
      </c>
      <c r="D1222" s="22" t="n">
        <v>46121</v>
      </c>
      <c r="E1222" s="16" t="s">
        <v>567</v>
      </c>
    </row>
    <row r="1223" customFormat="false" ht="15" hidden="false" customHeight="false" outlineLevel="0" collapsed="false">
      <c r="A1223" s="16" t="s">
        <v>4521</v>
      </c>
      <c r="B1223" s="16" t="s">
        <v>2459</v>
      </c>
      <c r="C1223" s="16" t="s">
        <v>3302</v>
      </c>
      <c r="D1223" s="22" t="n">
        <v>46011</v>
      </c>
      <c r="E1223" s="16" t="s">
        <v>596</v>
      </c>
    </row>
    <row r="1224" customFormat="false" ht="15" hidden="false" customHeight="false" outlineLevel="0" collapsed="false">
      <c r="A1224" s="16" t="s">
        <v>4522</v>
      </c>
      <c r="B1224" s="16" t="s">
        <v>2459</v>
      </c>
      <c r="C1224" s="16" t="s">
        <v>3306</v>
      </c>
      <c r="D1224" s="22" t="n">
        <v>46244</v>
      </c>
      <c r="E1224" s="16" t="s">
        <v>596</v>
      </c>
    </row>
    <row r="1225" customFormat="false" ht="15" hidden="false" customHeight="false" outlineLevel="0" collapsed="false">
      <c r="A1225" s="16" t="s">
        <v>4523</v>
      </c>
      <c r="B1225" s="16" t="s">
        <v>2459</v>
      </c>
      <c r="C1225" s="16" t="s">
        <v>3298</v>
      </c>
      <c r="D1225" s="22" t="n">
        <v>45987</v>
      </c>
      <c r="E1225" s="16" t="s">
        <v>596</v>
      </c>
    </row>
    <row r="1226" customFormat="false" ht="15" hidden="false" customHeight="false" outlineLevel="0" collapsed="false">
      <c r="A1226" s="16" t="s">
        <v>4524</v>
      </c>
      <c r="B1226" s="16" t="s">
        <v>2459</v>
      </c>
      <c r="C1226" s="16" t="s">
        <v>3330</v>
      </c>
      <c r="D1226" s="22" t="n">
        <v>45920</v>
      </c>
      <c r="E1226" s="16" t="s">
        <v>596</v>
      </c>
    </row>
    <row r="1227" customFormat="false" ht="15" hidden="false" customHeight="false" outlineLevel="0" collapsed="false">
      <c r="A1227" s="16" t="s">
        <v>4525</v>
      </c>
      <c r="B1227" s="16" t="s">
        <v>493</v>
      </c>
      <c r="C1227" s="16" t="s">
        <v>3310</v>
      </c>
      <c r="D1227" s="22" t="n">
        <v>46198</v>
      </c>
      <c r="E1227" s="16" t="s">
        <v>578</v>
      </c>
    </row>
    <row r="1228" customFormat="false" ht="15" hidden="false" customHeight="false" outlineLevel="0" collapsed="false">
      <c r="A1228" s="16" t="s">
        <v>4526</v>
      </c>
      <c r="B1228" s="16" t="s">
        <v>493</v>
      </c>
      <c r="C1228" s="16" t="s">
        <v>3306</v>
      </c>
      <c r="D1228" s="22" t="n">
        <v>45936</v>
      </c>
      <c r="E1228" s="16" t="s">
        <v>578</v>
      </c>
    </row>
    <row r="1229" customFormat="false" ht="15" hidden="false" customHeight="false" outlineLevel="0" collapsed="false">
      <c r="A1229" s="16" t="s">
        <v>4527</v>
      </c>
      <c r="B1229" s="16" t="s">
        <v>1692</v>
      </c>
      <c r="C1229" s="16" t="s">
        <v>3306</v>
      </c>
      <c r="D1229" s="22" t="n">
        <v>46230</v>
      </c>
      <c r="E1229" s="16" t="s">
        <v>717</v>
      </c>
    </row>
    <row r="1230" customFormat="false" ht="15" hidden="false" customHeight="false" outlineLevel="0" collapsed="false">
      <c r="A1230" s="16" t="s">
        <v>4528</v>
      </c>
      <c r="B1230" s="16" t="s">
        <v>1692</v>
      </c>
      <c r="C1230" s="16" t="s">
        <v>3300</v>
      </c>
      <c r="D1230" s="22" t="n">
        <v>45947</v>
      </c>
      <c r="E1230" s="16" t="s">
        <v>717</v>
      </c>
    </row>
    <row r="1231" customFormat="false" ht="15" hidden="false" customHeight="false" outlineLevel="0" collapsed="false">
      <c r="A1231" s="16" t="s">
        <v>4529</v>
      </c>
      <c r="B1231" s="16" t="s">
        <v>1692</v>
      </c>
      <c r="C1231" s="16" t="s">
        <v>3298</v>
      </c>
      <c r="D1231" s="22" t="n">
        <v>46138</v>
      </c>
      <c r="E1231" s="16" t="s">
        <v>717</v>
      </c>
    </row>
    <row r="1232" customFormat="false" ht="15" hidden="false" customHeight="false" outlineLevel="0" collapsed="false">
      <c r="A1232" s="16" t="s">
        <v>4530</v>
      </c>
      <c r="B1232" s="16" t="s">
        <v>1692</v>
      </c>
      <c r="C1232" s="16" t="s">
        <v>3302</v>
      </c>
      <c r="D1232" s="22" t="n">
        <v>46122</v>
      </c>
      <c r="E1232" s="16" t="s">
        <v>717</v>
      </c>
    </row>
    <row r="1233" customFormat="false" ht="15" hidden="false" customHeight="false" outlineLevel="0" collapsed="false">
      <c r="A1233" s="16" t="s">
        <v>4531</v>
      </c>
      <c r="B1233" s="16" t="s">
        <v>3106</v>
      </c>
      <c r="C1233" s="16" t="s">
        <v>3310</v>
      </c>
      <c r="D1233" s="22" t="n">
        <v>46266</v>
      </c>
      <c r="E1233" s="16" t="s">
        <v>691</v>
      </c>
    </row>
    <row r="1234" customFormat="false" ht="15" hidden="false" customHeight="false" outlineLevel="0" collapsed="false">
      <c r="A1234" s="16" t="s">
        <v>4532</v>
      </c>
      <c r="B1234" s="16" t="s">
        <v>3106</v>
      </c>
      <c r="C1234" s="16" t="s">
        <v>3302</v>
      </c>
      <c r="D1234" s="22" t="n">
        <v>46216</v>
      </c>
      <c r="E1234" s="16" t="s">
        <v>691</v>
      </c>
    </row>
    <row r="1235" customFormat="false" ht="15" hidden="false" customHeight="false" outlineLevel="0" collapsed="false">
      <c r="A1235" s="16" t="s">
        <v>4533</v>
      </c>
      <c r="B1235" s="16" t="s">
        <v>3106</v>
      </c>
      <c r="C1235" s="16" t="s">
        <v>3330</v>
      </c>
      <c r="D1235" s="22" t="n">
        <v>46213</v>
      </c>
      <c r="E1235" s="16" t="s">
        <v>691</v>
      </c>
    </row>
    <row r="1236" customFormat="false" ht="15" hidden="false" customHeight="false" outlineLevel="0" collapsed="false">
      <c r="A1236" s="16" t="s">
        <v>4534</v>
      </c>
      <c r="B1236" s="16" t="s">
        <v>3106</v>
      </c>
      <c r="C1236" s="16" t="s">
        <v>3330</v>
      </c>
      <c r="D1236" s="22" t="n">
        <v>46164</v>
      </c>
      <c r="E1236" s="16" t="s">
        <v>691</v>
      </c>
    </row>
    <row r="1237" customFormat="false" ht="15" hidden="false" customHeight="false" outlineLevel="0" collapsed="false">
      <c r="A1237" s="16" t="s">
        <v>4535</v>
      </c>
      <c r="B1237" s="16" t="s">
        <v>3106</v>
      </c>
      <c r="C1237" s="16" t="s">
        <v>3330</v>
      </c>
      <c r="D1237" s="22" t="n">
        <v>46162</v>
      </c>
      <c r="E1237" s="16" t="s">
        <v>691</v>
      </c>
    </row>
    <row r="1238" customFormat="false" ht="15" hidden="false" customHeight="false" outlineLevel="0" collapsed="false">
      <c r="A1238" s="16" t="s">
        <v>4536</v>
      </c>
      <c r="B1238" s="16" t="s">
        <v>3106</v>
      </c>
      <c r="C1238" s="16" t="s">
        <v>3330</v>
      </c>
      <c r="D1238" s="22" t="n">
        <v>46065</v>
      </c>
      <c r="E1238" s="16" t="s">
        <v>691</v>
      </c>
    </row>
    <row r="1239" customFormat="false" ht="15" hidden="false" customHeight="false" outlineLevel="0" collapsed="false">
      <c r="A1239" s="16" t="s">
        <v>4537</v>
      </c>
      <c r="B1239" s="16" t="s">
        <v>256</v>
      </c>
      <c r="C1239" s="16" t="s">
        <v>3302</v>
      </c>
      <c r="D1239" s="22" t="n">
        <v>46273</v>
      </c>
      <c r="E1239" s="16" t="s">
        <v>588</v>
      </c>
    </row>
    <row r="1240" customFormat="false" ht="15" hidden="false" customHeight="false" outlineLevel="0" collapsed="false">
      <c r="A1240" s="16" t="s">
        <v>4538</v>
      </c>
      <c r="B1240" s="16" t="s">
        <v>256</v>
      </c>
      <c r="C1240" s="16" t="s">
        <v>3310</v>
      </c>
      <c r="D1240" s="22" t="n">
        <v>46116</v>
      </c>
      <c r="E1240" s="16" t="s">
        <v>588</v>
      </c>
    </row>
    <row r="1241" customFormat="false" ht="15" hidden="false" customHeight="false" outlineLevel="0" collapsed="false">
      <c r="A1241" s="16" t="s">
        <v>4539</v>
      </c>
      <c r="B1241" s="16" t="s">
        <v>3111</v>
      </c>
      <c r="C1241" s="16" t="s">
        <v>3306</v>
      </c>
      <c r="D1241" s="22" t="n">
        <v>46082</v>
      </c>
      <c r="E1241" s="16" t="s">
        <v>567</v>
      </c>
    </row>
    <row r="1242" customFormat="false" ht="15" hidden="false" customHeight="false" outlineLevel="0" collapsed="false">
      <c r="A1242" s="16" t="s">
        <v>4540</v>
      </c>
      <c r="B1242" s="16" t="s">
        <v>3111</v>
      </c>
      <c r="C1242" s="16" t="s">
        <v>3310</v>
      </c>
      <c r="D1242" s="22" t="n">
        <v>46214</v>
      </c>
      <c r="E1242" s="16" t="s">
        <v>567</v>
      </c>
    </row>
    <row r="1243" customFormat="false" ht="15" hidden="false" customHeight="false" outlineLevel="0" collapsed="false">
      <c r="A1243" s="16" t="s">
        <v>4541</v>
      </c>
      <c r="B1243" s="16" t="s">
        <v>3111</v>
      </c>
      <c r="C1243" s="16" t="s">
        <v>3310</v>
      </c>
      <c r="D1243" s="22" t="n">
        <v>45994</v>
      </c>
      <c r="E1243" s="16" t="s">
        <v>567</v>
      </c>
    </row>
    <row r="1244" customFormat="false" ht="15" hidden="false" customHeight="false" outlineLevel="0" collapsed="false">
      <c r="A1244" s="16" t="s">
        <v>4542</v>
      </c>
      <c r="B1244" s="16" t="s">
        <v>3111</v>
      </c>
      <c r="C1244" s="16" t="s">
        <v>3300</v>
      </c>
      <c r="D1244" s="22" t="n">
        <v>45956</v>
      </c>
      <c r="E1244" s="16" t="s">
        <v>567</v>
      </c>
    </row>
    <row r="1245" customFormat="false" ht="15" hidden="false" customHeight="false" outlineLevel="0" collapsed="false">
      <c r="A1245" s="16" t="s">
        <v>4543</v>
      </c>
      <c r="B1245" s="16" t="s">
        <v>345</v>
      </c>
      <c r="C1245" s="16" t="s">
        <v>3302</v>
      </c>
      <c r="D1245" s="22" t="n">
        <v>45952</v>
      </c>
      <c r="E1245" s="16" t="s">
        <v>677</v>
      </c>
    </row>
    <row r="1246" customFormat="false" ht="15" hidden="false" customHeight="false" outlineLevel="0" collapsed="false">
      <c r="A1246" s="16" t="s">
        <v>4544</v>
      </c>
      <c r="B1246" s="16" t="s">
        <v>345</v>
      </c>
      <c r="C1246" s="16" t="s">
        <v>3302</v>
      </c>
      <c r="D1246" s="22" t="n">
        <v>46120</v>
      </c>
      <c r="E1246" s="16" t="s">
        <v>677</v>
      </c>
    </row>
    <row r="1247" customFormat="false" ht="15" hidden="false" customHeight="false" outlineLevel="0" collapsed="false">
      <c r="A1247" s="16" t="s">
        <v>4545</v>
      </c>
      <c r="B1247" s="16" t="s">
        <v>345</v>
      </c>
      <c r="C1247" s="16" t="s">
        <v>3300</v>
      </c>
      <c r="D1247" s="22" t="n">
        <v>46022</v>
      </c>
      <c r="E1247" s="16" t="s">
        <v>677</v>
      </c>
    </row>
    <row r="1248" customFormat="false" ht="15" hidden="false" customHeight="false" outlineLevel="0" collapsed="false">
      <c r="A1248" s="16" t="s">
        <v>4546</v>
      </c>
      <c r="B1248" s="16" t="s">
        <v>852</v>
      </c>
      <c r="C1248" s="16" t="s">
        <v>3330</v>
      </c>
      <c r="D1248" s="22" t="n">
        <v>46283</v>
      </c>
      <c r="E1248" s="16" t="s">
        <v>637</v>
      </c>
    </row>
    <row r="1249" customFormat="false" ht="15" hidden="false" customHeight="false" outlineLevel="0" collapsed="false">
      <c r="A1249" s="16" t="s">
        <v>4547</v>
      </c>
      <c r="B1249" s="16" t="s">
        <v>852</v>
      </c>
      <c r="C1249" s="16" t="s">
        <v>3310</v>
      </c>
      <c r="D1249" s="22" t="n">
        <v>46279</v>
      </c>
      <c r="E1249" s="16" t="s">
        <v>637</v>
      </c>
    </row>
    <row r="1250" customFormat="false" ht="15" hidden="false" customHeight="false" outlineLevel="0" collapsed="false">
      <c r="A1250" s="16" t="s">
        <v>4548</v>
      </c>
      <c r="B1250" s="16" t="s">
        <v>1448</v>
      </c>
      <c r="C1250" s="16" t="s">
        <v>3306</v>
      </c>
      <c r="D1250" s="22" t="n">
        <v>46247</v>
      </c>
      <c r="E1250" s="16" t="s">
        <v>860</v>
      </c>
    </row>
    <row r="1251" customFormat="false" ht="15" hidden="false" customHeight="false" outlineLevel="0" collapsed="false">
      <c r="A1251" s="16" t="s">
        <v>4549</v>
      </c>
      <c r="B1251" s="16" t="s">
        <v>1448</v>
      </c>
      <c r="C1251" s="16" t="s">
        <v>3310</v>
      </c>
      <c r="D1251" s="22" t="n">
        <v>46192</v>
      </c>
      <c r="E1251" s="16" t="s">
        <v>860</v>
      </c>
    </row>
    <row r="1252" customFormat="false" ht="15" hidden="false" customHeight="false" outlineLevel="0" collapsed="false">
      <c r="A1252" s="16" t="s">
        <v>4550</v>
      </c>
      <c r="B1252" s="16" t="s">
        <v>3126</v>
      </c>
      <c r="C1252" s="16" t="s">
        <v>3330</v>
      </c>
      <c r="D1252" s="22" t="n">
        <v>46279</v>
      </c>
      <c r="E1252" s="16" t="s">
        <v>583</v>
      </c>
    </row>
    <row r="1253" customFormat="false" ht="15" hidden="false" customHeight="false" outlineLevel="0" collapsed="false">
      <c r="A1253" s="16" t="s">
        <v>4551</v>
      </c>
      <c r="B1253" s="16" t="s">
        <v>3126</v>
      </c>
      <c r="C1253" s="16" t="s">
        <v>3330</v>
      </c>
      <c r="D1253" s="22" t="n">
        <v>46014</v>
      </c>
      <c r="E1253" s="16" t="s">
        <v>583</v>
      </c>
    </row>
    <row r="1254" customFormat="false" ht="15" hidden="false" customHeight="false" outlineLevel="0" collapsed="false">
      <c r="A1254" s="16" t="s">
        <v>4552</v>
      </c>
      <c r="B1254" s="16" t="s">
        <v>615</v>
      </c>
      <c r="C1254" s="16" t="s">
        <v>3306</v>
      </c>
      <c r="D1254" s="22" t="n">
        <v>45998</v>
      </c>
      <c r="E1254" s="16" t="s">
        <v>880</v>
      </c>
    </row>
    <row r="1255" customFormat="false" ht="15" hidden="false" customHeight="false" outlineLevel="0" collapsed="false">
      <c r="A1255" s="16" t="s">
        <v>4553</v>
      </c>
      <c r="B1255" s="16" t="s">
        <v>615</v>
      </c>
      <c r="C1255" s="16" t="s">
        <v>3306</v>
      </c>
      <c r="D1255" s="22" t="n">
        <v>45960</v>
      </c>
      <c r="E1255" s="16" t="s">
        <v>880</v>
      </c>
    </row>
    <row r="1256" customFormat="false" ht="15" hidden="false" customHeight="false" outlineLevel="0" collapsed="false">
      <c r="A1256" s="16" t="s">
        <v>4554</v>
      </c>
      <c r="B1256" s="16" t="s">
        <v>615</v>
      </c>
      <c r="C1256" s="16" t="s">
        <v>3330</v>
      </c>
      <c r="D1256" s="22" t="n">
        <v>46062</v>
      </c>
      <c r="E1256" s="16" t="s">
        <v>880</v>
      </c>
    </row>
    <row r="1257" customFormat="false" ht="15" hidden="false" customHeight="false" outlineLevel="0" collapsed="false">
      <c r="A1257" s="16" t="s">
        <v>4555</v>
      </c>
      <c r="B1257" s="16" t="s">
        <v>615</v>
      </c>
      <c r="C1257" s="16" t="s">
        <v>3302</v>
      </c>
      <c r="D1257" s="22" t="n">
        <v>45987</v>
      </c>
      <c r="E1257" s="16" t="s">
        <v>880</v>
      </c>
    </row>
    <row r="1258" customFormat="false" ht="15" hidden="false" customHeight="false" outlineLevel="0" collapsed="false">
      <c r="A1258" s="16" t="s">
        <v>4556</v>
      </c>
      <c r="B1258" s="16" t="s">
        <v>615</v>
      </c>
      <c r="C1258" s="16" t="s">
        <v>3302</v>
      </c>
      <c r="D1258" s="22" t="n">
        <v>46127</v>
      </c>
      <c r="E1258" s="16" t="s">
        <v>880</v>
      </c>
    </row>
    <row r="1259" customFormat="false" ht="15" hidden="false" customHeight="false" outlineLevel="0" collapsed="false">
      <c r="A1259" s="16" t="s">
        <v>4557</v>
      </c>
      <c r="B1259" s="16" t="s">
        <v>615</v>
      </c>
      <c r="C1259" s="16" t="s">
        <v>3300</v>
      </c>
      <c r="D1259" s="22" t="n">
        <v>45962</v>
      </c>
      <c r="E1259" s="16" t="s">
        <v>880</v>
      </c>
    </row>
    <row r="1260" customFormat="false" ht="15" hidden="false" customHeight="false" outlineLevel="0" collapsed="false">
      <c r="A1260" s="16" t="s">
        <v>4558</v>
      </c>
      <c r="B1260" s="16" t="s">
        <v>615</v>
      </c>
      <c r="C1260" s="16" t="s">
        <v>3310</v>
      </c>
      <c r="D1260" s="22" t="n">
        <v>46231</v>
      </c>
      <c r="E1260" s="16" t="s">
        <v>880</v>
      </c>
    </row>
    <row r="1261" customFormat="false" ht="15" hidden="false" customHeight="false" outlineLevel="0" collapsed="false">
      <c r="A1261" s="16" t="s">
        <v>4559</v>
      </c>
      <c r="B1261" s="16" t="s">
        <v>615</v>
      </c>
      <c r="C1261" s="16" t="s">
        <v>3330</v>
      </c>
      <c r="D1261" s="22" t="n">
        <v>46180</v>
      </c>
      <c r="E1261" s="16" t="s">
        <v>880</v>
      </c>
    </row>
    <row r="1262" customFormat="false" ht="15" hidden="false" customHeight="false" outlineLevel="0" collapsed="false">
      <c r="A1262" s="16" t="s">
        <v>4560</v>
      </c>
      <c r="B1262" s="16" t="s">
        <v>450</v>
      </c>
      <c r="C1262" s="16" t="s">
        <v>3306</v>
      </c>
      <c r="D1262" s="22" t="n">
        <v>45967</v>
      </c>
      <c r="E1262" s="16" t="s">
        <v>831</v>
      </c>
    </row>
    <row r="1263" customFormat="false" ht="15" hidden="false" customHeight="false" outlineLevel="0" collapsed="false">
      <c r="A1263" s="16" t="s">
        <v>4561</v>
      </c>
      <c r="B1263" s="16" t="s">
        <v>450</v>
      </c>
      <c r="C1263" s="16" t="s">
        <v>3302</v>
      </c>
      <c r="D1263" s="22" t="n">
        <v>46274</v>
      </c>
      <c r="E1263" s="16" t="s">
        <v>831</v>
      </c>
    </row>
    <row r="1264" customFormat="false" ht="15" hidden="false" customHeight="false" outlineLevel="0" collapsed="false">
      <c r="A1264" s="16" t="s">
        <v>4562</v>
      </c>
      <c r="B1264" s="16" t="s">
        <v>427</v>
      </c>
      <c r="C1264" s="16" t="s">
        <v>3306</v>
      </c>
      <c r="D1264" s="22" t="n">
        <v>45935</v>
      </c>
      <c r="E1264" s="16" t="s">
        <v>666</v>
      </c>
    </row>
    <row r="1265" customFormat="false" ht="15" hidden="false" customHeight="false" outlineLevel="0" collapsed="false">
      <c r="A1265" s="16" t="s">
        <v>4563</v>
      </c>
      <c r="B1265" s="16" t="s">
        <v>427</v>
      </c>
      <c r="C1265" s="16" t="s">
        <v>3330</v>
      </c>
      <c r="D1265" s="22" t="n">
        <v>46189</v>
      </c>
      <c r="E1265" s="16" t="s">
        <v>666</v>
      </c>
    </row>
    <row r="1266" customFormat="false" ht="15" hidden="false" customHeight="false" outlineLevel="0" collapsed="false">
      <c r="A1266" s="16" t="s">
        <v>4564</v>
      </c>
      <c r="B1266" s="16" t="s">
        <v>427</v>
      </c>
      <c r="C1266" s="16" t="s">
        <v>3306</v>
      </c>
      <c r="D1266" s="22" t="n">
        <v>46135</v>
      </c>
      <c r="E1266" s="16" t="s">
        <v>666</v>
      </c>
    </row>
    <row r="1267" customFormat="false" ht="15" hidden="false" customHeight="false" outlineLevel="0" collapsed="false">
      <c r="A1267" s="16" t="s">
        <v>4565</v>
      </c>
      <c r="B1267" s="16" t="s">
        <v>1489</v>
      </c>
      <c r="C1267" s="16" t="s">
        <v>3298</v>
      </c>
      <c r="D1267" s="22" t="n">
        <v>46185</v>
      </c>
      <c r="E1267" s="16" t="s">
        <v>654</v>
      </c>
    </row>
    <row r="1268" customFormat="false" ht="15" hidden="false" customHeight="false" outlineLevel="0" collapsed="false">
      <c r="A1268" s="16" t="s">
        <v>4566</v>
      </c>
      <c r="B1268" s="16" t="s">
        <v>955</v>
      </c>
      <c r="C1268" s="16" t="s">
        <v>3310</v>
      </c>
      <c r="D1268" s="22" t="n">
        <v>46226</v>
      </c>
      <c r="E1268" s="16" t="s">
        <v>654</v>
      </c>
    </row>
    <row r="1269" customFormat="false" ht="15" hidden="false" customHeight="false" outlineLevel="0" collapsed="false">
      <c r="A1269" s="16" t="s">
        <v>4567</v>
      </c>
      <c r="B1269" s="16" t="s">
        <v>3141</v>
      </c>
      <c r="C1269" s="16" t="s">
        <v>3310</v>
      </c>
      <c r="D1269" s="22" t="n">
        <v>46209</v>
      </c>
      <c r="E1269" s="16" t="s">
        <v>622</v>
      </c>
    </row>
    <row r="1270" customFormat="false" ht="15" hidden="false" customHeight="false" outlineLevel="0" collapsed="false">
      <c r="A1270" s="16" t="s">
        <v>4568</v>
      </c>
      <c r="B1270" s="16" t="s">
        <v>3141</v>
      </c>
      <c r="C1270" s="16" t="s">
        <v>3302</v>
      </c>
      <c r="D1270" s="22" t="n">
        <v>46187</v>
      </c>
      <c r="E1270" s="16" t="s">
        <v>622</v>
      </c>
    </row>
    <row r="1271" customFormat="false" ht="15" hidden="false" customHeight="false" outlineLevel="0" collapsed="false">
      <c r="A1271" s="16" t="s">
        <v>4569</v>
      </c>
      <c r="B1271" s="16" t="s">
        <v>715</v>
      </c>
      <c r="C1271" s="16" t="s">
        <v>3302</v>
      </c>
      <c r="D1271" s="22" t="n">
        <v>46051</v>
      </c>
      <c r="E1271" s="16" t="s">
        <v>717</v>
      </c>
    </row>
    <row r="1272" customFormat="false" ht="15" hidden="false" customHeight="false" outlineLevel="0" collapsed="false">
      <c r="A1272" s="16" t="s">
        <v>4570</v>
      </c>
      <c r="B1272" s="16" t="s">
        <v>250</v>
      </c>
      <c r="C1272" s="16" t="s">
        <v>3298</v>
      </c>
      <c r="D1272" s="22" t="n">
        <v>46106</v>
      </c>
      <c r="E1272" s="16" t="s">
        <v>622</v>
      </c>
    </row>
    <row r="1273" customFormat="false" ht="15" hidden="false" customHeight="false" outlineLevel="0" collapsed="false">
      <c r="A1273" s="16" t="s">
        <v>4571</v>
      </c>
      <c r="B1273" s="16" t="s">
        <v>250</v>
      </c>
      <c r="C1273" s="16" t="s">
        <v>3306</v>
      </c>
      <c r="D1273" s="22" t="n">
        <v>45930</v>
      </c>
      <c r="E1273" s="16" t="s">
        <v>622</v>
      </c>
    </row>
    <row r="1274" customFormat="false" ht="15" hidden="false" customHeight="false" outlineLevel="0" collapsed="false">
      <c r="A1274" s="16" t="s">
        <v>4572</v>
      </c>
      <c r="B1274" s="16" t="s">
        <v>1556</v>
      </c>
      <c r="C1274" s="16" t="s">
        <v>3330</v>
      </c>
      <c r="D1274" s="22" t="n">
        <v>46311</v>
      </c>
      <c r="E1274" s="16" t="s">
        <v>622</v>
      </c>
    </row>
    <row r="1275" customFormat="false" ht="15" hidden="false" customHeight="false" outlineLevel="0" collapsed="false">
      <c r="A1275" s="16" t="s">
        <v>4573</v>
      </c>
      <c r="B1275" s="16" t="s">
        <v>2468</v>
      </c>
      <c r="C1275" s="16" t="s">
        <v>3298</v>
      </c>
      <c r="D1275" s="22" t="n">
        <v>46127</v>
      </c>
      <c r="E1275" s="16" t="s">
        <v>651</v>
      </c>
    </row>
    <row r="1276" customFormat="false" ht="15" hidden="false" customHeight="false" outlineLevel="0" collapsed="false">
      <c r="A1276" s="16" t="s">
        <v>4574</v>
      </c>
      <c r="B1276" s="16" t="s">
        <v>2468</v>
      </c>
      <c r="C1276" s="16" t="s">
        <v>3300</v>
      </c>
      <c r="D1276" s="22" t="n">
        <v>45961</v>
      </c>
      <c r="E1276" s="16" t="s">
        <v>651</v>
      </c>
    </row>
    <row r="1277" customFormat="false" ht="15" hidden="false" customHeight="false" outlineLevel="0" collapsed="false">
      <c r="A1277" s="16" t="s">
        <v>4575</v>
      </c>
      <c r="B1277" s="16" t="s">
        <v>2468</v>
      </c>
      <c r="C1277" s="16" t="s">
        <v>3298</v>
      </c>
      <c r="D1277" s="22" t="n">
        <v>46002</v>
      </c>
      <c r="E1277" s="16" t="s">
        <v>651</v>
      </c>
    </row>
    <row r="1278" customFormat="false" ht="15" hidden="false" customHeight="false" outlineLevel="0" collapsed="false">
      <c r="A1278" s="16" t="s">
        <v>4576</v>
      </c>
      <c r="B1278" s="16" t="s">
        <v>387</v>
      </c>
      <c r="C1278" s="16" t="s">
        <v>3298</v>
      </c>
      <c r="D1278" s="22" t="n">
        <v>46004</v>
      </c>
      <c r="E1278" s="16" t="s">
        <v>637</v>
      </c>
    </row>
    <row r="1279" customFormat="false" ht="15" hidden="false" customHeight="false" outlineLevel="0" collapsed="false">
      <c r="A1279" s="16" t="s">
        <v>4577</v>
      </c>
      <c r="B1279" s="16" t="s">
        <v>387</v>
      </c>
      <c r="C1279" s="16" t="s">
        <v>3330</v>
      </c>
      <c r="D1279" s="22" t="n">
        <v>46245</v>
      </c>
      <c r="E1279" s="16" t="s">
        <v>637</v>
      </c>
    </row>
    <row r="1280" customFormat="false" ht="15" hidden="false" customHeight="false" outlineLevel="0" collapsed="false">
      <c r="A1280" s="16" t="s">
        <v>4578</v>
      </c>
      <c r="B1280" s="16" t="s">
        <v>387</v>
      </c>
      <c r="C1280" s="16" t="s">
        <v>3306</v>
      </c>
      <c r="D1280" s="22" t="n">
        <v>46291</v>
      </c>
      <c r="E1280" s="16" t="s">
        <v>637</v>
      </c>
    </row>
    <row r="1281" customFormat="false" ht="15" hidden="false" customHeight="false" outlineLevel="0" collapsed="false">
      <c r="A1281" s="16" t="s">
        <v>4579</v>
      </c>
      <c r="B1281" s="16" t="s">
        <v>387</v>
      </c>
      <c r="C1281" s="16" t="s">
        <v>3306</v>
      </c>
      <c r="D1281" s="22" t="n">
        <v>46108</v>
      </c>
      <c r="E1281" s="16" t="s">
        <v>637</v>
      </c>
    </row>
    <row r="1282" customFormat="false" ht="15" hidden="false" customHeight="false" outlineLevel="0" collapsed="false">
      <c r="A1282" s="16" t="s">
        <v>4580</v>
      </c>
      <c r="B1282" s="16" t="s">
        <v>3154</v>
      </c>
      <c r="C1282" s="16" t="s">
        <v>3310</v>
      </c>
      <c r="D1282" s="22" t="n">
        <v>45926</v>
      </c>
      <c r="E1282" s="16" t="s">
        <v>578</v>
      </c>
    </row>
    <row r="1283" customFormat="false" ht="15" hidden="false" customHeight="false" outlineLevel="0" collapsed="false">
      <c r="A1283" s="16" t="s">
        <v>4581</v>
      </c>
      <c r="B1283" s="16" t="s">
        <v>966</v>
      </c>
      <c r="C1283" s="16" t="s">
        <v>3306</v>
      </c>
      <c r="D1283" s="22" t="n">
        <v>46214</v>
      </c>
      <c r="E1283" s="16" t="s">
        <v>588</v>
      </c>
    </row>
    <row r="1284" customFormat="false" ht="15" hidden="false" customHeight="false" outlineLevel="0" collapsed="false">
      <c r="A1284" s="16" t="s">
        <v>4582</v>
      </c>
      <c r="B1284" s="16" t="s">
        <v>496</v>
      </c>
      <c r="C1284" s="16" t="s">
        <v>3330</v>
      </c>
      <c r="D1284" s="22" t="n">
        <v>46058</v>
      </c>
      <c r="E1284" s="16" t="s">
        <v>604</v>
      </c>
    </row>
    <row r="1285" customFormat="false" ht="15" hidden="false" customHeight="false" outlineLevel="0" collapsed="false">
      <c r="A1285" s="16" t="s">
        <v>4583</v>
      </c>
      <c r="B1285" s="16" t="s">
        <v>355</v>
      </c>
      <c r="C1285" s="16" t="s">
        <v>3310</v>
      </c>
      <c r="D1285" s="22" t="n">
        <v>45934</v>
      </c>
      <c r="E1285" s="16" t="s">
        <v>677</v>
      </c>
    </row>
    <row r="1286" customFormat="false" ht="15" hidden="false" customHeight="false" outlineLevel="0" collapsed="false">
      <c r="A1286" s="16" t="s">
        <v>4584</v>
      </c>
      <c r="B1286" s="16" t="s">
        <v>1831</v>
      </c>
      <c r="C1286" s="16" t="s">
        <v>3306</v>
      </c>
      <c r="D1286" s="22" t="n">
        <v>46122</v>
      </c>
      <c r="E1286" s="16" t="s">
        <v>633</v>
      </c>
    </row>
    <row r="1287" customFormat="false" ht="15" hidden="false" customHeight="false" outlineLevel="0" collapsed="false">
      <c r="A1287" s="16" t="s">
        <v>4585</v>
      </c>
      <c r="B1287" s="16" t="s">
        <v>1831</v>
      </c>
      <c r="C1287" s="16" t="s">
        <v>3300</v>
      </c>
      <c r="D1287" s="22" t="n">
        <v>45994</v>
      </c>
      <c r="E1287" s="16" t="s">
        <v>633</v>
      </c>
    </row>
    <row r="1288" customFormat="false" ht="15" hidden="false" customHeight="false" outlineLevel="0" collapsed="false">
      <c r="A1288" s="16" t="s">
        <v>4586</v>
      </c>
      <c r="B1288" s="16" t="s">
        <v>2548</v>
      </c>
      <c r="C1288" s="16" t="s">
        <v>3306</v>
      </c>
      <c r="D1288" s="22" t="n">
        <v>46059</v>
      </c>
      <c r="E1288" s="16" t="s">
        <v>604</v>
      </c>
    </row>
    <row r="1289" customFormat="false" ht="15" hidden="false" customHeight="false" outlineLevel="0" collapsed="false">
      <c r="A1289" s="16" t="s">
        <v>4587</v>
      </c>
      <c r="B1289" s="16" t="s">
        <v>2548</v>
      </c>
      <c r="C1289" s="16" t="s">
        <v>3306</v>
      </c>
      <c r="D1289" s="22" t="n">
        <v>46253</v>
      </c>
      <c r="E1289" s="16" t="s">
        <v>604</v>
      </c>
    </row>
    <row r="1290" customFormat="false" ht="15" hidden="false" customHeight="false" outlineLevel="0" collapsed="false">
      <c r="A1290" s="16" t="s">
        <v>4588</v>
      </c>
      <c r="B1290" s="16" t="s">
        <v>2548</v>
      </c>
      <c r="C1290" s="16" t="s">
        <v>3298</v>
      </c>
      <c r="D1290" s="22" t="n">
        <v>46007</v>
      </c>
      <c r="E1290" s="16" t="s">
        <v>604</v>
      </c>
    </row>
    <row r="1291" customFormat="false" ht="15" hidden="false" customHeight="false" outlineLevel="0" collapsed="false">
      <c r="A1291" s="16" t="s">
        <v>4589</v>
      </c>
      <c r="B1291" s="16" t="s">
        <v>2548</v>
      </c>
      <c r="C1291" s="16" t="s">
        <v>3310</v>
      </c>
      <c r="D1291" s="22" t="n">
        <v>45974</v>
      </c>
      <c r="E1291" s="16" t="s">
        <v>604</v>
      </c>
    </row>
    <row r="1292" customFormat="false" ht="15" hidden="false" customHeight="false" outlineLevel="0" collapsed="false">
      <c r="A1292" s="16" t="s">
        <v>4590</v>
      </c>
      <c r="B1292" s="16" t="s">
        <v>437</v>
      </c>
      <c r="C1292" s="16" t="s">
        <v>3310</v>
      </c>
      <c r="D1292" s="22" t="n">
        <v>46197</v>
      </c>
      <c r="E1292" s="16" t="s">
        <v>677</v>
      </c>
    </row>
    <row r="1293" customFormat="false" ht="15" hidden="false" customHeight="false" outlineLevel="0" collapsed="false">
      <c r="A1293" s="16" t="s">
        <v>4591</v>
      </c>
      <c r="B1293" s="16" t="s">
        <v>437</v>
      </c>
      <c r="C1293" s="16" t="s">
        <v>3300</v>
      </c>
      <c r="D1293" s="22" t="n">
        <v>45920</v>
      </c>
      <c r="E1293" s="16" t="s">
        <v>677</v>
      </c>
    </row>
    <row r="1294" customFormat="false" ht="15" hidden="false" customHeight="false" outlineLevel="0" collapsed="false">
      <c r="A1294" s="16" t="s">
        <v>4592</v>
      </c>
      <c r="B1294" s="16" t="s">
        <v>437</v>
      </c>
      <c r="C1294" s="16" t="s">
        <v>3302</v>
      </c>
      <c r="D1294" s="22" t="n">
        <v>46102</v>
      </c>
      <c r="E1294" s="16" t="s">
        <v>677</v>
      </c>
    </row>
    <row r="1295" customFormat="false" ht="15" hidden="false" customHeight="false" outlineLevel="0" collapsed="false">
      <c r="A1295" s="16" t="s">
        <v>4593</v>
      </c>
      <c r="B1295" s="16" t="s">
        <v>474</v>
      </c>
      <c r="C1295" s="16" t="s">
        <v>3302</v>
      </c>
      <c r="D1295" s="22" t="n">
        <v>45974</v>
      </c>
      <c r="E1295" s="16" t="s">
        <v>588</v>
      </c>
    </row>
    <row r="1296" customFormat="false" ht="15" hidden="false" customHeight="false" outlineLevel="0" collapsed="false">
      <c r="A1296" s="16" t="s">
        <v>4594</v>
      </c>
      <c r="B1296" s="16" t="s">
        <v>474</v>
      </c>
      <c r="C1296" s="16" t="s">
        <v>3300</v>
      </c>
      <c r="D1296" s="22" t="n">
        <v>46054</v>
      </c>
      <c r="E1296" s="16" t="s">
        <v>588</v>
      </c>
    </row>
    <row r="1297" customFormat="false" ht="15" hidden="false" customHeight="false" outlineLevel="0" collapsed="false">
      <c r="A1297" s="16" t="s">
        <v>4595</v>
      </c>
      <c r="B1297" s="16" t="s">
        <v>216</v>
      </c>
      <c r="C1297" s="16" t="s">
        <v>3302</v>
      </c>
      <c r="D1297" s="22" t="n">
        <v>46146</v>
      </c>
      <c r="E1297" s="16" t="s">
        <v>831</v>
      </c>
    </row>
    <row r="1298" customFormat="false" ht="15" hidden="false" customHeight="false" outlineLevel="0" collapsed="false">
      <c r="A1298" s="16" t="s">
        <v>4596</v>
      </c>
      <c r="B1298" s="16" t="s">
        <v>1012</v>
      </c>
      <c r="C1298" s="16" t="s">
        <v>3302</v>
      </c>
      <c r="D1298" s="22" t="n">
        <v>46203</v>
      </c>
      <c r="E1298" s="16" t="s">
        <v>691</v>
      </c>
    </row>
    <row r="1299" customFormat="false" ht="15" hidden="false" customHeight="false" outlineLevel="0" collapsed="false">
      <c r="A1299" s="16" t="s">
        <v>4597</v>
      </c>
      <c r="B1299" s="16" t="s">
        <v>1012</v>
      </c>
      <c r="C1299" s="16" t="s">
        <v>3300</v>
      </c>
      <c r="D1299" s="22" t="n">
        <v>46060</v>
      </c>
      <c r="E1299" s="16" t="s">
        <v>691</v>
      </c>
    </row>
    <row r="1300" customFormat="false" ht="15" hidden="false" customHeight="false" outlineLevel="0" collapsed="false">
      <c r="A1300" s="16" t="s">
        <v>4598</v>
      </c>
      <c r="B1300" s="16" t="s">
        <v>1012</v>
      </c>
      <c r="C1300" s="16" t="s">
        <v>3310</v>
      </c>
      <c r="D1300" s="22" t="n">
        <v>45984</v>
      </c>
      <c r="E1300" s="16" t="s">
        <v>691</v>
      </c>
    </row>
    <row r="1301" customFormat="false" ht="15" hidden="false" customHeight="false" outlineLevel="0" collapsed="false">
      <c r="A1301" s="16" t="s">
        <v>4599</v>
      </c>
      <c r="B1301" s="16" t="s">
        <v>1012</v>
      </c>
      <c r="C1301" s="16" t="s">
        <v>3298</v>
      </c>
      <c r="D1301" s="22" t="n">
        <v>46185</v>
      </c>
      <c r="E1301" s="16" t="s">
        <v>691</v>
      </c>
    </row>
    <row r="1302" customFormat="false" ht="15" hidden="false" customHeight="false" outlineLevel="0" collapsed="false">
      <c r="A1302" s="16" t="s">
        <v>4600</v>
      </c>
      <c r="B1302" s="16" t="s">
        <v>1012</v>
      </c>
      <c r="C1302" s="16" t="s">
        <v>3310</v>
      </c>
      <c r="D1302" s="22" t="n">
        <v>46034</v>
      </c>
      <c r="E1302" s="16" t="s">
        <v>691</v>
      </c>
    </row>
    <row r="1303" customFormat="false" ht="15" hidden="false" customHeight="false" outlineLevel="0" collapsed="false">
      <c r="A1303" s="16" t="s">
        <v>4601</v>
      </c>
      <c r="B1303" s="16" t="s">
        <v>292</v>
      </c>
      <c r="C1303" s="16" t="s">
        <v>3298</v>
      </c>
      <c r="D1303" s="22" t="n">
        <v>45984</v>
      </c>
      <c r="E1303" s="16" t="s">
        <v>691</v>
      </c>
    </row>
    <row r="1304" customFormat="false" ht="15" hidden="false" customHeight="false" outlineLevel="0" collapsed="false">
      <c r="A1304" s="16" t="s">
        <v>4602</v>
      </c>
      <c r="B1304" s="16" t="s">
        <v>292</v>
      </c>
      <c r="C1304" s="16" t="s">
        <v>3330</v>
      </c>
      <c r="D1304" s="22" t="n">
        <v>46293</v>
      </c>
      <c r="E1304" s="16" t="s">
        <v>691</v>
      </c>
    </row>
    <row r="1305" customFormat="false" ht="15" hidden="false" customHeight="false" outlineLevel="0" collapsed="false">
      <c r="A1305" s="16" t="s">
        <v>4603</v>
      </c>
      <c r="B1305" s="16" t="s">
        <v>229</v>
      </c>
      <c r="C1305" s="16" t="s">
        <v>3300</v>
      </c>
      <c r="D1305" s="22" t="n">
        <v>46020</v>
      </c>
      <c r="E1305" s="16" t="s">
        <v>880</v>
      </c>
    </row>
    <row r="1306" customFormat="false" ht="15" hidden="false" customHeight="false" outlineLevel="0" collapsed="false">
      <c r="A1306" s="16" t="s">
        <v>4604</v>
      </c>
      <c r="B1306" s="16" t="s">
        <v>229</v>
      </c>
      <c r="C1306" s="16" t="s">
        <v>3306</v>
      </c>
      <c r="D1306" s="22" t="n">
        <v>46058</v>
      </c>
      <c r="E1306" s="16" t="s">
        <v>880</v>
      </c>
    </row>
    <row r="1307" customFormat="false" ht="15" hidden="false" customHeight="false" outlineLevel="0" collapsed="false">
      <c r="A1307" s="16" t="s">
        <v>4605</v>
      </c>
      <c r="B1307" s="16" t="s">
        <v>1177</v>
      </c>
      <c r="C1307" s="16" t="s">
        <v>3306</v>
      </c>
      <c r="D1307" s="22" t="n">
        <v>46034</v>
      </c>
      <c r="E1307" s="16" t="s">
        <v>880</v>
      </c>
    </row>
    <row r="1308" customFormat="false" ht="15" hidden="false" customHeight="false" outlineLevel="0" collapsed="false">
      <c r="A1308" s="16" t="s">
        <v>4606</v>
      </c>
      <c r="B1308" s="16" t="s">
        <v>1177</v>
      </c>
      <c r="C1308" s="16" t="s">
        <v>3310</v>
      </c>
      <c r="D1308" s="22" t="n">
        <v>45982</v>
      </c>
      <c r="E1308" s="16" t="s">
        <v>880</v>
      </c>
    </row>
    <row r="1309" customFormat="false" ht="15" hidden="false" customHeight="false" outlineLevel="0" collapsed="false">
      <c r="A1309" s="16" t="s">
        <v>4607</v>
      </c>
      <c r="B1309" s="16" t="s">
        <v>1177</v>
      </c>
      <c r="C1309" s="16" t="s">
        <v>3330</v>
      </c>
      <c r="D1309" s="22" t="n">
        <v>46282</v>
      </c>
      <c r="E1309" s="16" t="s">
        <v>880</v>
      </c>
    </row>
    <row r="1310" customFormat="false" ht="15" hidden="false" customHeight="false" outlineLevel="0" collapsed="false">
      <c r="A1310" s="16" t="s">
        <v>4608</v>
      </c>
      <c r="B1310" s="16" t="s">
        <v>1629</v>
      </c>
      <c r="C1310" s="16" t="s">
        <v>3306</v>
      </c>
      <c r="D1310" s="22" t="n">
        <v>45965</v>
      </c>
      <c r="E1310" s="16" t="s">
        <v>677</v>
      </c>
    </row>
    <row r="1311" customFormat="false" ht="15" hidden="false" customHeight="false" outlineLevel="0" collapsed="false">
      <c r="A1311" s="16" t="s">
        <v>4609</v>
      </c>
      <c r="B1311" s="16" t="s">
        <v>1629</v>
      </c>
      <c r="C1311" s="16" t="s">
        <v>3310</v>
      </c>
      <c r="D1311" s="22" t="n">
        <v>45941</v>
      </c>
      <c r="E1311" s="16" t="s">
        <v>677</v>
      </c>
    </row>
    <row r="1312" customFormat="false" ht="15" hidden="false" customHeight="false" outlineLevel="0" collapsed="false">
      <c r="A1312" s="16" t="s">
        <v>4610</v>
      </c>
      <c r="B1312" s="16" t="s">
        <v>1629</v>
      </c>
      <c r="C1312" s="16" t="s">
        <v>3306</v>
      </c>
      <c r="D1312" s="22" t="n">
        <v>45975</v>
      </c>
      <c r="E1312" s="16" t="s">
        <v>677</v>
      </c>
    </row>
    <row r="1313" customFormat="false" ht="15" hidden="false" customHeight="false" outlineLevel="0" collapsed="false">
      <c r="A1313" s="16" t="s">
        <v>4611</v>
      </c>
      <c r="B1313" s="16" t="s">
        <v>227</v>
      </c>
      <c r="C1313" s="16" t="s">
        <v>3306</v>
      </c>
      <c r="D1313" s="22" t="n">
        <v>46287</v>
      </c>
      <c r="E1313" s="16" t="s">
        <v>729</v>
      </c>
    </row>
    <row r="1314" customFormat="false" ht="15" hidden="false" customHeight="false" outlineLevel="0" collapsed="false">
      <c r="A1314" s="16" t="s">
        <v>4612</v>
      </c>
      <c r="B1314" s="16" t="s">
        <v>227</v>
      </c>
      <c r="C1314" s="16" t="s">
        <v>3310</v>
      </c>
      <c r="D1314" s="22" t="n">
        <v>46042</v>
      </c>
      <c r="E1314" s="16" t="s">
        <v>729</v>
      </c>
    </row>
    <row r="1315" customFormat="false" ht="15" hidden="false" customHeight="false" outlineLevel="0" collapsed="false">
      <c r="A1315" s="16" t="s">
        <v>4613</v>
      </c>
      <c r="B1315" s="16" t="s">
        <v>227</v>
      </c>
      <c r="C1315" s="16" t="s">
        <v>3302</v>
      </c>
      <c r="D1315" s="22" t="n">
        <v>46268</v>
      </c>
      <c r="E1315" s="16" t="s">
        <v>729</v>
      </c>
    </row>
    <row r="1316" customFormat="false" ht="15" hidden="false" customHeight="false" outlineLevel="0" collapsed="false">
      <c r="A1316" s="16" t="s">
        <v>4614</v>
      </c>
      <c r="B1316" s="16" t="s">
        <v>357</v>
      </c>
      <c r="C1316" s="16" t="s">
        <v>3300</v>
      </c>
      <c r="D1316" s="22" t="n">
        <v>46103</v>
      </c>
      <c r="E1316" s="16" t="s">
        <v>573</v>
      </c>
    </row>
    <row r="1317" customFormat="false" ht="15" hidden="false" customHeight="false" outlineLevel="0" collapsed="false">
      <c r="A1317" s="16" t="s">
        <v>4615</v>
      </c>
      <c r="B1317" s="16" t="s">
        <v>315</v>
      </c>
      <c r="C1317" s="16" t="s">
        <v>3310</v>
      </c>
      <c r="D1317" s="22" t="n">
        <v>46255</v>
      </c>
      <c r="E1317" s="16" t="s">
        <v>666</v>
      </c>
    </row>
    <row r="1318" customFormat="false" ht="15" hidden="false" customHeight="false" outlineLevel="0" collapsed="false">
      <c r="A1318" s="16" t="s">
        <v>4616</v>
      </c>
      <c r="B1318" s="16" t="s">
        <v>359</v>
      </c>
      <c r="C1318" s="16" t="s">
        <v>3302</v>
      </c>
      <c r="D1318" s="22" t="n">
        <v>46159</v>
      </c>
      <c r="E1318" s="16" t="s">
        <v>588</v>
      </c>
    </row>
    <row r="1319" customFormat="false" ht="15" hidden="false" customHeight="false" outlineLevel="0" collapsed="false">
      <c r="A1319" s="16" t="s">
        <v>4617</v>
      </c>
      <c r="B1319" s="16" t="s">
        <v>2593</v>
      </c>
      <c r="C1319" s="16" t="s">
        <v>3300</v>
      </c>
      <c r="D1319" s="22" t="n">
        <v>46019</v>
      </c>
      <c r="E1319" s="16" t="s">
        <v>573</v>
      </c>
    </row>
    <row r="1320" customFormat="false" ht="15" hidden="false" customHeight="false" outlineLevel="0" collapsed="false">
      <c r="A1320" s="16" t="s">
        <v>4618</v>
      </c>
      <c r="B1320" s="16" t="s">
        <v>2593</v>
      </c>
      <c r="C1320" s="16" t="s">
        <v>3300</v>
      </c>
      <c r="D1320" s="22" t="n">
        <v>46080</v>
      </c>
      <c r="E1320" s="16" t="s">
        <v>573</v>
      </c>
    </row>
    <row r="1321" customFormat="false" ht="15" hidden="false" customHeight="false" outlineLevel="0" collapsed="false">
      <c r="A1321" s="16" t="s">
        <v>4619</v>
      </c>
      <c r="B1321" s="16" t="s">
        <v>2593</v>
      </c>
      <c r="C1321" s="16" t="s">
        <v>3302</v>
      </c>
      <c r="D1321" s="22" t="n">
        <v>46137</v>
      </c>
      <c r="E1321" s="16" t="s">
        <v>573</v>
      </c>
    </row>
    <row r="1322" customFormat="false" ht="15" hidden="false" customHeight="false" outlineLevel="0" collapsed="false">
      <c r="A1322" s="16" t="s">
        <v>4620</v>
      </c>
      <c r="B1322" s="16" t="s">
        <v>2593</v>
      </c>
      <c r="C1322" s="16" t="s">
        <v>3302</v>
      </c>
      <c r="D1322" s="22" t="n">
        <v>45973</v>
      </c>
      <c r="E1322" s="16" t="s">
        <v>573</v>
      </c>
    </row>
    <row r="1323" customFormat="false" ht="15" hidden="false" customHeight="false" outlineLevel="0" collapsed="false">
      <c r="A1323" s="16" t="s">
        <v>4621</v>
      </c>
      <c r="B1323" s="16" t="s">
        <v>2439</v>
      </c>
      <c r="C1323" s="16" t="s">
        <v>3330</v>
      </c>
      <c r="D1323" s="22" t="n">
        <v>46073</v>
      </c>
      <c r="E1323" s="16" t="s">
        <v>591</v>
      </c>
    </row>
    <row r="1324" customFormat="false" ht="15" hidden="false" customHeight="false" outlineLevel="0" collapsed="false">
      <c r="A1324" s="16" t="s">
        <v>4622</v>
      </c>
      <c r="B1324" s="16" t="s">
        <v>406</v>
      </c>
      <c r="C1324" s="16" t="s">
        <v>3306</v>
      </c>
      <c r="D1324" s="22" t="n">
        <v>45925</v>
      </c>
      <c r="E1324" s="16" t="s">
        <v>637</v>
      </c>
    </row>
    <row r="1325" customFormat="false" ht="15" hidden="false" customHeight="false" outlineLevel="0" collapsed="false">
      <c r="A1325" s="16" t="s">
        <v>4623</v>
      </c>
      <c r="B1325" s="16" t="s">
        <v>323</v>
      </c>
      <c r="C1325" s="16" t="s">
        <v>3300</v>
      </c>
      <c r="D1325" s="22" t="n">
        <v>45949</v>
      </c>
      <c r="E1325" s="16" t="s">
        <v>666</v>
      </c>
    </row>
    <row r="1326" customFormat="false" ht="15" hidden="false" customHeight="false" outlineLevel="0" collapsed="false">
      <c r="A1326" s="16" t="s">
        <v>4624</v>
      </c>
      <c r="B1326" s="16" t="s">
        <v>323</v>
      </c>
      <c r="C1326" s="16" t="s">
        <v>3302</v>
      </c>
      <c r="D1326" s="22" t="n">
        <v>46057</v>
      </c>
      <c r="E1326" s="16" t="s">
        <v>666</v>
      </c>
    </row>
    <row r="1327" customFormat="false" ht="15" hidden="false" customHeight="false" outlineLevel="0" collapsed="false">
      <c r="A1327" s="16" t="s">
        <v>4625</v>
      </c>
      <c r="B1327" s="16" t="s">
        <v>420</v>
      </c>
      <c r="C1327" s="16" t="s">
        <v>3330</v>
      </c>
      <c r="D1327" s="22" t="n">
        <v>46211</v>
      </c>
      <c r="E1327" s="16" t="s">
        <v>596</v>
      </c>
    </row>
    <row r="1328" customFormat="false" ht="15" hidden="false" customHeight="false" outlineLevel="0" collapsed="false">
      <c r="A1328" s="16" t="s">
        <v>4626</v>
      </c>
      <c r="B1328" s="16" t="s">
        <v>420</v>
      </c>
      <c r="C1328" s="16" t="s">
        <v>3300</v>
      </c>
      <c r="D1328" s="22" t="n">
        <v>46305</v>
      </c>
      <c r="E1328" s="16" t="s">
        <v>596</v>
      </c>
    </row>
    <row r="1329" customFormat="false" ht="15" hidden="false" customHeight="false" outlineLevel="0" collapsed="false">
      <c r="A1329" s="16" t="s">
        <v>4627</v>
      </c>
      <c r="B1329" s="16" t="s">
        <v>420</v>
      </c>
      <c r="C1329" s="16" t="s">
        <v>3300</v>
      </c>
      <c r="D1329" s="22" t="n">
        <v>45996</v>
      </c>
      <c r="E1329" s="16" t="s">
        <v>596</v>
      </c>
    </row>
    <row r="1330" customFormat="false" ht="15" hidden="false" customHeight="false" outlineLevel="0" collapsed="false">
      <c r="A1330" s="16" t="s">
        <v>4628</v>
      </c>
      <c r="B1330" s="16" t="s">
        <v>1277</v>
      </c>
      <c r="C1330" s="16" t="s">
        <v>3306</v>
      </c>
      <c r="D1330" s="22" t="n">
        <v>45962</v>
      </c>
      <c r="E1330" s="16" t="s">
        <v>831</v>
      </c>
    </row>
    <row r="1331" customFormat="false" ht="15" hidden="false" customHeight="false" outlineLevel="0" collapsed="false">
      <c r="A1331" s="16" t="s">
        <v>4629</v>
      </c>
      <c r="B1331" s="16" t="s">
        <v>1277</v>
      </c>
      <c r="C1331" s="16" t="s">
        <v>3298</v>
      </c>
      <c r="D1331" s="22" t="n">
        <v>46242</v>
      </c>
      <c r="E1331" s="16" t="s">
        <v>831</v>
      </c>
    </row>
    <row r="1332" customFormat="false" ht="15" hidden="false" customHeight="false" outlineLevel="0" collapsed="false">
      <c r="A1332" s="16" t="s">
        <v>4630</v>
      </c>
      <c r="B1332" s="16" t="s">
        <v>1277</v>
      </c>
      <c r="C1332" s="16" t="s">
        <v>3300</v>
      </c>
      <c r="D1332" s="22" t="n">
        <v>46059</v>
      </c>
      <c r="E1332" s="16" t="s">
        <v>831</v>
      </c>
    </row>
    <row r="1333" customFormat="false" ht="15" hidden="false" customHeight="false" outlineLevel="0" collapsed="false">
      <c r="A1333" s="16" t="s">
        <v>4631</v>
      </c>
      <c r="B1333" s="16" t="s">
        <v>1277</v>
      </c>
      <c r="C1333" s="16" t="s">
        <v>3300</v>
      </c>
      <c r="D1333" s="22" t="n">
        <v>45918</v>
      </c>
      <c r="E1333" s="16" t="s">
        <v>831</v>
      </c>
    </row>
    <row r="1334" customFormat="false" ht="15" hidden="false" customHeight="false" outlineLevel="0" collapsed="false">
      <c r="A1334" s="16" t="s">
        <v>4632</v>
      </c>
      <c r="B1334" s="16" t="s">
        <v>1277</v>
      </c>
      <c r="C1334" s="16" t="s">
        <v>3306</v>
      </c>
      <c r="D1334" s="22" t="n">
        <v>46293</v>
      </c>
      <c r="E1334" s="16" t="s">
        <v>831</v>
      </c>
    </row>
    <row r="1335" customFormat="false" ht="15" hidden="false" customHeight="false" outlineLevel="0" collapsed="false">
      <c r="A1335" s="16" t="s">
        <v>4633</v>
      </c>
      <c r="B1335" s="16" t="s">
        <v>1277</v>
      </c>
      <c r="C1335" s="16" t="s">
        <v>3298</v>
      </c>
      <c r="D1335" s="22" t="n">
        <v>46179</v>
      </c>
      <c r="E1335" s="16" t="s">
        <v>831</v>
      </c>
    </row>
    <row r="1336" customFormat="false" ht="15" hidden="false" customHeight="false" outlineLevel="0" collapsed="false">
      <c r="A1336" s="16" t="s">
        <v>4634</v>
      </c>
      <c r="B1336" s="16" t="s">
        <v>1277</v>
      </c>
      <c r="C1336" s="16" t="s">
        <v>3310</v>
      </c>
      <c r="D1336" s="22" t="n">
        <v>46202</v>
      </c>
      <c r="E1336" s="16" t="s">
        <v>831</v>
      </c>
    </row>
    <row r="1337" customFormat="false" ht="15" hidden="false" customHeight="false" outlineLevel="0" collapsed="false">
      <c r="A1337" s="16" t="s">
        <v>4635</v>
      </c>
      <c r="B1337" s="16" t="s">
        <v>3209</v>
      </c>
      <c r="C1337" s="16" t="s">
        <v>3330</v>
      </c>
      <c r="D1337" s="22" t="n">
        <v>46198</v>
      </c>
      <c r="E1337" s="16" t="s">
        <v>573</v>
      </c>
    </row>
    <row r="1338" customFormat="false" ht="15" hidden="false" customHeight="false" outlineLevel="0" collapsed="false">
      <c r="A1338" s="16" t="s">
        <v>4636</v>
      </c>
      <c r="B1338" s="16" t="s">
        <v>3209</v>
      </c>
      <c r="C1338" s="16" t="s">
        <v>3300</v>
      </c>
      <c r="D1338" s="22" t="n">
        <v>45944</v>
      </c>
      <c r="E1338" s="16" t="s">
        <v>573</v>
      </c>
    </row>
    <row r="1339" customFormat="false" ht="15" hidden="false" customHeight="false" outlineLevel="0" collapsed="false">
      <c r="A1339" s="16" t="s">
        <v>4637</v>
      </c>
      <c r="B1339" s="16" t="s">
        <v>3209</v>
      </c>
      <c r="C1339" s="16" t="s">
        <v>3310</v>
      </c>
      <c r="D1339" s="22" t="n">
        <v>46206</v>
      </c>
      <c r="E1339" s="16" t="s">
        <v>573</v>
      </c>
    </row>
    <row r="1340" customFormat="false" ht="15" hidden="false" customHeight="false" outlineLevel="0" collapsed="false">
      <c r="A1340" s="16" t="s">
        <v>4638</v>
      </c>
      <c r="B1340" s="16" t="s">
        <v>336</v>
      </c>
      <c r="C1340" s="16" t="s">
        <v>3306</v>
      </c>
      <c r="D1340" s="22" t="n">
        <v>46296</v>
      </c>
      <c r="E1340" s="16" t="s">
        <v>831</v>
      </c>
    </row>
    <row r="1341" customFormat="false" ht="15" hidden="false" customHeight="false" outlineLevel="0" collapsed="false">
      <c r="A1341" s="16" t="s">
        <v>4639</v>
      </c>
      <c r="B1341" s="16" t="s">
        <v>336</v>
      </c>
      <c r="C1341" s="16" t="s">
        <v>3302</v>
      </c>
      <c r="D1341" s="22" t="n">
        <v>46190</v>
      </c>
      <c r="E1341" s="16" t="s">
        <v>831</v>
      </c>
    </row>
    <row r="1342" customFormat="false" ht="15" hidden="false" customHeight="false" outlineLevel="0" collapsed="false">
      <c r="A1342" s="16" t="s">
        <v>4640</v>
      </c>
      <c r="B1342" s="16" t="s">
        <v>336</v>
      </c>
      <c r="C1342" s="16" t="s">
        <v>3330</v>
      </c>
      <c r="D1342" s="22" t="n">
        <v>46183</v>
      </c>
      <c r="E1342" s="16" t="s">
        <v>831</v>
      </c>
    </row>
    <row r="1343" customFormat="false" ht="15" hidden="false" customHeight="false" outlineLevel="0" collapsed="false">
      <c r="A1343" s="16" t="s">
        <v>4641</v>
      </c>
      <c r="B1343" s="16" t="s">
        <v>336</v>
      </c>
      <c r="C1343" s="16" t="s">
        <v>3306</v>
      </c>
      <c r="D1343" s="22" t="n">
        <v>45934</v>
      </c>
      <c r="E1343" s="16" t="s">
        <v>831</v>
      </c>
    </row>
    <row r="1344" customFormat="false" ht="15" hidden="false" customHeight="false" outlineLevel="0" collapsed="false">
      <c r="A1344" s="16" t="s">
        <v>4642</v>
      </c>
      <c r="B1344" s="16" t="s">
        <v>336</v>
      </c>
      <c r="C1344" s="16" t="s">
        <v>3306</v>
      </c>
      <c r="D1344" s="22" t="n">
        <v>46119</v>
      </c>
      <c r="E1344" s="16" t="s">
        <v>831</v>
      </c>
    </row>
    <row r="1345" customFormat="false" ht="15" hidden="false" customHeight="false" outlineLevel="0" collapsed="false">
      <c r="A1345" s="16" t="s">
        <v>4643</v>
      </c>
      <c r="B1345" s="16" t="s">
        <v>1353</v>
      </c>
      <c r="C1345" s="16" t="s">
        <v>3310</v>
      </c>
      <c r="D1345" s="22" t="n">
        <v>46140</v>
      </c>
      <c r="E1345" s="16" t="s">
        <v>765</v>
      </c>
    </row>
    <row r="1346" customFormat="false" ht="15" hidden="false" customHeight="false" outlineLevel="0" collapsed="false">
      <c r="A1346" s="16" t="s">
        <v>4644</v>
      </c>
      <c r="B1346" s="16" t="s">
        <v>1353</v>
      </c>
      <c r="C1346" s="16" t="s">
        <v>3302</v>
      </c>
      <c r="D1346" s="22" t="n">
        <v>46084</v>
      </c>
      <c r="E1346" s="16" t="s">
        <v>765</v>
      </c>
    </row>
    <row r="1347" customFormat="false" ht="15" hidden="false" customHeight="false" outlineLevel="0" collapsed="false">
      <c r="A1347" s="16" t="s">
        <v>4645</v>
      </c>
      <c r="B1347" s="16" t="s">
        <v>1353</v>
      </c>
      <c r="C1347" s="16" t="s">
        <v>3302</v>
      </c>
      <c r="D1347" s="22" t="n">
        <v>46242</v>
      </c>
      <c r="E1347" s="16" t="s">
        <v>765</v>
      </c>
    </row>
    <row r="1348" customFormat="false" ht="15" hidden="false" customHeight="false" outlineLevel="0" collapsed="false">
      <c r="A1348" s="16" t="s">
        <v>4646</v>
      </c>
      <c r="B1348" s="16" t="s">
        <v>1353</v>
      </c>
      <c r="C1348" s="16" t="s">
        <v>3298</v>
      </c>
      <c r="D1348" s="22" t="n">
        <v>46077</v>
      </c>
      <c r="E1348" s="16" t="s">
        <v>765</v>
      </c>
    </row>
    <row r="1349" customFormat="false" ht="15" hidden="false" customHeight="false" outlineLevel="0" collapsed="false">
      <c r="A1349" s="16" t="s">
        <v>4647</v>
      </c>
      <c r="B1349" s="16" t="s">
        <v>1353</v>
      </c>
      <c r="C1349" s="16" t="s">
        <v>3306</v>
      </c>
      <c r="D1349" s="22" t="n">
        <v>45984</v>
      </c>
      <c r="E1349" s="16" t="s">
        <v>765</v>
      </c>
    </row>
    <row r="1350" customFormat="false" ht="15" hidden="false" customHeight="false" outlineLevel="0" collapsed="false">
      <c r="A1350" s="16" t="s">
        <v>4648</v>
      </c>
      <c r="B1350" s="16" t="s">
        <v>1253</v>
      </c>
      <c r="C1350" s="16" t="s">
        <v>3310</v>
      </c>
      <c r="D1350" s="22" t="n">
        <v>45969</v>
      </c>
      <c r="E1350" s="16" t="s">
        <v>685</v>
      </c>
    </row>
    <row r="1351" customFormat="false" ht="15" hidden="false" customHeight="false" outlineLevel="0" collapsed="false">
      <c r="A1351" s="16" t="s">
        <v>4649</v>
      </c>
      <c r="B1351" s="16" t="s">
        <v>1253</v>
      </c>
      <c r="C1351" s="16" t="s">
        <v>3298</v>
      </c>
      <c r="D1351" s="22" t="n">
        <v>46163</v>
      </c>
      <c r="E1351" s="16" t="s">
        <v>685</v>
      </c>
    </row>
    <row r="1352" customFormat="false" ht="15" hidden="false" customHeight="false" outlineLevel="0" collapsed="false">
      <c r="A1352" s="16" t="s">
        <v>4650</v>
      </c>
      <c r="B1352" s="16" t="s">
        <v>1253</v>
      </c>
      <c r="C1352" s="16" t="s">
        <v>3306</v>
      </c>
      <c r="D1352" s="22" t="n">
        <v>46148</v>
      </c>
      <c r="E1352" s="16" t="s">
        <v>685</v>
      </c>
    </row>
    <row r="1353" customFormat="false" ht="15" hidden="false" customHeight="false" outlineLevel="0" collapsed="false">
      <c r="A1353" s="16" t="s">
        <v>4651</v>
      </c>
      <c r="B1353" s="16" t="s">
        <v>815</v>
      </c>
      <c r="C1353" s="16" t="s">
        <v>3300</v>
      </c>
      <c r="D1353" s="22" t="n">
        <v>46026</v>
      </c>
      <c r="E1353" s="16" t="s">
        <v>880</v>
      </c>
    </row>
    <row r="1354" customFormat="false" ht="15" hidden="false" customHeight="false" outlineLevel="0" collapsed="false">
      <c r="A1354" s="16" t="s">
        <v>4652</v>
      </c>
      <c r="B1354" s="16" t="s">
        <v>991</v>
      </c>
      <c r="C1354" s="16" t="s">
        <v>3310</v>
      </c>
      <c r="D1354" s="22" t="n">
        <v>45983</v>
      </c>
      <c r="E1354" s="16" t="s">
        <v>860</v>
      </c>
    </row>
    <row r="1355" customFormat="false" ht="15" hidden="false" customHeight="false" outlineLevel="0" collapsed="false">
      <c r="A1355" s="16" t="s">
        <v>4653</v>
      </c>
      <c r="B1355" s="16" t="s">
        <v>246</v>
      </c>
      <c r="C1355" s="16" t="s">
        <v>3298</v>
      </c>
      <c r="D1355" s="22" t="n">
        <v>45947</v>
      </c>
      <c r="E1355" s="16" t="s">
        <v>583</v>
      </c>
    </row>
    <row r="1356" customFormat="false" ht="15" hidden="false" customHeight="false" outlineLevel="0" collapsed="false">
      <c r="A1356" s="16" t="s">
        <v>4654</v>
      </c>
      <c r="B1356" s="16" t="s">
        <v>164</v>
      </c>
      <c r="C1356" s="16" t="s">
        <v>3300</v>
      </c>
      <c r="D1356" s="22" t="n">
        <v>45998</v>
      </c>
      <c r="E1356" s="16" t="s">
        <v>677</v>
      </c>
    </row>
    <row r="1357" customFormat="false" ht="15" hidden="false" customHeight="false" outlineLevel="0" collapsed="false">
      <c r="A1357" s="16" t="s">
        <v>4655</v>
      </c>
      <c r="B1357" s="16" t="s">
        <v>164</v>
      </c>
      <c r="C1357" s="16" t="s">
        <v>3330</v>
      </c>
      <c r="D1357" s="22" t="n">
        <v>46002</v>
      </c>
      <c r="E1357" s="16" t="s">
        <v>677</v>
      </c>
    </row>
    <row r="1358" customFormat="false" ht="15" hidden="false" customHeight="false" outlineLevel="0" collapsed="false">
      <c r="A1358" s="16" t="s">
        <v>4656</v>
      </c>
      <c r="B1358" s="16" t="s">
        <v>208</v>
      </c>
      <c r="C1358" s="16" t="s">
        <v>3302</v>
      </c>
      <c r="D1358" s="22" t="n">
        <v>45917</v>
      </c>
      <c r="E1358" s="16" t="s">
        <v>640</v>
      </c>
    </row>
    <row r="1359" customFormat="false" ht="15" hidden="false" customHeight="false" outlineLevel="0" collapsed="false">
      <c r="A1359" s="16" t="s">
        <v>4657</v>
      </c>
      <c r="B1359" s="16" t="s">
        <v>208</v>
      </c>
      <c r="C1359" s="16" t="s">
        <v>3300</v>
      </c>
      <c r="D1359" s="22" t="n">
        <v>46039</v>
      </c>
      <c r="E1359" s="16" t="s">
        <v>640</v>
      </c>
    </row>
    <row r="1360" customFormat="false" ht="15" hidden="false" customHeight="false" outlineLevel="0" collapsed="false">
      <c r="A1360" s="16" t="s">
        <v>4658</v>
      </c>
      <c r="B1360" s="16" t="s">
        <v>208</v>
      </c>
      <c r="C1360" s="16" t="s">
        <v>3310</v>
      </c>
      <c r="D1360" s="22" t="n">
        <v>46080</v>
      </c>
      <c r="E1360" s="16" t="s">
        <v>640</v>
      </c>
    </row>
    <row r="1361" customFormat="false" ht="15" hidden="false" customHeight="false" outlineLevel="0" collapsed="false">
      <c r="A1361" s="16" t="s">
        <v>4659</v>
      </c>
      <c r="B1361" s="16" t="s">
        <v>486</v>
      </c>
      <c r="C1361" s="16" t="s">
        <v>3306</v>
      </c>
      <c r="D1361" s="22" t="n">
        <v>46153</v>
      </c>
      <c r="E1361" s="16" t="s">
        <v>646</v>
      </c>
    </row>
    <row r="1362" customFormat="false" ht="15" hidden="false" customHeight="false" outlineLevel="0" collapsed="false">
      <c r="A1362" s="16" t="s">
        <v>4660</v>
      </c>
      <c r="B1362" s="16" t="s">
        <v>486</v>
      </c>
      <c r="C1362" s="16" t="s">
        <v>3330</v>
      </c>
      <c r="D1362" s="22" t="n">
        <v>46041</v>
      </c>
      <c r="E1362" s="16" t="s">
        <v>646</v>
      </c>
    </row>
    <row r="1363" customFormat="false" ht="15" hidden="false" customHeight="false" outlineLevel="0" collapsed="false">
      <c r="A1363" s="16" t="s">
        <v>4661</v>
      </c>
      <c r="B1363" s="16" t="s">
        <v>486</v>
      </c>
      <c r="C1363" s="16" t="s">
        <v>3298</v>
      </c>
      <c r="D1363" s="22" t="n">
        <v>45948</v>
      </c>
      <c r="E1363" s="16" t="s">
        <v>646</v>
      </c>
    </row>
    <row r="1364" customFormat="false" ht="15" hidden="false" customHeight="false" outlineLevel="0" collapsed="false">
      <c r="A1364" s="16" t="s">
        <v>4662</v>
      </c>
      <c r="B1364" s="16" t="s">
        <v>486</v>
      </c>
      <c r="C1364" s="16" t="s">
        <v>3298</v>
      </c>
      <c r="D1364" s="22" t="n">
        <v>46229</v>
      </c>
      <c r="E1364" s="16" t="s">
        <v>646</v>
      </c>
    </row>
    <row r="1365" customFormat="false" ht="15" hidden="false" customHeight="false" outlineLevel="0" collapsed="false">
      <c r="A1365" s="16" t="s">
        <v>4663</v>
      </c>
      <c r="B1365" s="16" t="s">
        <v>206</v>
      </c>
      <c r="C1365" s="16" t="s">
        <v>3298</v>
      </c>
      <c r="D1365" s="22" t="n">
        <v>46156</v>
      </c>
      <c r="E1365" s="16" t="s">
        <v>596</v>
      </c>
    </row>
    <row r="1366" customFormat="false" ht="15" hidden="false" customHeight="false" outlineLevel="0" collapsed="false">
      <c r="A1366" s="16" t="s">
        <v>4664</v>
      </c>
      <c r="B1366" s="16" t="s">
        <v>2368</v>
      </c>
      <c r="C1366" s="16" t="s">
        <v>3306</v>
      </c>
      <c r="D1366" s="22" t="n">
        <v>46165</v>
      </c>
      <c r="E1366" s="16" t="s">
        <v>622</v>
      </c>
    </row>
    <row r="1367" customFormat="false" ht="15" hidden="false" customHeight="false" outlineLevel="0" collapsed="false">
      <c r="A1367" s="16" t="s">
        <v>4665</v>
      </c>
      <c r="B1367" s="16" t="s">
        <v>2368</v>
      </c>
      <c r="C1367" s="16" t="s">
        <v>3300</v>
      </c>
      <c r="D1367" s="22" t="n">
        <v>46142</v>
      </c>
      <c r="E1367" s="16" t="s">
        <v>622</v>
      </c>
    </row>
    <row r="1368" customFormat="false" ht="15" hidden="false" customHeight="false" outlineLevel="0" collapsed="false">
      <c r="A1368" s="16" t="s">
        <v>4666</v>
      </c>
      <c r="B1368" s="16" t="s">
        <v>3234</v>
      </c>
      <c r="C1368" s="16" t="s">
        <v>3300</v>
      </c>
      <c r="D1368" s="22" t="n">
        <v>45932</v>
      </c>
      <c r="E1368" s="16" t="s">
        <v>651</v>
      </c>
    </row>
    <row r="1369" customFormat="false" ht="15" hidden="false" customHeight="false" outlineLevel="0" collapsed="false">
      <c r="A1369" s="16" t="s">
        <v>4667</v>
      </c>
      <c r="B1369" s="16" t="s">
        <v>3234</v>
      </c>
      <c r="C1369" s="16" t="s">
        <v>3298</v>
      </c>
      <c r="D1369" s="22" t="n">
        <v>46195</v>
      </c>
      <c r="E1369" s="16" t="s">
        <v>651</v>
      </c>
    </row>
    <row r="1370" customFormat="false" ht="15" hidden="false" customHeight="false" outlineLevel="0" collapsed="false">
      <c r="A1370" s="16" t="s">
        <v>4668</v>
      </c>
      <c r="B1370" s="16" t="s">
        <v>3234</v>
      </c>
      <c r="C1370" s="16" t="s">
        <v>3302</v>
      </c>
      <c r="D1370" s="22" t="n">
        <v>46247</v>
      </c>
      <c r="E1370" s="16" t="s">
        <v>651</v>
      </c>
    </row>
    <row r="1371" customFormat="false" ht="15" hidden="false" customHeight="false" outlineLevel="0" collapsed="false">
      <c r="A1371" s="16" t="s">
        <v>4669</v>
      </c>
      <c r="B1371" s="16" t="s">
        <v>279</v>
      </c>
      <c r="C1371" s="16" t="s">
        <v>3310</v>
      </c>
      <c r="D1371" s="22" t="n">
        <v>46226</v>
      </c>
      <c r="E1371" s="16" t="s">
        <v>600</v>
      </c>
    </row>
    <row r="1372" customFormat="false" ht="15" hidden="false" customHeight="false" outlineLevel="0" collapsed="false">
      <c r="A1372" s="16" t="s">
        <v>4670</v>
      </c>
      <c r="B1372" s="16" t="s">
        <v>279</v>
      </c>
      <c r="C1372" s="16" t="s">
        <v>3306</v>
      </c>
      <c r="D1372" s="22" t="n">
        <v>46100</v>
      </c>
      <c r="E1372" s="16" t="s">
        <v>600</v>
      </c>
    </row>
    <row r="1373" customFormat="false" ht="15" hidden="false" customHeight="false" outlineLevel="0" collapsed="false">
      <c r="A1373" s="16" t="s">
        <v>4671</v>
      </c>
      <c r="B1373" s="16" t="s">
        <v>351</v>
      </c>
      <c r="C1373" s="16" t="s">
        <v>3310</v>
      </c>
      <c r="D1373" s="22" t="n">
        <v>46047</v>
      </c>
      <c r="E1373" s="16" t="s">
        <v>622</v>
      </c>
    </row>
    <row r="1374" customFormat="false" ht="15" hidden="false" customHeight="false" outlineLevel="0" collapsed="false">
      <c r="A1374" s="16" t="s">
        <v>4672</v>
      </c>
      <c r="B1374" s="16" t="s">
        <v>351</v>
      </c>
      <c r="C1374" s="16" t="s">
        <v>3306</v>
      </c>
      <c r="D1374" s="22" t="n">
        <v>46270</v>
      </c>
      <c r="E1374" s="16" t="s">
        <v>622</v>
      </c>
    </row>
    <row r="1375" customFormat="false" ht="15" hidden="false" customHeight="false" outlineLevel="0" collapsed="false">
      <c r="A1375" s="16" t="s">
        <v>4673</v>
      </c>
      <c r="B1375" s="16" t="s">
        <v>422</v>
      </c>
      <c r="C1375" s="16" t="s">
        <v>3330</v>
      </c>
      <c r="D1375" s="22" t="n">
        <v>46272</v>
      </c>
      <c r="E1375" s="16" t="s">
        <v>729</v>
      </c>
    </row>
    <row r="1376" customFormat="false" ht="15" hidden="false" customHeight="false" outlineLevel="0" collapsed="false">
      <c r="A1376" s="16" t="s">
        <v>4674</v>
      </c>
      <c r="B1376" s="16" t="s">
        <v>422</v>
      </c>
      <c r="C1376" s="16" t="s">
        <v>3300</v>
      </c>
      <c r="D1376" s="22" t="n">
        <v>46147</v>
      </c>
      <c r="E1376" s="16" t="s">
        <v>729</v>
      </c>
    </row>
    <row r="1377" customFormat="false" ht="15" hidden="false" customHeight="false" outlineLevel="0" collapsed="false">
      <c r="A1377" s="16" t="s">
        <v>4675</v>
      </c>
      <c r="B1377" s="16" t="s">
        <v>422</v>
      </c>
      <c r="C1377" s="16" t="s">
        <v>3300</v>
      </c>
      <c r="D1377" s="22" t="n">
        <v>45921</v>
      </c>
      <c r="E1377" s="16" t="s">
        <v>729</v>
      </c>
    </row>
    <row r="1378" customFormat="false" ht="15" hidden="false" customHeight="false" outlineLevel="0" collapsed="false">
      <c r="A1378" s="16" t="s">
        <v>4676</v>
      </c>
      <c r="B1378" s="16" t="s">
        <v>422</v>
      </c>
      <c r="C1378" s="16" t="s">
        <v>3306</v>
      </c>
      <c r="D1378" s="22" t="n">
        <v>45986</v>
      </c>
      <c r="E1378" s="16" t="s">
        <v>729</v>
      </c>
    </row>
    <row r="1379" customFormat="false" ht="15" hidden="false" customHeight="false" outlineLevel="0" collapsed="false">
      <c r="A1379" s="16" t="s">
        <v>4677</v>
      </c>
      <c r="B1379" s="16" t="s">
        <v>382</v>
      </c>
      <c r="C1379" s="16" t="s">
        <v>3310</v>
      </c>
      <c r="D1379" s="22" t="n">
        <v>46133</v>
      </c>
      <c r="E1379" s="16" t="s">
        <v>591</v>
      </c>
    </row>
    <row r="1380" customFormat="false" ht="15" hidden="false" customHeight="false" outlineLevel="0" collapsed="false">
      <c r="A1380" s="16" t="s">
        <v>4678</v>
      </c>
      <c r="B1380" s="16" t="s">
        <v>382</v>
      </c>
      <c r="C1380" s="16" t="s">
        <v>3310</v>
      </c>
      <c r="D1380" s="22" t="n">
        <v>46150</v>
      </c>
      <c r="E1380" s="16" t="s">
        <v>591</v>
      </c>
    </row>
    <row r="1381" customFormat="false" ht="15" hidden="false" customHeight="false" outlineLevel="0" collapsed="false">
      <c r="A1381" s="16" t="s">
        <v>4679</v>
      </c>
      <c r="B1381" s="16" t="s">
        <v>382</v>
      </c>
      <c r="C1381" s="16" t="s">
        <v>3302</v>
      </c>
      <c r="D1381" s="22" t="n">
        <v>46262</v>
      </c>
      <c r="E1381" s="16" t="s">
        <v>591</v>
      </c>
    </row>
    <row r="1382" customFormat="false" ht="15" hidden="false" customHeight="false" outlineLevel="0" collapsed="false">
      <c r="A1382" s="16" t="s">
        <v>4680</v>
      </c>
      <c r="B1382" s="16" t="s">
        <v>382</v>
      </c>
      <c r="C1382" s="16" t="s">
        <v>3306</v>
      </c>
      <c r="D1382" s="22" t="n">
        <v>46197</v>
      </c>
      <c r="E1382" s="16" t="s">
        <v>591</v>
      </c>
    </row>
    <row r="1383" customFormat="false" ht="15" hidden="false" customHeight="false" outlineLevel="0" collapsed="false">
      <c r="A1383" s="16" t="s">
        <v>4681</v>
      </c>
      <c r="B1383" s="16" t="s">
        <v>382</v>
      </c>
      <c r="C1383" s="16" t="s">
        <v>3302</v>
      </c>
      <c r="D1383" s="22" t="n">
        <v>46098</v>
      </c>
      <c r="E1383" s="16" t="s">
        <v>591</v>
      </c>
    </row>
    <row r="1384" customFormat="false" ht="15" hidden="false" customHeight="false" outlineLevel="0" collapsed="false">
      <c r="A1384" s="16" t="s">
        <v>4682</v>
      </c>
      <c r="B1384" s="16" t="s">
        <v>484</v>
      </c>
      <c r="C1384" s="16" t="s">
        <v>3306</v>
      </c>
      <c r="D1384" s="22" t="n">
        <v>46199</v>
      </c>
      <c r="E1384" s="16" t="s">
        <v>831</v>
      </c>
    </row>
    <row r="1385" customFormat="false" ht="15" hidden="false" customHeight="false" outlineLevel="0" collapsed="false">
      <c r="A1385" s="16" t="s">
        <v>4683</v>
      </c>
      <c r="B1385" s="16" t="s">
        <v>1419</v>
      </c>
      <c r="C1385" s="16" t="s">
        <v>3306</v>
      </c>
      <c r="D1385" s="22" t="n">
        <v>46115</v>
      </c>
      <c r="E1385" s="16" t="s">
        <v>583</v>
      </c>
    </row>
    <row r="1386" customFormat="false" ht="15" hidden="false" customHeight="false" outlineLevel="0" collapsed="false">
      <c r="A1386" s="16" t="s">
        <v>4684</v>
      </c>
      <c r="B1386" s="16" t="s">
        <v>1419</v>
      </c>
      <c r="C1386" s="16" t="s">
        <v>3306</v>
      </c>
      <c r="D1386" s="22" t="n">
        <v>46003</v>
      </c>
      <c r="E1386" s="16" t="s">
        <v>583</v>
      </c>
    </row>
    <row r="1387" customFormat="false" ht="15" hidden="false" customHeight="false" outlineLevel="0" collapsed="false">
      <c r="A1387" s="16" t="s">
        <v>4685</v>
      </c>
      <c r="B1387" s="16" t="s">
        <v>1419</v>
      </c>
      <c r="C1387" s="16" t="s">
        <v>3298</v>
      </c>
      <c r="D1387" s="22" t="n">
        <v>46016</v>
      </c>
      <c r="E1387" s="16" t="s">
        <v>583</v>
      </c>
    </row>
    <row r="1388" customFormat="false" ht="15" hidden="false" customHeight="false" outlineLevel="0" collapsed="false">
      <c r="A1388" s="16" t="s">
        <v>4686</v>
      </c>
      <c r="B1388" s="16" t="s">
        <v>1419</v>
      </c>
      <c r="C1388" s="16" t="s">
        <v>3330</v>
      </c>
      <c r="D1388" s="22" t="n">
        <v>46225</v>
      </c>
      <c r="E1388" s="16" t="s">
        <v>583</v>
      </c>
    </row>
    <row r="1389" customFormat="false" ht="15" hidden="false" customHeight="false" outlineLevel="0" collapsed="false">
      <c r="A1389" s="16" t="s">
        <v>4687</v>
      </c>
      <c r="B1389" s="16" t="s">
        <v>1419</v>
      </c>
      <c r="C1389" s="16" t="s">
        <v>3310</v>
      </c>
      <c r="D1389" s="22" t="n">
        <v>46108</v>
      </c>
      <c r="E1389" s="16" t="s">
        <v>583</v>
      </c>
    </row>
    <row r="1390" customFormat="false" ht="15" hidden="false" customHeight="false" outlineLevel="0" collapsed="false">
      <c r="A1390" s="16" t="s">
        <v>4688</v>
      </c>
      <c r="B1390" s="16" t="s">
        <v>1419</v>
      </c>
      <c r="C1390" s="16" t="s">
        <v>3306</v>
      </c>
      <c r="D1390" s="22" t="n">
        <v>46113</v>
      </c>
      <c r="E1390" s="16" t="s">
        <v>583</v>
      </c>
    </row>
    <row r="1391" customFormat="false" ht="15" hidden="false" customHeight="false" outlineLevel="0" collapsed="false">
      <c r="A1391" s="16" t="s">
        <v>4689</v>
      </c>
      <c r="B1391" s="16" t="s">
        <v>399</v>
      </c>
      <c r="C1391" s="16" t="s">
        <v>3310</v>
      </c>
      <c r="D1391" s="22" t="n">
        <v>46044</v>
      </c>
      <c r="E1391" s="16" t="s">
        <v>651</v>
      </c>
    </row>
    <row r="1392" customFormat="false" ht="15" hidden="false" customHeight="false" outlineLevel="0" collapsed="false">
      <c r="A1392" s="16" t="s">
        <v>4690</v>
      </c>
      <c r="B1392" s="16" t="s">
        <v>399</v>
      </c>
      <c r="C1392" s="16" t="s">
        <v>3298</v>
      </c>
      <c r="D1392" s="22" t="n">
        <v>46084</v>
      </c>
      <c r="E1392" s="16" t="s">
        <v>651</v>
      </c>
    </row>
    <row r="1393" customFormat="false" ht="15" hidden="false" customHeight="false" outlineLevel="0" collapsed="false">
      <c r="A1393" s="16" t="s">
        <v>4691</v>
      </c>
      <c r="B1393" s="16" t="s">
        <v>399</v>
      </c>
      <c r="C1393" s="16" t="s">
        <v>3300</v>
      </c>
      <c r="D1393" s="22" t="n">
        <v>46252</v>
      </c>
      <c r="E1393" s="16" t="s">
        <v>651</v>
      </c>
    </row>
    <row r="1394" customFormat="false" ht="15" hidden="false" customHeight="false" outlineLevel="0" collapsed="false">
      <c r="A1394" s="16" t="s">
        <v>4692</v>
      </c>
      <c r="B1394" s="16" t="s">
        <v>157</v>
      </c>
      <c r="C1394" s="16" t="s">
        <v>3310</v>
      </c>
      <c r="D1394" s="22" t="n">
        <v>46292</v>
      </c>
      <c r="E1394" s="16" t="s">
        <v>691</v>
      </c>
    </row>
    <row r="1395" customFormat="false" ht="15" hidden="false" customHeight="false" outlineLevel="0" collapsed="false">
      <c r="A1395" s="16" t="s">
        <v>4693</v>
      </c>
      <c r="B1395" s="16" t="s">
        <v>157</v>
      </c>
      <c r="C1395" s="16" t="s">
        <v>3300</v>
      </c>
      <c r="D1395" s="22" t="n">
        <v>46239</v>
      </c>
      <c r="E1395" s="16" t="s">
        <v>691</v>
      </c>
    </row>
    <row r="1396" customFormat="false" ht="15" hidden="false" customHeight="false" outlineLevel="0" collapsed="false">
      <c r="A1396" s="16" t="s">
        <v>4694</v>
      </c>
      <c r="B1396" s="16" t="s">
        <v>392</v>
      </c>
      <c r="C1396" s="16" t="s">
        <v>3298</v>
      </c>
      <c r="D1396" s="22" t="n">
        <v>45983</v>
      </c>
      <c r="E1396" s="16" t="s">
        <v>596</v>
      </c>
    </row>
    <row r="1397" customFormat="false" ht="15" hidden="false" customHeight="false" outlineLevel="0" collapsed="false">
      <c r="A1397" s="16" t="s">
        <v>4695</v>
      </c>
      <c r="B1397" s="16" t="s">
        <v>392</v>
      </c>
      <c r="C1397" s="16" t="s">
        <v>3310</v>
      </c>
      <c r="D1397" s="22" t="n">
        <v>45935</v>
      </c>
      <c r="E1397" s="16" t="s">
        <v>596</v>
      </c>
    </row>
    <row r="1398" customFormat="false" ht="15" hidden="false" customHeight="false" outlineLevel="0" collapsed="false">
      <c r="A1398" s="16" t="s">
        <v>4696</v>
      </c>
      <c r="B1398" s="16" t="s">
        <v>392</v>
      </c>
      <c r="C1398" s="16" t="s">
        <v>3302</v>
      </c>
      <c r="D1398" s="22" t="n">
        <v>46110</v>
      </c>
      <c r="E1398" s="16" t="s">
        <v>596</v>
      </c>
    </row>
    <row r="1399" customFormat="false" ht="15" hidden="false" customHeight="false" outlineLevel="0" collapsed="false">
      <c r="A1399" s="16" t="s">
        <v>4697</v>
      </c>
      <c r="B1399" s="16" t="s">
        <v>392</v>
      </c>
      <c r="C1399" s="16" t="s">
        <v>3298</v>
      </c>
      <c r="D1399" s="22" t="n">
        <v>46246</v>
      </c>
      <c r="E1399" s="16" t="s">
        <v>596</v>
      </c>
    </row>
    <row r="1400" customFormat="false" ht="15" hidden="false" customHeight="false" outlineLevel="0" collapsed="false">
      <c r="A1400" s="16" t="s">
        <v>4698</v>
      </c>
      <c r="B1400" s="16" t="s">
        <v>1121</v>
      </c>
      <c r="C1400" s="16" t="s">
        <v>3298</v>
      </c>
      <c r="D1400" s="22" t="n">
        <v>46177</v>
      </c>
      <c r="E1400" s="16" t="s">
        <v>765</v>
      </c>
    </row>
    <row r="1401" customFormat="false" ht="15" hidden="false" customHeight="false" outlineLevel="0" collapsed="false">
      <c r="A1401" s="16" t="s">
        <v>4699</v>
      </c>
      <c r="B1401" s="16" t="s">
        <v>1121</v>
      </c>
      <c r="C1401" s="16" t="s">
        <v>3310</v>
      </c>
      <c r="D1401" s="22" t="n">
        <v>46036</v>
      </c>
      <c r="E1401" s="16" t="s">
        <v>765</v>
      </c>
    </row>
    <row r="1402" customFormat="false" ht="15" hidden="false" customHeight="false" outlineLevel="0" collapsed="false">
      <c r="A1402" s="16" t="s">
        <v>4700</v>
      </c>
      <c r="B1402" s="16" t="s">
        <v>298</v>
      </c>
      <c r="C1402" s="16" t="s">
        <v>3330</v>
      </c>
      <c r="D1402" s="22" t="n">
        <v>46220</v>
      </c>
      <c r="E1402" s="16" t="s">
        <v>685</v>
      </c>
    </row>
    <row r="1403" customFormat="false" ht="15" hidden="false" customHeight="false" outlineLevel="0" collapsed="false">
      <c r="A1403" s="16" t="s">
        <v>4701</v>
      </c>
      <c r="B1403" s="16" t="s">
        <v>298</v>
      </c>
      <c r="C1403" s="16" t="s">
        <v>3310</v>
      </c>
      <c r="D1403" s="22" t="n">
        <v>46151</v>
      </c>
      <c r="E1403" s="16" t="s">
        <v>685</v>
      </c>
    </row>
    <row r="1404" customFormat="false" ht="15" hidden="false" customHeight="false" outlineLevel="0" collapsed="false">
      <c r="A1404" s="16" t="s">
        <v>4702</v>
      </c>
      <c r="B1404" s="16" t="s">
        <v>298</v>
      </c>
      <c r="C1404" s="16" t="s">
        <v>3302</v>
      </c>
      <c r="D1404" s="22" t="n">
        <v>45963</v>
      </c>
      <c r="E1404" s="16" t="s">
        <v>685</v>
      </c>
    </row>
    <row r="1405" customFormat="false" ht="15" hidden="false" customHeight="false" outlineLevel="0" collapsed="false">
      <c r="A1405" s="16" t="s">
        <v>4703</v>
      </c>
      <c r="B1405" s="16" t="s">
        <v>298</v>
      </c>
      <c r="C1405" s="16" t="s">
        <v>3302</v>
      </c>
      <c r="D1405" s="22" t="n">
        <v>46309</v>
      </c>
      <c r="E1405" s="16" t="s">
        <v>685</v>
      </c>
    </row>
    <row r="1406" customFormat="false" ht="15" hidden="false" customHeight="false" outlineLevel="0" collapsed="false">
      <c r="A1406" s="16" t="s">
        <v>4704</v>
      </c>
      <c r="B1406" s="16" t="s">
        <v>298</v>
      </c>
      <c r="C1406" s="16" t="s">
        <v>3298</v>
      </c>
      <c r="D1406" s="22" t="n">
        <v>45981</v>
      </c>
      <c r="E1406" s="16" t="s">
        <v>685</v>
      </c>
    </row>
    <row r="1407" customFormat="false" ht="15" hidden="false" customHeight="false" outlineLevel="0" collapsed="false">
      <c r="A1407" s="16" t="s">
        <v>4705</v>
      </c>
      <c r="B1407" s="16" t="s">
        <v>3263</v>
      </c>
      <c r="C1407" s="16" t="s">
        <v>3300</v>
      </c>
      <c r="D1407" s="22" t="n">
        <v>45943</v>
      </c>
      <c r="E1407" s="16" t="s">
        <v>831</v>
      </c>
    </row>
    <row r="1408" customFormat="false" ht="15" hidden="false" customHeight="false" outlineLevel="0" collapsed="false">
      <c r="A1408" s="16" t="s">
        <v>4706</v>
      </c>
      <c r="B1408" s="16" t="s">
        <v>3263</v>
      </c>
      <c r="C1408" s="16" t="s">
        <v>3330</v>
      </c>
      <c r="D1408" s="22" t="n">
        <v>46029</v>
      </c>
      <c r="E1408" s="16" t="s">
        <v>831</v>
      </c>
    </row>
    <row r="1409" customFormat="false" ht="15" hidden="false" customHeight="false" outlineLevel="0" collapsed="false">
      <c r="A1409" s="16" t="s">
        <v>4707</v>
      </c>
      <c r="B1409" s="16" t="s">
        <v>3263</v>
      </c>
      <c r="C1409" s="16" t="s">
        <v>3310</v>
      </c>
      <c r="D1409" s="22" t="n">
        <v>46166</v>
      </c>
      <c r="E1409" s="16" t="s">
        <v>831</v>
      </c>
    </row>
    <row r="1410" customFormat="false" ht="15" hidden="false" customHeight="false" outlineLevel="0" collapsed="false">
      <c r="A1410" s="16" t="s">
        <v>4708</v>
      </c>
      <c r="B1410" s="16" t="s">
        <v>3263</v>
      </c>
      <c r="C1410" s="16" t="s">
        <v>3306</v>
      </c>
      <c r="D1410" s="22" t="n">
        <v>46171</v>
      </c>
      <c r="E1410" s="16" t="s">
        <v>831</v>
      </c>
    </row>
    <row r="1411" customFormat="false" ht="15" hidden="false" customHeight="false" outlineLevel="0" collapsed="false">
      <c r="A1411" s="16" t="s">
        <v>4709</v>
      </c>
      <c r="B1411" s="16" t="s">
        <v>3263</v>
      </c>
      <c r="C1411" s="16" t="s">
        <v>3302</v>
      </c>
      <c r="D1411" s="22" t="n">
        <v>46054</v>
      </c>
      <c r="E1411" s="16" t="s">
        <v>831</v>
      </c>
    </row>
    <row r="1412" customFormat="false" ht="15" hidden="false" customHeight="false" outlineLevel="0" collapsed="false">
      <c r="A1412" s="16" t="s">
        <v>4710</v>
      </c>
      <c r="B1412" s="16" t="s">
        <v>1571</v>
      </c>
      <c r="C1412" s="16" t="s">
        <v>3300</v>
      </c>
      <c r="D1412" s="22" t="n">
        <v>46255</v>
      </c>
      <c r="E1412" s="16" t="s">
        <v>622</v>
      </c>
    </row>
    <row r="1413" customFormat="false" ht="15" hidden="false" customHeight="false" outlineLevel="0" collapsed="false">
      <c r="A1413" s="16" t="s">
        <v>4711</v>
      </c>
      <c r="B1413" s="16" t="s">
        <v>3268</v>
      </c>
      <c r="C1413" s="16" t="s">
        <v>3310</v>
      </c>
      <c r="D1413" s="22" t="n">
        <v>46164</v>
      </c>
      <c r="E1413" s="16" t="s">
        <v>677</v>
      </c>
    </row>
    <row r="1414" customFormat="false" ht="15" hidden="false" customHeight="false" outlineLevel="0" collapsed="false">
      <c r="A1414" s="16" t="s">
        <v>4712</v>
      </c>
      <c r="B1414" s="16" t="s">
        <v>3268</v>
      </c>
      <c r="C1414" s="16" t="s">
        <v>3306</v>
      </c>
      <c r="D1414" s="22" t="n">
        <v>46028</v>
      </c>
      <c r="E1414" s="16" t="s">
        <v>677</v>
      </c>
    </row>
    <row r="1415" customFormat="false" ht="15" hidden="false" customHeight="false" outlineLevel="0" collapsed="false">
      <c r="A1415" s="16" t="s">
        <v>4713</v>
      </c>
      <c r="B1415" s="16" t="s">
        <v>3268</v>
      </c>
      <c r="C1415" s="16" t="s">
        <v>3302</v>
      </c>
      <c r="D1415" s="22" t="n">
        <v>46267</v>
      </c>
      <c r="E1415" s="16" t="s">
        <v>677</v>
      </c>
    </row>
    <row r="1416" customFormat="false" ht="15" hidden="false" customHeight="false" outlineLevel="0" collapsed="false">
      <c r="A1416" s="16" t="s">
        <v>4714</v>
      </c>
      <c r="B1416" s="16" t="s">
        <v>3268</v>
      </c>
      <c r="C1416" s="16" t="s">
        <v>3310</v>
      </c>
      <c r="D1416" s="22" t="n">
        <v>45956</v>
      </c>
      <c r="E1416" s="16" t="s">
        <v>677</v>
      </c>
    </row>
    <row r="1417" customFormat="false" ht="15" hidden="false" customHeight="false" outlineLevel="0" collapsed="false">
      <c r="A1417" s="16" t="s">
        <v>4715</v>
      </c>
      <c r="B1417" s="16" t="s">
        <v>1144</v>
      </c>
      <c r="C1417" s="16" t="s">
        <v>3300</v>
      </c>
      <c r="D1417" s="22" t="n">
        <v>46204</v>
      </c>
      <c r="E1417" s="16" t="s">
        <v>729</v>
      </c>
    </row>
    <row r="1418" customFormat="false" ht="15" hidden="false" customHeight="false" outlineLevel="0" collapsed="false">
      <c r="A1418" s="16" t="s">
        <v>4716</v>
      </c>
      <c r="B1418" s="16" t="s">
        <v>3273</v>
      </c>
      <c r="C1418" s="16" t="s">
        <v>3302</v>
      </c>
      <c r="D1418" s="22" t="n">
        <v>46139</v>
      </c>
      <c r="E1418" s="16" t="s">
        <v>654</v>
      </c>
    </row>
    <row r="1419" customFormat="false" ht="15" hidden="false" customHeight="false" outlineLevel="0" collapsed="false">
      <c r="A1419" s="16" t="s">
        <v>4717</v>
      </c>
      <c r="B1419" s="16" t="s">
        <v>3273</v>
      </c>
      <c r="C1419" s="16" t="s">
        <v>3306</v>
      </c>
      <c r="D1419" s="22" t="n">
        <v>46151</v>
      </c>
      <c r="E1419" s="16" t="s">
        <v>654</v>
      </c>
    </row>
    <row r="1420" customFormat="false" ht="15" hidden="false" customHeight="false" outlineLevel="0" collapsed="false">
      <c r="A1420" s="16" t="s">
        <v>4718</v>
      </c>
      <c r="B1420" s="16" t="s">
        <v>3273</v>
      </c>
      <c r="C1420" s="16" t="s">
        <v>3306</v>
      </c>
      <c r="D1420" s="22" t="n">
        <v>46148</v>
      </c>
      <c r="E1420" s="16" t="s">
        <v>654</v>
      </c>
    </row>
    <row r="1421" customFormat="false" ht="15" hidden="false" customHeight="false" outlineLevel="0" collapsed="false">
      <c r="A1421" s="16" t="s">
        <v>4719</v>
      </c>
      <c r="B1421" s="16" t="s">
        <v>369</v>
      </c>
      <c r="C1421" s="16" t="s">
        <v>3298</v>
      </c>
      <c r="D1421" s="22" t="n">
        <v>45943</v>
      </c>
      <c r="E1421" s="16" t="s">
        <v>588</v>
      </c>
    </row>
    <row r="1422" customFormat="false" ht="15" hidden="false" customHeight="false" outlineLevel="0" collapsed="false">
      <c r="A1422" s="16" t="s">
        <v>4720</v>
      </c>
      <c r="B1422" s="16" t="s">
        <v>369</v>
      </c>
      <c r="C1422" s="16" t="s">
        <v>3306</v>
      </c>
      <c r="D1422" s="22" t="n">
        <v>46271</v>
      </c>
      <c r="E1422" s="16" t="s">
        <v>588</v>
      </c>
    </row>
    <row r="1423" customFormat="false" ht="15" hidden="false" customHeight="false" outlineLevel="0" collapsed="false">
      <c r="A1423" s="16" t="s">
        <v>4721</v>
      </c>
      <c r="B1423" s="16" t="s">
        <v>373</v>
      </c>
      <c r="C1423" s="16" t="s">
        <v>3310</v>
      </c>
      <c r="D1423" s="22" t="n">
        <v>46301</v>
      </c>
      <c r="E1423" s="16" t="s">
        <v>596</v>
      </c>
    </row>
    <row r="1424" customFormat="false" ht="15" hidden="false" customHeight="false" outlineLevel="0" collapsed="false">
      <c r="A1424" s="16" t="s">
        <v>4722</v>
      </c>
      <c r="B1424" s="16" t="s">
        <v>373</v>
      </c>
      <c r="C1424" s="16" t="s">
        <v>3298</v>
      </c>
      <c r="D1424" s="22" t="n">
        <v>45967</v>
      </c>
      <c r="E1424" s="16" t="s">
        <v>596</v>
      </c>
    </row>
    <row r="1425" customFormat="false" ht="15" hidden="false" customHeight="false" outlineLevel="0" collapsed="false">
      <c r="A1425" s="16" t="s">
        <v>4723</v>
      </c>
      <c r="B1425" s="16" t="s">
        <v>373</v>
      </c>
      <c r="C1425" s="16" t="s">
        <v>3306</v>
      </c>
      <c r="D1425" s="22" t="n">
        <v>45941</v>
      </c>
      <c r="E1425" s="16" t="s">
        <v>596</v>
      </c>
    </row>
    <row r="1426" customFormat="false" ht="15" hidden="false" customHeight="false" outlineLevel="0" collapsed="false">
      <c r="A1426" s="16" t="s">
        <v>4724</v>
      </c>
      <c r="B1426" s="16" t="s">
        <v>373</v>
      </c>
      <c r="C1426" s="16" t="s">
        <v>3300</v>
      </c>
      <c r="D1426" s="22" t="n">
        <v>45968</v>
      </c>
      <c r="E1426" s="16" t="s">
        <v>596</v>
      </c>
    </row>
    <row r="1427" customFormat="false" ht="15" hidden="false" customHeight="false" outlineLevel="0" collapsed="false">
      <c r="A1427" s="16" t="s">
        <v>4725</v>
      </c>
      <c r="B1427" s="16" t="s">
        <v>844</v>
      </c>
      <c r="C1427" s="16" t="s">
        <v>3306</v>
      </c>
      <c r="D1427" s="22" t="n">
        <v>45982</v>
      </c>
      <c r="E1427" s="16" t="s">
        <v>640</v>
      </c>
    </row>
    <row r="1428" customFormat="false" ht="15" hidden="false" customHeight="false" outlineLevel="0" collapsed="false">
      <c r="A1428" s="16" t="s">
        <v>4726</v>
      </c>
      <c r="B1428" s="16" t="s">
        <v>2125</v>
      </c>
      <c r="C1428" s="16" t="s">
        <v>3330</v>
      </c>
      <c r="D1428" s="22" t="n">
        <v>46155</v>
      </c>
      <c r="E1428" s="16" t="s">
        <v>591</v>
      </c>
    </row>
    <row r="1429" customFormat="false" ht="15" hidden="false" customHeight="false" outlineLevel="0" collapsed="false">
      <c r="A1429" s="16" t="s">
        <v>4727</v>
      </c>
      <c r="B1429" s="16" t="s">
        <v>2125</v>
      </c>
      <c r="C1429" s="16" t="s">
        <v>3330</v>
      </c>
      <c r="D1429" s="22" t="n">
        <v>46016</v>
      </c>
      <c r="E1429" s="16" t="s">
        <v>591</v>
      </c>
    </row>
    <row r="1430" customFormat="false" ht="15" hidden="false" customHeight="false" outlineLevel="0" collapsed="false">
      <c r="A1430" s="16" t="s">
        <v>4728</v>
      </c>
      <c r="B1430" s="16" t="s">
        <v>2125</v>
      </c>
      <c r="C1430" s="16" t="s">
        <v>3302</v>
      </c>
      <c r="D1430" s="22" t="n">
        <v>46298</v>
      </c>
      <c r="E1430" s="16" t="s">
        <v>591</v>
      </c>
    </row>
    <row r="1431" customFormat="false" ht="15" hidden="false" customHeight="false" outlineLevel="0" collapsed="false">
      <c r="A1431" s="16" t="s">
        <v>4729</v>
      </c>
      <c r="B1431" s="16" t="s">
        <v>2125</v>
      </c>
      <c r="C1431" s="16" t="s">
        <v>3306</v>
      </c>
      <c r="D1431" s="22" t="n">
        <v>46071</v>
      </c>
      <c r="E1431" s="16" t="s">
        <v>591</v>
      </c>
    </row>
    <row r="1432" customFormat="false" ht="15" hidden="false" customHeight="false" outlineLevel="0" collapsed="false">
      <c r="A1432" s="16" t="s">
        <v>4730</v>
      </c>
      <c r="B1432" s="16" t="s">
        <v>2155</v>
      </c>
      <c r="C1432" s="16" t="s">
        <v>3298</v>
      </c>
      <c r="D1432" s="22" t="n">
        <v>46191</v>
      </c>
      <c r="E1432" s="16" t="s">
        <v>831</v>
      </c>
    </row>
    <row r="1433" customFormat="false" ht="15" hidden="false" customHeight="false" outlineLevel="0" collapsed="false">
      <c r="A1433" s="16" t="s">
        <v>4731</v>
      </c>
      <c r="B1433" s="16" t="s">
        <v>1697</v>
      </c>
      <c r="C1433" s="16" t="s">
        <v>3300</v>
      </c>
      <c r="D1433" s="22" t="n">
        <v>46058</v>
      </c>
      <c r="E1433" s="16" t="s">
        <v>831</v>
      </c>
    </row>
    <row r="1434" customFormat="false" ht="15" hidden="false" customHeight="false" outlineLevel="0" collapsed="false">
      <c r="A1434" s="16" t="s">
        <v>4732</v>
      </c>
      <c r="B1434" s="16" t="s">
        <v>1697</v>
      </c>
      <c r="C1434" s="16" t="s">
        <v>3306</v>
      </c>
      <c r="D1434" s="22" t="n">
        <v>46194</v>
      </c>
      <c r="E1434" s="16" t="s">
        <v>831</v>
      </c>
    </row>
    <row r="1435" customFormat="false" ht="15" hidden="false" customHeight="false" outlineLevel="0" collapsed="false">
      <c r="A1435" s="16" t="s">
        <v>4733</v>
      </c>
      <c r="B1435" s="16" t="s">
        <v>706</v>
      </c>
      <c r="C1435" s="16" t="s">
        <v>3330</v>
      </c>
      <c r="D1435" s="22" t="n">
        <v>46264</v>
      </c>
      <c r="E1435" s="16" t="s">
        <v>596</v>
      </c>
    </row>
    <row r="1436" customFormat="false" ht="15" hidden="false" customHeight="false" outlineLevel="0" collapsed="false">
      <c r="A1436" s="16" t="s">
        <v>4734</v>
      </c>
      <c r="B1436" s="16" t="s">
        <v>706</v>
      </c>
      <c r="C1436" s="16" t="s">
        <v>3310</v>
      </c>
      <c r="D1436" s="22" t="n">
        <v>46115</v>
      </c>
      <c r="E1436" s="16" t="s">
        <v>596</v>
      </c>
    </row>
    <row r="1437" customFormat="false" ht="15" hidden="false" customHeight="false" outlineLevel="0" collapsed="false">
      <c r="A1437" s="16" t="s">
        <v>4735</v>
      </c>
      <c r="B1437" s="16" t="s">
        <v>706</v>
      </c>
      <c r="C1437" s="16" t="s">
        <v>3302</v>
      </c>
      <c r="D1437" s="22" t="n">
        <v>46145</v>
      </c>
      <c r="E1437" s="16" t="s">
        <v>596</v>
      </c>
    </row>
    <row r="1438" customFormat="false" ht="15" hidden="false" customHeight="false" outlineLevel="0" collapsed="false">
      <c r="A1438" s="16" t="s">
        <v>4736</v>
      </c>
      <c r="B1438" s="16" t="s">
        <v>3288</v>
      </c>
      <c r="C1438" s="16" t="s">
        <v>3298</v>
      </c>
      <c r="D1438" s="22" t="n">
        <v>46078</v>
      </c>
      <c r="E1438" s="16" t="s">
        <v>596</v>
      </c>
    </row>
    <row r="1439" customFormat="false" ht="15" hidden="false" customHeight="false" outlineLevel="0" collapsed="false">
      <c r="A1439" s="16" t="s">
        <v>4737</v>
      </c>
      <c r="B1439" s="16" t="s">
        <v>3288</v>
      </c>
      <c r="C1439" s="16" t="s">
        <v>3302</v>
      </c>
      <c r="D1439" s="22" t="n">
        <v>46135</v>
      </c>
      <c r="E1439" s="16" t="s">
        <v>596</v>
      </c>
    </row>
    <row r="1440" customFormat="false" ht="15" hidden="false" customHeight="false" outlineLevel="0" collapsed="false">
      <c r="A1440" s="16" t="s">
        <v>4738</v>
      </c>
      <c r="B1440" s="16" t="s">
        <v>2214</v>
      </c>
      <c r="C1440" s="16" t="s">
        <v>3310</v>
      </c>
      <c r="D1440" s="22" t="n">
        <v>46143</v>
      </c>
      <c r="E1440" s="16" t="s">
        <v>588</v>
      </c>
    </row>
    <row r="1441" customFormat="false" ht="15" hidden="false" customHeight="false" outlineLevel="0" collapsed="false">
      <c r="A1441" s="16" t="s">
        <v>4739</v>
      </c>
      <c r="B1441" s="16" t="s">
        <v>2214</v>
      </c>
      <c r="C1441" s="16" t="s">
        <v>3300</v>
      </c>
      <c r="D1441" s="22" t="n">
        <v>46139</v>
      </c>
      <c r="E1441" s="16" t="s">
        <v>588</v>
      </c>
    </row>
    <row r="1442" customFormat="false" ht="15" hidden="false" customHeight="false" outlineLevel="0" collapsed="false">
      <c r="A1442" s="16" t="s">
        <v>4740</v>
      </c>
      <c r="B1442" s="16" t="s">
        <v>2214</v>
      </c>
      <c r="C1442" s="16" t="s">
        <v>3300</v>
      </c>
      <c r="D1442" s="22" t="n">
        <v>46301</v>
      </c>
      <c r="E1442" s="16" t="s">
        <v>588</v>
      </c>
    </row>
    <row r="1443" customFormat="false" ht="15" hidden="false" customHeight="false" outlineLevel="0" collapsed="false">
      <c r="A1443" s="16" t="s">
        <v>4741</v>
      </c>
      <c r="B1443" s="16" t="s">
        <v>2214</v>
      </c>
      <c r="C1443" s="16" t="s">
        <v>3300</v>
      </c>
      <c r="D1443" s="22" t="n">
        <v>46017</v>
      </c>
      <c r="E1443" s="16" t="s">
        <v>588</v>
      </c>
    </row>
    <row r="1444" customFormat="false" ht="15" hidden="false" customHeight="false" outlineLevel="0" collapsed="false">
      <c r="A1444" s="16" t="s">
        <v>4742</v>
      </c>
      <c r="B1444" s="16" t="s">
        <v>2214</v>
      </c>
      <c r="C1444" s="16" t="s">
        <v>3300</v>
      </c>
      <c r="D1444" s="22" t="n">
        <v>46060</v>
      </c>
      <c r="E1444" s="16" t="s">
        <v>588</v>
      </c>
    </row>
    <row r="1445" customFormat="false" ht="15" hidden="false" customHeight="false" outlineLevel="0" collapsed="false">
      <c r="A1445" s="16" t="s">
        <v>4743</v>
      </c>
      <c r="B1445" s="16" t="s">
        <v>2214</v>
      </c>
      <c r="C1445" s="16" t="s">
        <v>3302</v>
      </c>
      <c r="D1445" s="22" t="n">
        <v>46295</v>
      </c>
      <c r="E1445" s="16" t="s">
        <v>588</v>
      </c>
    </row>
    <row r="1446" customFormat="false" ht="15" hidden="false" customHeight="false" outlineLevel="0" collapsed="false">
      <c r="A1446" s="16" t="s">
        <v>4744</v>
      </c>
      <c r="B1446" s="16" t="s">
        <v>2214</v>
      </c>
      <c r="C1446" s="16" t="s">
        <v>3302</v>
      </c>
      <c r="D1446" s="22" t="n">
        <v>46126</v>
      </c>
      <c r="E1446" s="16" t="s">
        <v>588</v>
      </c>
    </row>
    <row r="1447" customFormat="false" ht="15" hidden="false" customHeight="false" outlineLevel="0" collapsed="false">
      <c r="A1447" s="16" t="s">
        <v>4745</v>
      </c>
      <c r="B1447" s="16" t="s">
        <v>675</v>
      </c>
      <c r="C1447" s="16" t="s">
        <v>3298</v>
      </c>
      <c r="D1447" s="22" t="n">
        <v>46058</v>
      </c>
      <c r="E1447" s="16" t="s">
        <v>640</v>
      </c>
    </row>
    <row r="1448" customFormat="false" ht="15" hidden="false" customHeight="false" outlineLevel="0" collapsed="false">
      <c r="A1448" s="16" t="s">
        <v>4746</v>
      </c>
      <c r="B1448" s="16" t="s">
        <v>675</v>
      </c>
      <c r="C1448" s="16" t="s">
        <v>3330</v>
      </c>
      <c r="D1448" s="22" t="n">
        <v>46179</v>
      </c>
      <c r="E1448" s="16" t="s">
        <v>640</v>
      </c>
    </row>
    <row r="1449" customFormat="false" ht="15" hidden="false" customHeight="false" outlineLevel="0" collapsed="false">
      <c r="A1449" s="16" t="s">
        <v>4747</v>
      </c>
      <c r="B1449" s="16" t="s">
        <v>675</v>
      </c>
      <c r="C1449" s="16" t="s">
        <v>3302</v>
      </c>
      <c r="D1449" s="22" t="n">
        <v>45955</v>
      </c>
      <c r="E1449" s="16" t="s">
        <v>640</v>
      </c>
    </row>
    <row r="1450" customFormat="false" ht="15" hidden="false" customHeight="false" outlineLevel="0" collapsed="false">
      <c r="A1450" s="16" t="s">
        <v>4748</v>
      </c>
      <c r="B1450" s="16" t="s">
        <v>675</v>
      </c>
      <c r="C1450" s="16" t="s">
        <v>3330</v>
      </c>
      <c r="D1450" s="22" t="n">
        <v>46296</v>
      </c>
      <c r="E1450" s="16" t="s">
        <v>640</v>
      </c>
    </row>
    <row r="1451" customFormat="false" ht="15" hidden="false" customHeight="false" outlineLevel="0" collapsed="false">
      <c r="A1451" s="16" t="s">
        <v>4749</v>
      </c>
      <c r="B1451" s="16" t="s">
        <v>2588</v>
      </c>
      <c r="C1451" s="16" t="s">
        <v>3300</v>
      </c>
      <c r="D1451" s="22" t="n">
        <v>46205</v>
      </c>
      <c r="E1451" s="16" t="s">
        <v>677</v>
      </c>
    </row>
    <row r="1452" customFormat="false" ht="15" hidden="false" customHeight="false" outlineLevel="0" collapsed="false">
      <c r="A1452" s="16" t="s">
        <v>4750</v>
      </c>
      <c r="B1452" s="16" t="s">
        <v>2588</v>
      </c>
      <c r="C1452" s="16" t="s">
        <v>3302</v>
      </c>
      <c r="D1452" s="22" t="n">
        <v>46204</v>
      </c>
      <c r="E1452" s="16" t="s">
        <v>677</v>
      </c>
    </row>
    <row r="1453" customFormat="false" ht="15" hidden="false" customHeight="false" outlineLevel="0" collapsed="false">
      <c r="A1453" s="16" t="s">
        <v>4751</v>
      </c>
      <c r="B1453" s="16" t="s">
        <v>2588</v>
      </c>
      <c r="C1453" s="16" t="s">
        <v>3302</v>
      </c>
      <c r="D1453" s="22" t="n">
        <v>46121</v>
      </c>
      <c r="E1453" s="16" t="s">
        <v>677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D4"/>
    <pageSetUpPr fitToPage="fals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4752</v>
      </c>
    </row>
    <row r="4" customFormat="false" ht="39.75" hidden="false" customHeight="true" outlineLevel="0" collapsed="false">
      <c r="A4" s="5" t="s">
        <v>135</v>
      </c>
      <c r="B4" s="5" t="s">
        <v>136</v>
      </c>
      <c r="C4" s="5" t="s">
        <v>137</v>
      </c>
      <c r="D4" s="5" t="s">
        <v>4753</v>
      </c>
      <c r="E4" s="5" t="s">
        <v>138</v>
      </c>
    </row>
    <row r="5" customFormat="false" ht="15" hidden="false" customHeight="false" outlineLevel="0" collapsed="false">
      <c r="A5" s="16" t="s">
        <v>691</v>
      </c>
      <c r="B5" s="16" t="s">
        <v>4754</v>
      </c>
      <c r="C5" s="16" t="s">
        <v>4755</v>
      </c>
      <c r="D5" s="16" t="s">
        <v>162</v>
      </c>
      <c r="E5" s="16" t="s">
        <v>4756</v>
      </c>
    </row>
    <row r="6" customFormat="false" ht="15" hidden="false" customHeight="false" outlineLevel="0" collapsed="false">
      <c r="A6" s="16" t="s">
        <v>654</v>
      </c>
      <c r="B6" s="16" t="s">
        <v>4757</v>
      </c>
      <c r="C6" s="16" t="s">
        <v>4755</v>
      </c>
      <c r="D6" s="16" t="s">
        <v>167</v>
      </c>
      <c r="E6" s="16" t="s">
        <v>4756</v>
      </c>
    </row>
    <row r="7" customFormat="false" ht="15" hidden="false" customHeight="false" outlineLevel="0" collapsed="false">
      <c r="A7" s="16" t="s">
        <v>640</v>
      </c>
      <c r="B7" s="16" t="s">
        <v>4758</v>
      </c>
      <c r="C7" s="16" t="s">
        <v>4755</v>
      </c>
      <c r="D7" s="16" t="s">
        <v>158</v>
      </c>
      <c r="E7" s="16" t="s">
        <v>4756</v>
      </c>
    </row>
    <row r="8" customFormat="false" ht="15" hidden="false" customHeight="false" outlineLevel="0" collapsed="false">
      <c r="A8" s="16" t="s">
        <v>596</v>
      </c>
      <c r="B8" s="16" t="s">
        <v>4759</v>
      </c>
      <c r="C8" s="16" t="s">
        <v>4755</v>
      </c>
      <c r="D8" s="16" t="s">
        <v>165</v>
      </c>
      <c r="E8" s="16" t="s">
        <v>4756</v>
      </c>
    </row>
    <row r="9" customFormat="false" ht="15" hidden="false" customHeight="false" outlineLevel="0" collapsed="false">
      <c r="A9" s="16" t="s">
        <v>704</v>
      </c>
      <c r="B9" s="16" t="s">
        <v>4760</v>
      </c>
      <c r="C9" s="16" t="s">
        <v>4755</v>
      </c>
      <c r="D9" s="16" t="s">
        <v>177</v>
      </c>
      <c r="E9" s="16" t="s">
        <v>4756</v>
      </c>
    </row>
    <row r="10" customFormat="false" ht="15" hidden="false" customHeight="false" outlineLevel="0" collapsed="false">
      <c r="A10" s="16" t="s">
        <v>604</v>
      </c>
      <c r="B10" s="16" t="s">
        <v>4761</v>
      </c>
      <c r="C10" s="16" t="s">
        <v>4755</v>
      </c>
      <c r="D10" s="16" t="s">
        <v>162</v>
      </c>
      <c r="E10" s="16" t="s">
        <v>4756</v>
      </c>
    </row>
    <row r="11" customFormat="false" ht="15" hidden="false" customHeight="false" outlineLevel="0" collapsed="false">
      <c r="A11" s="16" t="s">
        <v>633</v>
      </c>
      <c r="B11" s="16" t="s">
        <v>4762</v>
      </c>
      <c r="C11" s="16" t="s">
        <v>4755</v>
      </c>
      <c r="D11" s="16" t="s">
        <v>167</v>
      </c>
      <c r="E11" s="16" t="s">
        <v>4756</v>
      </c>
    </row>
    <row r="12" customFormat="false" ht="15" hidden="false" customHeight="false" outlineLevel="0" collapsed="false">
      <c r="A12" s="16" t="s">
        <v>651</v>
      </c>
      <c r="B12" s="16" t="s">
        <v>4763</v>
      </c>
      <c r="C12" s="16" t="s">
        <v>4764</v>
      </c>
      <c r="D12" s="16" t="s">
        <v>158</v>
      </c>
      <c r="E12" s="16" t="s">
        <v>4756</v>
      </c>
    </row>
    <row r="13" customFormat="false" ht="15" hidden="false" customHeight="false" outlineLevel="0" collapsed="false">
      <c r="A13" s="16" t="s">
        <v>646</v>
      </c>
      <c r="B13" s="16" t="s">
        <v>4765</v>
      </c>
      <c r="C13" s="16" t="s">
        <v>4764</v>
      </c>
      <c r="D13" s="16" t="s">
        <v>165</v>
      </c>
      <c r="E13" s="16" t="s">
        <v>4756</v>
      </c>
    </row>
    <row r="14" customFormat="false" ht="15" hidden="false" customHeight="false" outlineLevel="0" collapsed="false">
      <c r="A14" s="16" t="s">
        <v>717</v>
      </c>
      <c r="B14" s="16" t="s">
        <v>4766</v>
      </c>
      <c r="C14" s="16" t="s">
        <v>4764</v>
      </c>
      <c r="D14" s="16" t="s">
        <v>177</v>
      </c>
      <c r="E14" s="16" t="s">
        <v>4756</v>
      </c>
    </row>
    <row r="15" customFormat="false" ht="15" hidden="false" customHeight="false" outlineLevel="0" collapsed="false">
      <c r="A15" s="16" t="s">
        <v>622</v>
      </c>
      <c r="B15" s="16" t="s">
        <v>4767</v>
      </c>
      <c r="C15" s="16" t="s">
        <v>4764</v>
      </c>
      <c r="D15" s="16" t="s">
        <v>162</v>
      </c>
      <c r="E15" s="16" t="s">
        <v>4756</v>
      </c>
    </row>
    <row r="16" customFormat="false" ht="15" hidden="false" customHeight="false" outlineLevel="0" collapsed="false">
      <c r="A16" s="16" t="s">
        <v>880</v>
      </c>
      <c r="B16" s="16" t="s">
        <v>4768</v>
      </c>
      <c r="C16" s="16" t="s">
        <v>4764</v>
      </c>
      <c r="D16" s="16" t="s">
        <v>167</v>
      </c>
      <c r="E16" s="16" t="s">
        <v>4769</v>
      </c>
    </row>
    <row r="17" customFormat="false" ht="15" hidden="false" customHeight="false" outlineLevel="0" collapsed="false">
      <c r="A17" s="16" t="s">
        <v>860</v>
      </c>
      <c r="B17" s="16" t="s">
        <v>4770</v>
      </c>
      <c r="C17" s="16" t="s">
        <v>4764</v>
      </c>
      <c r="D17" s="16" t="s">
        <v>158</v>
      </c>
      <c r="E17" s="16" t="s">
        <v>4756</v>
      </c>
    </row>
    <row r="18" customFormat="false" ht="15" hidden="false" customHeight="false" outlineLevel="0" collapsed="false">
      <c r="A18" s="16" t="s">
        <v>591</v>
      </c>
      <c r="B18" s="16" t="s">
        <v>4771</v>
      </c>
      <c r="C18" s="16" t="s">
        <v>4764</v>
      </c>
      <c r="D18" s="16" t="s">
        <v>165</v>
      </c>
      <c r="E18" s="16" t="s">
        <v>4756</v>
      </c>
    </row>
    <row r="19" customFormat="false" ht="15" hidden="false" customHeight="false" outlineLevel="0" collapsed="false">
      <c r="A19" s="16" t="s">
        <v>765</v>
      </c>
      <c r="B19" s="16" t="s">
        <v>4772</v>
      </c>
      <c r="C19" s="16" t="s">
        <v>4773</v>
      </c>
      <c r="D19" s="16" t="s">
        <v>177</v>
      </c>
      <c r="E19" s="16" t="s">
        <v>4756</v>
      </c>
    </row>
    <row r="20" customFormat="false" ht="15" hidden="false" customHeight="false" outlineLevel="0" collapsed="false">
      <c r="A20" s="16" t="s">
        <v>637</v>
      </c>
      <c r="B20" s="16" t="s">
        <v>4774</v>
      </c>
      <c r="C20" s="16" t="s">
        <v>4773</v>
      </c>
      <c r="D20" s="16" t="s">
        <v>162</v>
      </c>
      <c r="E20" s="16" t="s">
        <v>4756</v>
      </c>
    </row>
    <row r="21" customFormat="false" ht="15" hidden="false" customHeight="false" outlineLevel="0" collapsed="false">
      <c r="A21" s="16" t="s">
        <v>567</v>
      </c>
      <c r="B21" s="16" t="s">
        <v>4775</v>
      </c>
      <c r="C21" s="16" t="s">
        <v>4773</v>
      </c>
      <c r="D21" s="16" t="s">
        <v>167</v>
      </c>
      <c r="E21" s="16" t="s">
        <v>4756</v>
      </c>
    </row>
    <row r="22" customFormat="false" ht="15" hidden="false" customHeight="false" outlineLevel="0" collapsed="false">
      <c r="A22" s="16" t="s">
        <v>685</v>
      </c>
      <c r="B22" s="16" t="s">
        <v>4776</v>
      </c>
      <c r="C22" s="16" t="s">
        <v>4773</v>
      </c>
      <c r="D22" s="16" t="s">
        <v>158</v>
      </c>
      <c r="E22" s="16" t="s">
        <v>4756</v>
      </c>
    </row>
    <row r="23" customFormat="false" ht="15" hidden="false" customHeight="false" outlineLevel="0" collapsed="false">
      <c r="A23" s="16" t="s">
        <v>600</v>
      </c>
      <c r="B23" s="16" t="s">
        <v>4777</v>
      </c>
      <c r="C23" s="16" t="s">
        <v>4773</v>
      </c>
      <c r="D23" s="16" t="s">
        <v>165</v>
      </c>
      <c r="E23" s="16" t="s">
        <v>4756</v>
      </c>
    </row>
    <row r="24" customFormat="false" ht="15" hidden="false" customHeight="false" outlineLevel="0" collapsed="false">
      <c r="A24" s="16" t="s">
        <v>663</v>
      </c>
      <c r="B24" s="16" t="s">
        <v>4778</v>
      </c>
      <c r="C24" s="16" t="s">
        <v>4773</v>
      </c>
      <c r="D24" s="16" t="s">
        <v>177</v>
      </c>
      <c r="E24" s="16" t="s">
        <v>4756</v>
      </c>
    </row>
    <row r="25" customFormat="false" ht="15" hidden="false" customHeight="false" outlineLevel="0" collapsed="false">
      <c r="A25" s="16" t="s">
        <v>578</v>
      </c>
      <c r="B25" s="16" t="s">
        <v>4779</v>
      </c>
      <c r="C25" s="16" t="s">
        <v>4773</v>
      </c>
      <c r="D25" s="16" t="s">
        <v>162</v>
      </c>
      <c r="E25" s="16" t="s">
        <v>4756</v>
      </c>
    </row>
    <row r="26" customFormat="false" ht="15" hidden="false" customHeight="false" outlineLevel="0" collapsed="false">
      <c r="A26" s="16" t="s">
        <v>677</v>
      </c>
      <c r="B26" s="16" t="s">
        <v>4780</v>
      </c>
      <c r="C26" s="16" t="s">
        <v>4773</v>
      </c>
      <c r="D26" s="16" t="s">
        <v>167</v>
      </c>
      <c r="E26" s="16" t="s">
        <v>4756</v>
      </c>
    </row>
    <row r="27" customFormat="false" ht="15" hidden="false" customHeight="false" outlineLevel="0" collapsed="false">
      <c r="A27" s="16" t="s">
        <v>729</v>
      </c>
      <c r="B27" s="16" t="s">
        <v>4781</v>
      </c>
      <c r="C27" s="16" t="s">
        <v>4773</v>
      </c>
      <c r="D27" s="16" t="s">
        <v>158</v>
      </c>
      <c r="E27" s="16" t="s">
        <v>4756</v>
      </c>
    </row>
    <row r="28" customFormat="false" ht="15" hidden="false" customHeight="false" outlineLevel="0" collapsed="false">
      <c r="A28" s="16" t="s">
        <v>583</v>
      </c>
      <c r="B28" s="16" t="s">
        <v>4782</v>
      </c>
      <c r="C28" s="16" t="s">
        <v>4773</v>
      </c>
      <c r="D28" s="16" t="s">
        <v>165</v>
      </c>
      <c r="E28" s="16" t="s">
        <v>4769</v>
      </c>
    </row>
    <row r="29" customFormat="false" ht="15" hidden="false" customHeight="false" outlineLevel="0" collapsed="false">
      <c r="A29" s="16" t="s">
        <v>588</v>
      </c>
      <c r="B29" s="16" t="s">
        <v>4783</v>
      </c>
      <c r="C29" s="16" t="s">
        <v>4773</v>
      </c>
      <c r="D29" s="16" t="s">
        <v>177</v>
      </c>
      <c r="E29" s="16" t="s">
        <v>4756</v>
      </c>
    </row>
    <row r="30" customFormat="false" ht="15" hidden="false" customHeight="false" outlineLevel="0" collapsed="false">
      <c r="A30" s="16" t="s">
        <v>573</v>
      </c>
      <c r="B30" s="16" t="s">
        <v>4784</v>
      </c>
      <c r="C30" s="16" t="s">
        <v>4773</v>
      </c>
      <c r="D30" s="16" t="s">
        <v>162</v>
      </c>
      <c r="E30" s="16" t="s">
        <v>4756</v>
      </c>
    </row>
    <row r="31" customFormat="false" ht="15" hidden="false" customHeight="false" outlineLevel="0" collapsed="false">
      <c r="A31" s="16" t="s">
        <v>666</v>
      </c>
      <c r="B31" s="16" t="s">
        <v>4785</v>
      </c>
      <c r="C31" s="16" t="s">
        <v>4773</v>
      </c>
      <c r="D31" s="16" t="s">
        <v>167</v>
      </c>
      <c r="E31" s="16" t="s">
        <v>4756</v>
      </c>
    </row>
    <row r="32" customFormat="false" ht="15" hidden="false" customHeight="false" outlineLevel="0" collapsed="false">
      <c r="A32" s="16" t="s">
        <v>831</v>
      </c>
      <c r="B32" s="16" t="s">
        <v>4786</v>
      </c>
      <c r="C32" s="16" t="s">
        <v>4773</v>
      </c>
      <c r="D32" s="16" t="s">
        <v>158</v>
      </c>
      <c r="E32" s="16" t="s">
        <v>4756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7A7A"/>
    <pageSetUpPr fitToPage="false"/>
  </sheetPr>
  <dimension ref="A1:H3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5" min="4" style="0" width="14"/>
    <col collapsed="false" customWidth="true" hidden="false" outlineLevel="0" max="6" min="6" style="0" width="38"/>
    <col collapsed="false" customWidth="true" hidden="false" outlineLevel="0" max="7" min="7" style="0" width="44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4787</v>
      </c>
    </row>
    <row r="2" customFormat="false" ht="15" hidden="false" customHeight="false" outlineLevel="0" collapsed="false">
      <c r="A2" s="2" t="s">
        <v>4788</v>
      </c>
    </row>
    <row r="4" customFormat="false" ht="39.75" hidden="false" customHeight="true" outlineLevel="0" collapsed="false">
      <c r="A4" s="5" t="s">
        <v>4789</v>
      </c>
      <c r="B4" s="5" t="s">
        <v>4790</v>
      </c>
      <c r="C4" s="5" t="s">
        <v>4791</v>
      </c>
      <c r="D4" s="5" t="s">
        <v>4792</v>
      </c>
      <c r="E4" s="5" t="s">
        <v>4793</v>
      </c>
      <c r="F4" s="5" t="s">
        <v>4794</v>
      </c>
      <c r="G4" s="5" t="s">
        <v>4795</v>
      </c>
      <c r="H4" s="5" t="s">
        <v>4796</v>
      </c>
    </row>
    <row r="5" customFormat="false" ht="15" hidden="false" customHeight="false" outlineLevel="0" collapsed="false">
      <c r="A5" s="17" t="s">
        <v>4759</v>
      </c>
      <c r="B5" s="17" t="s">
        <v>605</v>
      </c>
      <c r="C5" s="17" t="s">
        <v>606</v>
      </c>
      <c r="D5" s="17" t="s">
        <v>527</v>
      </c>
      <c r="E5" s="27" t="s">
        <v>4797</v>
      </c>
      <c r="F5" s="17" t="s">
        <v>4798</v>
      </c>
      <c r="G5" s="17" t="s">
        <v>4799</v>
      </c>
      <c r="H5" s="17" t="s">
        <v>4800</v>
      </c>
    </row>
    <row r="6" customFormat="false" ht="15" hidden="false" customHeight="false" outlineLevel="0" collapsed="false">
      <c r="A6" s="17" t="s">
        <v>4759</v>
      </c>
      <c r="B6" s="17" t="s">
        <v>605</v>
      </c>
      <c r="C6" s="17" t="s">
        <v>606</v>
      </c>
      <c r="D6" s="17" t="s">
        <v>527</v>
      </c>
      <c r="E6" s="27" t="s">
        <v>4797</v>
      </c>
      <c r="F6" s="17" t="s">
        <v>121</v>
      </c>
      <c r="G6" s="17" t="s">
        <v>4801</v>
      </c>
      <c r="H6" s="17" t="s">
        <v>4800</v>
      </c>
    </row>
    <row r="7" customFormat="false" ht="15" hidden="false" customHeight="false" outlineLevel="0" collapsed="false">
      <c r="A7" s="17" t="s">
        <v>142</v>
      </c>
      <c r="B7" s="17" t="s">
        <v>614</v>
      </c>
      <c r="C7" s="17" t="s">
        <v>616</v>
      </c>
      <c r="D7" s="17" t="s">
        <v>531</v>
      </c>
      <c r="E7" s="27" t="s">
        <v>4802</v>
      </c>
      <c r="F7" s="17" t="s">
        <v>112</v>
      </c>
      <c r="G7" s="17" t="s">
        <v>113</v>
      </c>
      <c r="H7" s="17" t="s">
        <v>4800</v>
      </c>
    </row>
    <row r="8" customFormat="false" ht="15" hidden="false" customHeight="false" outlineLevel="0" collapsed="false">
      <c r="A8" s="17" t="s">
        <v>4767</v>
      </c>
      <c r="B8" s="17" t="s">
        <v>620</v>
      </c>
      <c r="C8" s="17" t="s">
        <v>621</v>
      </c>
      <c r="D8" s="17" t="s">
        <v>528</v>
      </c>
      <c r="E8" s="27" t="s">
        <v>4803</v>
      </c>
      <c r="F8" s="17" t="s">
        <v>117</v>
      </c>
      <c r="G8" s="17" t="s">
        <v>4804</v>
      </c>
      <c r="H8" s="17" t="s">
        <v>4800</v>
      </c>
    </row>
    <row r="9" customFormat="false" ht="15" hidden="false" customHeight="false" outlineLevel="0" collapsed="false">
      <c r="A9" s="17" t="s">
        <v>142</v>
      </c>
      <c r="B9" s="17" t="s">
        <v>629</v>
      </c>
      <c r="C9" s="17" t="s">
        <v>630</v>
      </c>
      <c r="D9" s="17" t="s">
        <v>530</v>
      </c>
      <c r="E9" s="27" t="s">
        <v>4805</v>
      </c>
      <c r="F9" s="17" t="s">
        <v>112</v>
      </c>
      <c r="G9" s="17" t="s">
        <v>113</v>
      </c>
      <c r="H9" s="17" t="s">
        <v>4800</v>
      </c>
    </row>
    <row r="10" customFormat="false" ht="15" hidden="false" customHeight="false" outlineLevel="0" collapsed="false">
      <c r="A10" s="17" t="s">
        <v>4765</v>
      </c>
      <c r="B10" s="17" t="s">
        <v>643</v>
      </c>
      <c r="C10" s="17" t="s">
        <v>645</v>
      </c>
      <c r="D10" s="17" t="s">
        <v>526</v>
      </c>
      <c r="E10" s="27" t="s">
        <v>4806</v>
      </c>
      <c r="F10" s="17" t="s">
        <v>4798</v>
      </c>
      <c r="G10" s="17" t="s">
        <v>4799</v>
      </c>
      <c r="H10" s="17" t="s">
        <v>4807</v>
      </c>
    </row>
    <row r="11" customFormat="false" ht="15" hidden="false" customHeight="false" outlineLevel="0" collapsed="false">
      <c r="A11" s="17" t="s">
        <v>4765</v>
      </c>
      <c r="B11" s="17" t="s">
        <v>643</v>
      </c>
      <c r="C11" s="17" t="s">
        <v>645</v>
      </c>
      <c r="D11" s="17" t="s">
        <v>526</v>
      </c>
      <c r="E11" s="27" t="s">
        <v>4806</v>
      </c>
      <c r="F11" s="17" t="s">
        <v>123</v>
      </c>
      <c r="G11" s="17" t="s">
        <v>124</v>
      </c>
      <c r="H11" s="17" t="s">
        <v>4807</v>
      </c>
    </row>
    <row r="12" customFormat="false" ht="15" hidden="false" customHeight="false" outlineLevel="0" collapsed="false">
      <c r="A12" s="17" t="s">
        <v>4779</v>
      </c>
      <c r="B12" s="17" t="s">
        <v>647</v>
      </c>
      <c r="C12" s="17" t="s">
        <v>648</v>
      </c>
      <c r="D12" s="17" t="s">
        <v>529</v>
      </c>
      <c r="E12" s="27" t="s">
        <v>4808</v>
      </c>
      <c r="F12" s="17" t="s">
        <v>4798</v>
      </c>
      <c r="G12" s="17" t="s">
        <v>4799</v>
      </c>
      <c r="H12" s="17" t="s">
        <v>4807</v>
      </c>
    </row>
    <row r="13" customFormat="false" ht="15" hidden="false" customHeight="false" outlineLevel="0" collapsed="false">
      <c r="A13" s="17" t="s">
        <v>4757</v>
      </c>
      <c r="B13" s="17" t="s">
        <v>652</v>
      </c>
      <c r="C13" s="17" t="s">
        <v>653</v>
      </c>
      <c r="D13" s="17" t="s">
        <v>528</v>
      </c>
      <c r="E13" s="27" t="s">
        <v>4809</v>
      </c>
      <c r="F13" s="17" t="s">
        <v>117</v>
      </c>
      <c r="G13" s="17" t="s">
        <v>4804</v>
      </c>
      <c r="H13" s="17" t="s">
        <v>4800</v>
      </c>
    </row>
    <row r="14" customFormat="false" ht="15" hidden="false" customHeight="false" outlineLevel="0" collapsed="false">
      <c r="A14" s="17" t="s">
        <v>4783</v>
      </c>
      <c r="B14" s="17" t="s">
        <v>655</v>
      </c>
      <c r="C14" s="17" t="s">
        <v>657</v>
      </c>
      <c r="D14" s="17" t="s">
        <v>528</v>
      </c>
      <c r="E14" s="27" t="s">
        <v>4810</v>
      </c>
      <c r="F14" s="17" t="s">
        <v>121</v>
      </c>
      <c r="G14" s="17" t="s">
        <v>4801</v>
      </c>
      <c r="H14" s="17" t="s">
        <v>4807</v>
      </c>
    </row>
    <row r="15" customFormat="false" ht="15" hidden="false" customHeight="false" outlineLevel="0" collapsed="false">
      <c r="A15" s="17" t="s">
        <v>4782</v>
      </c>
      <c r="B15" s="17" t="s">
        <v>667</v>
      </c>
      <c r="C15" s="17" t="s">
        <v>669</v>
      </c>
      <c r="D15" s="17" t="s">
        <v>528</v>
      </c>
      <c r="E15" s="27" t="s">
        <v>4811</v>
      </c>
      <c r="F15" s="17" t="s">
        <v>114</v>
      </c>
      <c r="G15" s="17" t="s">
        <v>4812</v>
      </c>
      <c r="H15" s="17" t="s">
        <v>4800</v>
      </c>
    </row>
    <row r="16" customFormat="false" ht="15" hidden="false" customHeight="false" outlineLevel="0" collapsed="false">
      <c r="A16" s="17" t="s">
        <v>4782</v>
      </c>
      <c r="B16" s="17" t="s">
        <v>667</v>
      </c>
      <c r="C16" s="17" t="s">
        <v>669</v>
      </c>
      <c r="D16" s="17" t="s">
        <v>528</v>
      </c>
      <c r="E16" s="27" t="s">
        <v>4811</v>
      </c>
      <c r="F16" s="17" t="s">
        <v>123</v>
      </c>
      <c r="G16" s="17" t="s">
        <v>124</v>
      </c>
      <c r="H16" s="17" t="s">
        <v>4807</v>
      </c>
    </row>
    <row r="17" customFormat="false" ht="15" hidden="false" customHeight="false" outlineLevel="0" collapsed="false">
      <c r="A17" s="17" t="s">
        <v>4761</v>
      </c>
      <c r="B17" s="17" t="s">
        <v>678</v>
      </c>
      <c r="C17" s="17" t="s">
        <v>679</v>
      </c>
      <c r="D17" s="17" t="s">
        <v>531</v>
      </c>
      <c r="E17" s="27" t="s">
        <v>4813</v>
      </c>
      <c r="F17" s="17" t="s">
        <v>125</v>
      </c>
      <c r="G17" s="17" t="s">
        <v>127</v>
      </c>
      <c r="H17" s="17" t="s">
        <v>4800</v>
      </c>
    </row>
    <row r="18" customFormat="false" ht="15" hidden="false" customHeight="false" outlineLevel="0" collapsed="false">
      <c r="A18" s="17" t="s">
        <v>4784</v>
      </c>
      <c r="B18" s="17" t="s">
        <v>680</v>
      </c>
      <c r="C18" s="17" t="s">
        <v>682</v>
      </c>
      <c r="D18" s="17" t="s">
        <v>526</v>
      </c>
      <c r="E18" s="27" t="s">
        <v>4814</v>
      </c>
      <c r="F18" s="17" t="s">
        <v>117</v>
      </c>
      <c r="G18" s="17" t="s">
        <v>4804</v>
      </c>
      <c r="H18" s="17" t="s">
        <v>4800</v>
      </c>
    </row>
    <row r="19" customFormat="false" ht="15" hidden="false" customHeight="false" outlineLevel="0" collapsed="false">
      <c r="A19" s="17" t="s">
        <v>4784</v>
      </c>
      <c r="B19" s="17" t="s">
        <v>680</v>
      </c>
      <c r="C19" s="17" t="s">
        <v>682</v>
      </c>
      <c r="D19" s="17" t="s">
        <v>526</v>
      </c>
      <c r="E19" s="27" t="s">
        <v>4814</v>
      </c>
      <c r="F19" s="17" t="s">
        <v>121</v>
      </c>
      <c r="G19" s="17" t="s">
        <v>4801</v>
      </c>
      <c r="H19" s="17" t="s">
        <v>4807</v>
      </c>
    </row>
    <row r="20" customFormat="false" ht="15" hidden="false" customHeight="false" outlineLevel="0" collapsed="false">
      <c r="A20" s="17" t="s">
        <v>4776</v>
      </c>
      <c r="B20" s="17" t="s">
        <v>683</v>
      </c>
      <c r="C20" s="17" t="s">
        <v>684</v>
      </c>
      <c r="D20" s="17" t="s">
        <v>527</v>
      </c>
      <c r="E20" s="27" t="s">
        <v>4815</v>
      </c>
      <c r="F20" s="17" t="s">
        <v>117</v>
      </c>
      <c r="G20" s="17" t="s">
        <v>4804</v>
      </c>
      <c r="H20" s="17" t="s">
        <v>4800</v>
      </c>
    </row>
    <row r="21" customFormat="false" ht="15" hidden="false" customHeight="false" outlineLevel="0" collapsed="false">
      <c r="A21" s="17" t="s">
        <v>4776</v>
      </c>
      <c r="B21" s="17" t="s">
        <v>683</v>
      </c>
      <c r="C21" s="17" t="s">
        <v>684</v>
      </c>
      <c r="D21" s="17" t="s">
        <v>527</v>
      </c>
      <c r="E21" s="27" t="s">
        <v>4815</v>
      </c>
      <c r="F21" s="17" t="s">
        <v>4798</v>
      </c>
      <c r="G21" s="17" t="s">
        <v>4799</v>
      </c>
      <c r="H21" s="17" t="s">
        <v>4800</v>
      </c>
    </row>
    <row r="22" customFormat="false" ht="15" hidden="false" customHeight="false" outlineLevel="0" collapsed="false">
      <c r="A22" s="17" t="s">
        <v>4778</v>
      </c>
      <c r="B22" s="17" t="s">
        <v>686</v>
      </c>
      <c r="C22" s="17" t="s">
        <v>688</v>
      </c>
      <c r="D22" s="17" t="s">
        <v>531</v>
      </c>
      <c r="E22" s="27"/>
      <c r="F22" s="17" t="s">
        <v>109</v>
      </c>
      <c r="G22" s="17" t="s">
        <v>111</v>
      </c>
      <c r="H22" s="17" t="s">
        <v>4807</v>
      </c>
    </row>
    <row r="23" customFormat="false" ht="15" hidden="false" customHeight="false" outlineLevel="0" collapsed="false">
      <c r="A23" s="17" t="s">
        <v>4766</v>
      </c>
      <c r="B23" s="17" t="s">
        <v>714</v>
      </c>
      <c r="C23" s="17" t="s">
        <v>716</v>
      </c>
      <c r="D23" s="17" t="s">
        <v>528</v>
      </c>
      <c r="E23" s="27" t="s">
        <v>4816</v>
      </c>
      <c r="F23" s="17" t="s">
        <v>117</v>
      </c>
      <c r="G23" s="17" t="s">
        <v>4804</v>
      </c>
      <c r="H23" s="17" t="s">
        <v>4800</v>
      </c>
    </row>
    <row r="24" customFormat="false" ht="15" hidden="false" customHeight="false" outlineLevel="0" collapsed="false">
      <c r="A24" s="17" t="s">
        <v>4781</v>
      </c>
      <c r="B24" s="17" t="s">
        <v>727</v>
      </c>
      <c r="C24" s="17" t="s">
        <v>728</v>
      </c>
      <c r="D24" s="17" t="s">
        <v>530</v>
      </c>
      <c r="E24" s="27"/>
      <c r="F24" s="17" t="s">
        <v>109</v>
      </c>
      <c r="G24" s="17" t="s">
        <v>111</v>
      </c>
      <c r="H24" s="17" t="s">
        <v>4807</v>
      </c>
    </row>
    <row r="25" customFormat="false" ht="15" hidden="false" customHeight="false" outlineLevel="0" collapsed="false">
      <c r="A25" s="17" t="s">
        <v>4765</v>
      </c>
      <c r="B25" s="17" t="s">
        <v>730</v>
      </c>
      <c r="C25" s="17" t="s">
        <v>731</v>
      </c>
      <c r="D25" s="17" t="s">
        <v>528</v>
      </c>
      <c r="E25" s="27" t="s">
        <v>4817</v>
      </c>
      <c r="F25" s="17" t="s">
        <v>117</v>
      </c>
      <c r="G25" s="17" t="s">
        <v>4804</v>
      </c>
      <c r="H25" s="17" t="s">
        <v>4800</v>
      </c>
    </row>
    <row r="26" customFormat="false" ht="15" hidden="false" customHeight="false" outlineLevel="0" collapsed="false">
      <c r="A26" s="17" t="s">
        <v>4765</v>
      </c>
      <c r="B26" s="17" t="s">
        <v>730</v>
      </c>
      <c r="C26" s="17" t="s">
        <v>731</v>
      </c>
      <c r="D26" s="17" t="s">
        <v>528</v>
      </c>
      <c r="E26" s="27" t="s">
        <v>4817</v>
      </c>
      <c r="F26" s="17" t="s">
        <v>121</v>
      </c>
      <c r="G26" s="17" t="s">
        <v>4801</v>
      </c>
      <c r="H26" s="17" t="s">
        <v>4807</v>
      </c>
    </row>
    <row r="27" customFormat="false" ht="15" hidden="false" customHeight="false" outlineLevel="0" collapsed="false">
      <c r="A27" s="17" t="s">
        <v>4763</v>
      </c>
      <c r="B27" s="17" t="s">
        <v>732</v>
      </c>
      <c r="C27" s="17" t="s">
        <v>733</v>
      </c>
      <c r="D27" s="17" t="s">
        <v>529</v>
      </c>
      <c r="E27" s="27" t="s">
        <v>4818</v>
      </c>
      <c r="F27" s="17" t="s">
        <v>123</v>
      </c>
      <c r="G27" s="17" t="s">
        <v>124</v>
      </c>
      <c r="H27" s="17" t="s">
        <v>4807</v>
      </c>
    </row>
    <row r="28" customFormat="false" ht="15" hidden="false" customHeight="false" outlineLevel="0" collapsed="false">
      <c r="A28" s="17" t="s">
        <v>142</v>
      </c>
      <c r="B28" s="17" t="s">
        <v>734</v>
      </c>
      <c r="C28" s="17" t="s">
        <v>735</v>
      </c>
      <c r="D28" s="17" t="s">
        <v>527</v>
      </c>
      <c r="E28" s="27" t="s">
        <v>4819</v>
      </c>
      <c r="F28" s="17" t="s">
        <v>112</v>
      </c>
      <c r="G28" s="17" t="s">
        <v>113</v>
      </c>
      <c r="H28" s="17" t="s">
        <v>4800</v>
      </c>
    </row>
    <row r="29" customFormat="false" ht="15" hidden="false" customHeight="false" outlineLevel="0" collapsed="false">
      <c r="A29" s="17" t="s">
        <v>142</v>
      </c>
      <c r="B29" s="17" t="s">
        <v>734</v>
      </c>
      <c r="C29" s="17" t="s">
        <v>735</v>
      </c>
      <c r="D29" s="17" t="s">
        <v>527</v>
      </c>
      <c r="E29" s="27" t="s">
        <v>4819</v>
      </c>
      <c r="F29" s="17" t="s">
        <v>4798</v>
      </c>
      <c r="G29" s="17" t="s">
        <v>4799</v>
      </c>
      <c r="H29" s="17" t="s">
        <v>4800</v>
      </c>
    </row>
    <row r="30" customFormat="false" ht="15" hidden="false" customHeight="false" outlineLevel="0" collapsed="false">
      <c r="A30" s="17" t="s">
        <v>142</v>
      </c>
      <c r="B30" s="17" t="s">
        <v>734</v>
      </c>
      <c r="C30" s="17" t="s">
        <v>735</v>
      </c>
      <c r="D30" s="17" t="s">
        <v>527</v>
      </c>
      <c r="E30" s="27" t="s">
        <v>4819</v>
      </c>
      <c r="F30" s="17" t="s">
        <v>123</v>
      </c>
      <c r="G30" s="17" t="s">
        <v>124</v>
      </c>
      <c r="H30" s="17" t="s">
        <v>4800</v>
      </c>
    </row>
    <row r="31" customFormat="false" ht="15" hidden="false" customHeight="false" outlineLevel="0" collapsed="false">
      <c r="A31" s="17" t="s">
        <v>4754</v>
      </c>
      <c r="B31" s="17" t="s">
        <v>736</v>
      </c>
      <c r="C31" s="17" t="s">
        <v>737</v>
      </c>
      <c r="D31" s="17" t="s">
        <v>527</v>
      </c>
      <c r="E31" s="27" t="s">
        <v>4820</v>
      </c>
      <c r="F31" s="17" t="s">
        <v>117</v>
      </c>
      <c r="G31" s="17" t="s">
        <v>4804</v>
      </c>
      <c r="H31" s="17" t="s">
        <v>4800</v>
      </c>
    </row>
    <row r="32" customFormat="false" ht="15" hidden="false" customHeight="false" outlineLevel="0" collapsed="false">
      <c r="A32" s="17" t="s">
        <v>4759</v>
      </c>
      <c r="B32" s="17" t="s">
        <v>750</v>
      </c>
      <c r="C32" s="17" t="s">
        <v>751</v>
      </c>
      <c r="D32" s="17" t="s">
        <v>529</v>
      </c>
      <c r="E32" s="27" t="s">
        <v>4821</v>
      </c>
      <c r="F32" s="17" t="s">
        <v>4798</v>
      </c>
      <c r="G32" s="17" t="s">
        <v>4799</v>
      </c>
      <c r="H32" s="17" t="s">
        <v>4800</v>
      </c>
    </row>
    <row r="33" customFormat="false" ht="15" hidden="false" customHeight="false" outlineLevel="0" collapsed="false">
      <c r="A33" s="17" t="s">
        <v>4757</v>
      </c>
      <c r="B33" s="17" t="s">
        <v>766</v>
      </c>
      <c r="C33" s="17" t="s">
        <v>767</v>
      </c>
      <c r="D33" s="17" t="s">
        <v>531</v>
      </c>
      <c r="E33" s="27" t="s">
        <v>4822</v>
      </c>
      <c r="F33" s="17" t="s">
        <v>125</v>
      </c>
      <c r="G33" s="17" t="s">
        <v>127</v>
      </c>
      <c r="H33" s="17" t="s">
        <v>4800</v>
      </c>
    </row>
    <row r="34" customFormat="false" ht="15" hidden="false" customHeight="false" outlineLevel="0" collapsed="false">
      <c r="A34" s="17" t="s">
        <v>4757</v>
      </c>
      <c r="B34" s="17" t="s">
        <v>768</v>
      </c>
      <c r="C34" s="17" t="s">
        <v>769</v>
      </c>
      <c r="D34" s="17" t="s">
        <v>531</v>
      </c>
      <c r="E34" s="27"/>
      <c r="F34" s="17" t="s">
        <v>109</v>
      </c>
      <c r="G34" s="17" t="s">
        <v>111</v>
      </c>
      <c r="H34" s="17" t="s">
        <v>4800</v>
      </c>
    </row>
    <row r="35" customFormat="false" ht="15" hidden="false" customHeight="false" outlineLevel="0" collapsed="false">
      <c r="A35" s="17" t="s">
        <v>4757</v>
      </c>
      <c r="B35" s="17" t="s">
        <v>768</v>
      </c>
      <c r="C35" s="17" t="s">
        <v>769</v>
      </c>
      <c r="D35" s="17" t="s">
        <v>531</v>
      </c>
      <c r="E35" s="27"/>
      <c r="F35" s="17" t="s">
        <v>125</v>
      </c>
      <c r="G35" s="17" t="s">
        <v>127</v>
      </c>
      <c r="H35" s="17" t="s">
        <v>4800</v>
      </c>
    </row>
    <row r="36" customFormat="false" ht="15" hidden="false" customHeight="false" outlineLevel="0" collapsed="false">
      <c r="A36" s="17" t="s">
        <v>4782</v>
      </c>
      <c r="B36" s="17" t="s">
        <v>782</v>
      </c>
      <c r="C36" s="17" t="s">
        <v>783</v>
      </c>
      <c r="D36" s="17" t="s">
        <v>529</v>
      </c>
      <c r="E36" s="27" t="s">
        <v>4823</v>
      </c>
      <c r="F36" s="17" t="s">
        <v>114</v>
      </c>
      <c r="G36" s="17" t="s">
        <v>4812</v>
      </c>
      <c r="H36" s="17" t="s">
        <v>4800</v>
      </c>
    </row>
    <row r="37" customFormat="false" ht="15" hidden="false" customHeight="false" outlineLevel="0" collapsed="false">
      <c r="A37" s="17" t="s">
        <v>4782</v>
      </c>
      <c r="B37" s="17" t="s">
        <v>782</v>
      </c>
      <c r="C37" s="17" t="s">
        <v>783</v>
      </c>
      <c r="D37" s="17" t="s">
        <v>529</v>
      </c>
      <c r="E37" s="27" t="s">
        <v>4823</v>
      </c>
      <c r="F37" s="17" t="s">
        <v>117</v>
      </c>
      <c r="G37" s="17" t="s">
        <v>4804</v>
      </c>
      <c r="H37" s="17" t="s">
        <v>4800</v>
      </c>
    </row>
    <row r="38" customFormat="false" ht="15" hidden="false" customHeight="false" outlineLevel="0" collapsed="false">
      <c r="A38" s="17" t="s">
        <v>4762</v>
      </c>
      <c r="B38" s="17" t="s">
        <v>784</v>
      </c>
      <c r="C38" s="17" t="s">
        <v>785</v>
      </c>
      <c r="D38" s="17" t="s">
        <v>527</v>
      </c>
      <c r="E38" s="27" t="s">
        <v>4824</v>
      </c>
      <c r="F38" s="17" t="s">
        <v>4798</v>
      </c>
      <c r="G38" s="17" t="s">
        <v>4799</v>
      </c>
      <c r="H38" s="17" t="s">
        <v>4800</v>
      </c>
    </row>
    <row r="39" customFormat="false" ht="15" hidden="false" customHeight="false" outlineLevel="0" collapsed="false">
      <c r="A39" s="17" t="s">
        <v>4782</v>
      </c>
      <c r="B39" s="17" t="s">
        <v>809</v>
      </c>
      <c r="C39" s="17" t="s">
        <v>811</v>
      </c>
      <c r="D39" s="17" t="s">
        <v>527</v>
      </c>
      <c r="E39" s="27" t="s">
        <v>4825</v>
      </c>
      <c r="F39" s="17" t="s">
        <v>114</v>
      </c>
      <c r="G39" s="17" t="s">
        <v>4812</v>
      </c>
      <c r="H39" s="17" t="s">
        <v>4800</v>
      </c>
    </row>
    <row r="40" customFormat="false" ht="15" hidden="false" customHeight="false" outlineLevel="0" collapsed="false">
      <c r="A40" s="17" t="s">
        <v>4782</v>
      </c>
      <c r="B40" s="17" t="s">
        <v>809</v>
      </c>
      <c r="C40" s="17" t="s">
        <v>811</v>
      </c>
      <c r="D40" s="17" t="s">
        <v>527</v>
      </c>
      <c r="E40" s="27" t="s">
        <v>4825</v>
      </c>
      <c r="F40" s="17" t="s">
        <v>4798</v>
      </c>
      <c r="G40" s="17" t="s">
        <v>4799</v>
      </c>
      <c r="H40" s="17" t="s">
        <v>4807</v>
      </c>
    </row>
    <row r="41" customFormat="false" ht="15" hidden="false" customHeight="false" outlineLevel="0" collapsed="false">
      <c r="A41" s="17" t="s">
        <v>4760</v>
      </c>
      <c r="B41" s="17" t="s">
        <v>812</v>
      </c>
      <c r="C41" s="17" t="s">
        <v>813</v>
      </c>
      <c r="D41" s="17" t="s">
        <v>530</v>
      </c>
      <c r="E41" s="27"/>
      <c r="F41" s="17" t="s">
        <v>109</v>
      </c>
      <c r="G41" s="17" t="s">
        <v>111</v>
      </c>
      <c r="H41" s="17" t="s">
        <v>4800</v>
      </c>
    </row>
    <row r="42" customFormat="false" ht="15" hidden="false" customHeight="false" outlineLevel="0" collapsed="false">
      <c r="A42" s="17" t="s">
        <v>4783</v>
      </c>
      <c r="B42" s="17" t="s">
        <v>814</v>
      </c>
      <c r="C42" s="17" t="s">
        <v>816</v>
      </c>
      <c r="D42" s="17" t="s">
        <v>531</v>
      </c>
      <c r="E42" s="27" t="s">
        <v>4826</v>
      </c>
      <c r="F42" s="17" t="s">
        <v>125</v>
      </c>
      <c r="G42" s="17" t="s">
        <v>127</v>
      </c>
      <c r="H42" s="17" t="s">
        <v>4807</v>
      </c>
    </row>
    <row r="43" customFormat="false" ht="15" hidden="false" customHeight="false" outlineLevel="0" collapsed="false">
      <c r="A43" s="17" t="s">
        <v>4765</v>
      </c>
      <c r="B43" s="17" t="s">
        <v>832</v>
      </c>
      <c r="C43" s="17" t="s">
        <v>834</v>
      </c>
      <c r="D43" s="17" t="s">
        <v>531</v>
      </c>
      <c r="E43" s="27" t="s">
        <v>4827</v>
      </c>
      <c r="F43" s="17" t="s">
        <v>125</v>
      </c>
      <c r="G43" s="17" t="s">
        <v>127</v>
      </c>
      <c r="H43" s="17" t="s">
        <v>4807</v>
      </c>
    </row>
    <row r="44" customFormat="false" ht="15" hidden="false" customHeight="false" outlineLevel="0" collapsed="false">
      <c r="A44" s="17" t="s">
        <v>4786</v>
      </c>
      <c r="B44" s="17" t="s">
        <v>839</v>
      </c>
      <c r="C44" s="17" t="s">
        <v>840</v>
      </c>
      <c r="D44" s="17" t="s">
        <v>531</v>
      </c>
      <c r="E44" s="27" t="s">
        <v>4828</v>
      </c>
      <c r="F44" s="17" t="s">
        <v>125</v>
      </c>
      <c r="G44" s="17" t="s">
        <v>127</v>
      </c>
      <c r="H44" s="17" t="s">
        <v>4807</v>
      </c>
    </row>
    <row r="45" customFormat="false" ht="15" hidden="false" customHeight="false" outlineLevel="0" collapsed="false">
      <c r="A45" s="17" t="s">
        <v>4779</v>
      </c>
      <c r="B45" s="17" t="s">
        <v>841</v>
      </c>
      <c r="C45" s="17" t="s">
        <v>842</v>
      </c>
      <c r="D45" s="17" t="s">
        <v>528</v>
      </c>
      <c r="E45" s="27" t="s">
        <v>4829</v>
      </c>
      <c r="F45" s="17" t="s">
        <v>4798</v>
      </c>
      <c r="G45" s="17" t="s">
        <v>4799</v>
      </c>
      <c r="H45" s="17" t="s">
        <v>4800</v>
      </c>
    </row>
    <row r="46" customFormat="false" ht="15" hidden="false" customHeight="false" outlineLevel="0" collapsed="false">
      <c r="A46" s="17" t="s">
        <v>4758</v>
      </c>
      <c r="B46" s="17" t="s">
        <v>843</v>
      </c>
      <c r="C46" s="17" t="s">
        <v>845</v>
      </c>
      <c r="D46" s="17" t="s">
        <v>529</v>
      </c>
      <c r="E46" s="27" t="s">
        <v>4830</v>
      </c>
      <c r="F46" s="17" t="s">
        <v>4798</v>
      </c>
      <c r="G46" s="17" t="s">
        <v>4799</v>
      </c>
      <c r="H46" s="17" t="s">
        <v>4807</v>
      </c>
    </row>
    <row r="47" customFormat="false" ht="15" hidden="false" customHeight="false" outlineLevel="0" collapsed="false">
      <c r="A47" s="17" t="s">
        <v>4777</v>
      </c>
      <c r="B47" s="17" t="s">
        <v>846</v>
      </c>
      <c r="C47" s="17" t="s">
        <v>848</v>
      </c>
      <c r="D47" s="17" t="s">
        <v>531</v>
      </c>
      <c r="E47" s="27" t="s">
        <v>4831</v>
      </c>
      <c r="F47" s="17" t="s">
        <v>125</v>
      </c>
      <c r="G47" s="17" t="s">
        <v>127</v>
      </c>
      <c r="H47" s="17" t="s">
        <v>4807</v>
      </c>
    </row>
    <row r="48" customFormat="false" ht="15" hidden="false" customHeight="false" outlineLevel="0" collapsed="false">
      <c r="A48" s="17" t="s">
        <v>4784</v>
      </c>
      <c r="B48" s="17" t="s">
        <v>854</v>
      </c>
      <c r="C48" s="17" t="s">
        <v>856</v>
      </c>
      <c r="D48" s="17" t="s">
        <v>530</v>
      </c>
      <c r="E48" s="27"/>
      <c r="F48" s="17" t="s">
        <v>109</v>
      </c>
      <c r="G48" s="17" t="s">
        <v>111</v>
      </c>
      <c r="H48" s="17" t="s">
        <v>4807</v>
      </c>
    </row>
    <row r="49" customFormat="false" ht="15" hidden="false" customHeight="false" outlineLevel="0" collapsed="false">
      <c r="A49" s="17" t="s">
        <v>4758</v>
      </c>
      <c r="B49" s="17" t="s">
        <v>871</v>
      </c>
      <c r="C49" s="17" t="s">
        <v>872</v>
      </c>
      <c r="D49" s="17" t="s">
        <v>528</v>
      </c>
      <c r="E49" s="27" t="s">
        <v>4832</v>
      </c>
      <c r="F49" s="17" t="s">
        <v>117</v>
      </c>
      <c r="G49" s="17" t="s">
        <v>4804</v>
      </c>
      <c r="H49" s="17" t="s">
        <v>4800</v>
      </c>
    </row>
    <row r="50" customFormat="false" ht="15" hidden="false" customHeight="false" outlineLevel="0" collapsed="false">
      <c r="A50" s="17" t="s">
        <v>4778</v>
      </c>
      <c r="B50" s="17" t="s">
        <v>883</v>
      </c>
      <c r="C50" s="17" t="s">
        <v>884</v>
      </c>
      <c r="D50" s="17" t="s">
        <v>526</v>
      </c>
      <c r="E50" s="27" t="s">
        <v>4833</v>
      </c>
      <c r="F50" s="17" t="s">
        <v>117</v>
      </c>
      <c r="G50" s="17" t="s">
        <v>4804</v>
      </c>
      <c r="H50" s="17" t="s">
        <v>4800</v>
      </c>
    </row>
    <row r="51" customFormat="false" ht="15" hidden="false" customHeight="false" outlineLevel="0" collapsed="false">
      <c r="A51" s="17" t="s">
        <v>4759</v>
      </c>
      <c r="B51" s="17" t="s">
        <v>905</v>
      </c>
      <c r="C51" s="17" t="s">
        <v>907</v>
      </c>
      <c r="D51" s="17" t="s">
        <v>531</v>
      </c>
      <c r="E51" s="27" t="s">
        <v>4834</v>
      </c>
      <c r="F51" s="17" t="s">
        <v>125</v>
      </c>
      <c r="G51" s="17" t="s">
        <v>127</v>
      </c>
      <c r="H51" s="17" t="s">
        <v>4807</v>
      </c>
    </row>
    <row r="52" customFormat="false" ht="15" hidden="false" customHeight="false" outlineLevel="0" collapsed="false">
      <c r="A52" s="17" t="s">
        <v>4776</v>
      </c>
      <c r="B52" s="17" t="s">
        <v>910</v>
      </c>
      <c r="C52" s="17" t="s">
        <v>911</v>
      </c>
      <c r="D52" s="17" t="s">
        <v>531</v>
      </c>
      <c r="E52" s="27"/>
      <c r="F52" s="17" t="s">
        <v>109</v>
      </c>
      <c r="G52" s="17" t="s">
        <v>111</v>
      </c>
      <c r="H52" s="17" t="s">
        <v>4800</v>
      </c>
    </row>
    <row r="53" customFormat="false" ht="15" hidden="false" customHeight="false" outlineLevel="0" collapsed="false">
      <c r="A53" s="17" t="s">
        <v>4776</v>
      </c>
      <c r="B53" s="17" t="s">
        <v>910</v>
      </c>
      <c r="C53" s="17" t="s">
        <v>911</v>
      </c>
      <c r="D53" s="17" t="s">
        <v>531</v>
      </c>
      <c r="E53" s="27"/>
      <c r="F53" s="17" t="s">
        <v>125</v>
      </c>
      <c r="G53" s="17" t="s">
        <v>127</v>
      </c>
      <c r="H53" s="17" t="s">
        <v>4800</v>
      </c>
    </row>
    <row r="54" customFormat="false" ht="15" hidden="false" customHeight="false" outlineLevel="0" collapsed="false">
      <c r="A54" s="17" t="s">
        <v>142</v>
      </c>
      <c r="B54" s="17" t="s">
        <v>912</v>
      </c>
      <c r="C54" s="17" t="s">
        <v>913</v>
      </c>
      <c r="D54" s="17" t="s">
        <v>531</v>
      </c>
      <c r="E54" s="27" t="s">
        <v>4835</v>
      </c>
      <c r="F54" s="17" t="s">
        <v>112</v>
      </c>
      <c r="G54" s="17" t="s">
        <v>113</v>
      </c>
      <c r="H54" s="17" t="s">
        <v>4800</v>
      </c>
    </row>
    <row r="55" customFormat="false" ht="15" hidden="false" customHeight="false" outlineLevel="0" collapsed="false">
      <c r="A55" s="17" t="s">
        <v>4784</v>
      </c>
      <c r="B55" s="17" t="s">
        <v>914</v>
      </c>
      <c r="C55" s="17" t="s">
        <v>915</v>
      </c>
      <c r="D55" s="17" t="s">
        <v>531</v>
      </c>
      <c r="E55" s="27" t="s">
        <v>4836</v>
      </c>
      <c r="F55" s="17" t="s">
        <v>125</v>
      </c>
      <c r="G55" s="17" t="s">
        <v>127</v>
      </c>
      <c r="H55" s="17" t="s">
        <v>4807</v>
      </c>
    </row>
    <row r="56" customFormat="false" ht="15" hidden="false" customHeight="false" outlineLevel="0" collapsed="false">
      <c r="A56" s="17" t="s">
        <v>4760</v>
      </c>
      <c r="B56" s="17" t="s">
        <v>916</v>
      </c>
      <c r="C56" s="17" t="s">
        <v>917</v>
      </c>
      <c r="D56" s="17" t="s">
        <v>531</v>
      </c>
      <c r="E56" s="27" t="s">
        <v>4837</v>
      </c>
      <c r="F56" s="17" t="s">
        <v>125</v>
      </c>
      <c r="G56" s="17" t="s">
        <v>127</v>
      </c>
      <c r="H56" s="17" t="s">
        <v>4800</v>
      </c>
    </row>
    <row r="57" customFormat="false" ht="15" hidden="false" customHeight="false" outlineLevel="0" collapsed="false">
      <c r="A57" s="17" t="s">
        <v>4758</v>
      </c>
      <c r="B57" s="17" t="s">
        <v>929</v>
      </c>
      <c r="C57" s="17" t="s">
        <v>930</v>
      </c>
      <c r="D57" s="17" t="s">
        <v>527</v>
      </c>
      <c r="E57" s="27"/>
      <c r="F57" s="17" t="s">
        <v>109</v>
      </c>
      <c r="G57" s="17" t="s">
        <v>111</v>
      </c>
      <c r="H57" s="17" t="s">
        <v>4807</v>
      </c>
    </row>
    <row r="58" customFormat="false" ht="15" hidden="false" customHeight="false" outlineLevel="0" collapsed="false">
      <c r="A58" s="17" t="s">
        <v>4772</v>
      </c>
      <c r="B58" s="17" t="s">
        <v>931</v>
      </c>
      <c r="C58" s="17" t="s">
        <v>932</v>
      </c>
      <c r="D58" s="17" t="s">
        <v>529</v>
      </c>
      <c r="E58" s="27" t="s">
        <v>4838</v>
      </c>
      <c r="F58" s="17" t="s">
        <v>4798</v>
      </c>
      <c r="G58" s="17" t="s">
        <v>4799</v>
      </c>
      <c r="H58" s="17" t="s">
        <v>4807</v>
      </c>
    </row>
    <row r="59" customFormat="false" ht="15" hidden="false" customHeight="false" outlineLevel="0" collapsed="false">
      <c r="A59" s="17" t="s">
        <v>4774</v>
      </c>
      <c r="B59" s="17" t="s">
        <v>959</v>
      </c>
      <c r="C59" s="17" t="s">
        <v>961</v>
      </c>
      <c r="D59" s="17" t="s">
        <v>527</v>
      </c>
      <c r="E59" s="27" t="s">
        <v>4839</v>
      </c>
      <c r="F59" s="17" t="s">
        <v>4798</v>
      </c>
      <c r="G59" s="17" t="s">
        <v>4799</v>
      </c>
      <c r="H59" s="17" t="s">
        <v>4807</v>
      </c>
    </row>
    <row r="60" customFormat="false" ht="15" hidden="false" customHeight="false" outlineLevel="0" collapsed="false">
      <c r="A60" s="17" t="s">
        <v>4754</v>
      </c>
      <c r="B60" s="17" t="s">
        <v>962</v>
      </c>
      <c r="C60" s="17" t="s">
        <v>964</v>
      </c>
      <c r="D60" s="17" t="s">
        <v>531</v>
      </c>
      <c r="E60" s="27" t="s">
        <v>4840</v>
      </c>
      <c r="F60" s="17" t="s">
        <v>125</v>
      </c>
      <c r="G60" s="17" t="s">
        <v>127</v>
      </c>
      <c r="H60" s="17" t="s">
        <v>4807</v>
      </c>
    </row>
    <row r="61" customFormat="false" ht="15" hidden="false" customHeight="false" outlineLevel="0" collapsed="false">
      <c r="A61" s="17" t="s">
        <v>4770</v>
      </c>
      <c r="B61" s="17" t="s">
        <v>970</v>
      </c>
      <c r="C61" s="17" t="s">
        <v>971</v>
      </c>
      <c r="D61" s="17" t="s">
        <v>528</v>
      </c>
      <c r="E61" s="27" t="s">
        <v>4841</v>
      </c>
      <c r="F61" s="17" t="s">
        <v>4798</v>
      </c>
      <c r="G61" s="17" t="s">
        <v>4799</v>
      </c>
      <c r="H61" s="17" t="s">
        <v>4807</v>
      </c>
    </row>
    <row r="62" customFormat="false" ht="15" hidden="false" customHeight="false" outlineLevel="0" collapsed="false">
      <c r="A62" s="17" t="s">
        <v>4786</v>
      </c>
      <c r="B62" s="17" t="s">
        <v>972</v>
      </c>
      <c r="C62" s="17" t="s">
        <v>974</v>
      </c>
      <c r="D62" s="17" t="s">
        <v>531</v>
      </c>
      <c r="E62" s="27" t="s">
        <v>4842</v>
      </c>
      <c r="F62" s="17" t="s">
        <v>125</v>
      </c>
      <c r="G62" s="17" t="s">
        <v>127</v>
      </c>
      <c r="H62" s="17" t="s">
        <v>4807</v>
      </c>
    </row>
    <row r="63" customFormat="false" ht="15" hidden="false" customHeight="false" outlineLevel="0" collapsed="false">
      <c r="A63" s="17" t="s">
        <v>4783</v>
      </c>
      <c r="B63" s="17" t="s">
        <v>975</v>
      </c>
      <c r="C63" s="17" t="s">
        <v>977</v>
      </c>
      <c r="D63" s="17" t="s">
        <v>528</v>
      </c>
      <c r="E63" s="27" t="s">
        <v>4843</v>
      </c>
      <c r="F63" s="17" t="s">
        <v>123</v>
      </c>
      <c r="G63" s="17" t="s">
        <v>124</v>
      </c>
      <c r="H63" s="17" t="s">
        <v>4807</v>
      </c>
    </row>
    <row r="64" customFormat="false" ht="15" hidden="false" customHeight="false" outlineLevel="0" collapsed="false">
      <c r="A64" s="17" t="s">
        <v>4754</v>
      </c>
      <c r="B64" s="17" t="s">
        <v>980</v>
      </c>
      <c r="C64" s="17" t="s">
        <v>981</v>
      </c>
      <c r="D64" s="17" t="s">
        <v>527</v>
      </c>
      <c r="E64" s="27" t="s">
        <v>4844</v>
      </c>
      <c r="F64" s="17" t="s">
        <v>117</v>
      </c>
      <c r="G64" s="17" t="s">
        <v>4804</v>
      </c>
      <c r="H64" s="17" t="s">
        <v>4800</v>
      </c>
    </row>
    <row r="65" customFormat="false" ht="15" hidden="false" customHeight="false" outlineLevel="0" collapsed="false">
      <c r="A65" s="17" t="s">
        <v>142</v>
      </c>
      <c r="B65" s="17" t="s">
        <v>988</v>
      </c>
      <c r="C65" s="17" t="s">
        <v>989</v>
      </c>
      <c r="D65" s="17" t="s">
        <v>529</v>
      </c>
      <c r="E65" s="27" t="s">
        <v>4845</v>
      </c>
      <c r="F65" s="17" t="s">
        <v>112</v>
      </c>
      <c r="G65" s="17" t="s">
        <v>113</v>
      </c>
      <c r="H65" s="17" t="s">
        <v>4800</v>
      </c>
    </row>
    <row r="66" customFormat="false" ht="15" hidden="false" customHeight="false" outlineLevel="0" collapsed="false">
      <c r="A66" s="17" t="s">
        <v>142</v>
      </c>
      <c r="B66" s="17" t="s">
        <v>988</v>
      </c>
      <c r="C66" s="17" t="s">
        <v>989</v>
      </c>
      <c r="D66" s="17" t="s">
        <v>529</v>
      </c>
      <c r="E66" s="27" t="s">
        <v>4845</v>
      </c>
      <c r="F66" s="17" t="s">
        <v>121</v>
      </c>
      <c r="G66" s="17" t="s">
        <v>4801</v>
      </c>
      <c r="H66" s="17" t="s">
        <v>4807</v>
      </c>
    </row>
    <row r="67" customFormat="false" ht="15" hidden="false" customHeight="false" outlineLevel="0" collapsed="false">
      <c r="A67" s="17" t="s">
        <v>4770</v>
      </c>
      <c r="B67" s="17" t="s">
        <v>993</v>
      </c>
      <c r="C67" s="17" t="s">
        <v>994</v>
      </c>
      <c r="D67" s="17" t="s">
        <v>531</v>
      </c>
      <c r="E67" s="27" t="s">
        <v>4846</v>
      </c>
      <c r="F67" s="17" t="s">
        <v>109</v>
      </c>
      <c r="G67" s="17" t="s">
        <v>111</v>
      </c>
      <c r="H67" s="17" t="s">
        <v>4800</v>
      </c>
    </row>
    <row r="68" customFormat="false" ht="15" hidden="false" customHeight="false" outlineLevel="0" collapsed="false">
      <c r="A68" s="17" t="s">
        <v>4768</v>
      </c>
      <c r="B68" s="17" t="s">
        <v>997</v>
      </c>
      <c r="C68" s="17" t="s">
        <v>998</v>
      </c>
      <c r="D68" s="17" t="s">
        <v>528</v>
      </c>
      <c r="E68" s="27" t="s">
        <v>4847</v>
      </c>
      <c r="F68" s="17" t="s">
        <v>114</v>
      </c>
      <c r="G68" s="17" t="s">
        <v>4812</v>
      </c>
      <c r="H68" s="17" t="s">
        <v>4800</v>
      </c>
    </row>
    <row r="69" customFormat="false" ht="15" hidden="false" customHeight="false" outlineLevel="0" collapsed="false">
      <c r="A69" s="17" t="s">
        <v>4768</v>
      </c>
      <c r="B69" s="17" t="s">
        <v>999</v>
      </c>
      <c r="C69" s="17" t="s">
        <v>1000</v>
      </c>
      <c r="D69" s="17" t="s">
        <v>526</v>
      </c>
      <c r="E69" s="27" t="s">
        <v>4848</v>
      </c>
      <c r="F69" s="17" t="s">
        <v>114</v>
      </c>
      <c r="G69" s="17" t="s">
        <v>4812</v>
      </c>
      <c r="H69" s="17" t="s">
        <v>4800</v>
      </c>
    </row>
    <row r="70" customFormat="false" ht="15" hidden="false" customHeight="false" outlineLevel="0" collapsed="false">
      <c r="A70" s="17" t="s">
        <v>4783</v>
      </c>
      <c r="B70" s="17" t="s">
        <v>1005</v>
      </c>
      <c r="C70" s="17" t="s">
        <v>1006</v>
      </c>
      <c r="D70" s="17" t="s">
        <v>527</v>
      </c>
      <c r="E70" s="27" t="s">
        <v>4849</v>
      </c>
      <c r="F70" s="17" t="s">
        <v>117</v>
      </c>
      <c r="G70" s="17" t="s">
        <v>4804</v>
      </c>
      <c r="H70" s="17" t="s">
        <v>4800</v>
      </c>
    </row>
    <row r="71" customFormat="false" ht="15" hidden="false" customHeight="false" outlineLevel="0" collapsed="false">
      <c r="A71" s="17" t="s">
        <v>4783</v>
      </c>
      <c r="B71" s="17" t="s">
        <v>1005</v>
      </c>
      <c r="C71" s="17" t="s">
        <v>1006</v>
      </c>
      <c r="D71" s="17" t="s">
        <v>527</v>
      </c>
      <c r="E71" s="27" t="s">
        <v>4849</v>
      </c>
      <c r="F71" s="17" t="s">
        <v>4798</v>
      </c>
      <c r="G71" s="17" t="s">
        <v>4799</v>
      </c>
      <c r="H71" s="17" t="s">
        <v>4807</v>
      </c>
    </row>
    <row r="72" customFormat="false" ht="15" hidden="false" customHeight="false" outlineLevel="0" collapsed="false">
      <c r="A72" s="17" t="s">
        <v>4775</v>
      </c>
      <c r="B72" s="17" t="s">
        <v>1009</v>
      </c>
      <c r="C72" s="17" t="s">
        <v>1010</v>
      </c>
      <c r="D72" s="17" t="s">
        <v>526</v>
      </c>
      <c r="E72" s="27" t="s">
        <v>4850</v>
      </c>
      <c r="F72" s="17" t="s">
        <v>117</v>
      </c>
      <c r="G72" s="17" t="s">
        <v>4804</v>
      </c>
      <c r="H72" s="17" t="s">
        <v>4800</v>
      </c>
    </row>
    <row r="73" customFormat="false" ht="15" hidden="false" customHeight="false" outlineLevel="0" collapsed="false">
      <c r="A73" s="17" t="s">
        <v>4771</v>
      </c>
      <c r="B73" s="17" t="s">
        <v>1022</v>
      </c>
      <c r="C73" s="17" t="s">
        <v>1023</v>
      </c>
      <c r="D73" s="17" t="s">
        <v>527</v>
      </c>
      <c r="E73" s="27"/>
      <c r="F73" s="17" t="s">
        <v>109</v>
      </c>
      <c r="G73" s="17" t="s">
        <v>111</v>
      </c>
      <c r="H73" s="17" t="s">
        <v>4800</v>
      </c>
    </row>
    <row r="74" customFormat="false" ht="15" hidden="false" customHeight="false" outlineLevel="0" collapsed="false">
      <c r="A74" s="17" t="s">
        <v>4771</v>
      </c>
      <c r="B74" s="17" t="s">
        <v>1022</v>
      </c>
      <c r="C74" s="17" t="s">
        <v>1023</v>
      </c>
      <c r="D74" s="17" t="s">
        <v>527</v>
      </c>
      <c r="E74" s="27"/>
      <c r="F74" s="17" t="s">
        <v>4798</v>
      </c>
      <c r="G74" s="17" t="s">
        <v>4799</v>
      </c>
      <c r="H74" s="17" t="s">
        <v>4800</v>
      </c>
    </row>
    <row r="75" customFormat="false" ht="15" hidden="false" customHeight="false" outlineLevel="0" collapsed="false">
      <c r="A75" s="17" t="s">
        <v>4762</v>
      </c>
      <c r="B75" s="17" t="s">
        <v>1035</v>
      </c>
      <c r="C75" s="17" t="s">
        <v>1036</v>
      </c>
      <c r="D75" s="17" t="s">
        <v>530</v>
      </c>
      <c r="E75" s="27" t="s">
        <v>4846</v>
      </c>
      <c r="F75" s="17" t="s">
        <v>109</v>
      </c>
      <c r="G75" s="17" t="s">
        <v>111</v>
      </c>
      <c r="H75" s="17" t="s">
        <v>4800</v>
      </c>
    </row>
    <row r="76" customFormat="false" ht="15" hidden="false" customHeight="false" outlineLevel="0" collapsed="false">
      <c r="A76" s="17" t="s">
        <v>4767</v>
      </c>
      <c r="B76" s="17" t="s">
        <v>1041</v>
      </c>
      <c r="C76" s="17" t="s">
        <v>1042</v>
      </c>
      <c r="D76" s="17" t="s">
        <v>526</v>
      </c>
      <c r="E76" s="27"/>
      <c r="F76" s="17" t="s">
        <v>109</v>
      </c>
      <c r="G76" s="17" t="s">
        <v>111</v>
      </c>
      <c r="H76" s="17" t="s">
        <v>4807</v>
      </c>
    </row>
    <row r="77" customFormat="false" ht="15" hidden="false" customHeight="false" outlineLevel="0" collapsed="false">
      <c r="A77" s="17" t="s">
        <v>4784</v>
      </c>
      <c r="B77" s="17" t="s">
        <v>1045</v>
      </c>
      <c r="C77" s="17" t="s">
        <v>1046</v>
      </c>
      <c r="D77" s="17" t="s">
        <v>530</v>
      </c>
      <c r="E77" s="27"/>
      <c r="F77" s="17" t="s">
        <v>109</v>
      </c>
      <c r="G77" s="17" t="s">
        <v>111</v>
      </c>
      <c r="H77" s="17" t="s">
        <v>4800</v>
      </c>
    </row>
    <row r="78" customFormat="false" ht="15" hidden="false" customHeight="false" outlineLevel="0" collapsed="false">
      <c r="A78" s="17" t="s">
        <v>4771</v>
      </c>
      <c r="B78" s="17" t="s">
        <v>1047</v>
      </c>
      <c r="C78" s="17" t="s">
        <v>1048</v>
      </c>
      <c r="D78" s="17" t="s">
        <v>529</v>
      </c>
      <c r="E78" s="27"/>
      <c r="F78" s="17" t="s">
        <v>109</v>
      </c>
      <c r="G78" s="17" t="s">
        <v>111</v>
      </c>
      <c r="H78" s="17" t="s">
        <v>4807</v>
      </c>
    </row>
    <row r="79" customFormat="false" ht="15" hidden="false" customHeight="false" outlineLevel="0" collapsed="false">
      <c r="A79" s="17" t="s">
        <v>4781</v>
      </c>
      <c r="B79" s="17" t="s">
        <v>1051</v>
      </c>
      <c r="C79" s="17" t="s">
        <v>1052</v>
      </c>
      <c r="D79" s="17" t="s">
        <v>526</v>
      </c>
      <c r="E79" s="27" t="s">
        <v>4851</v>
      </c>
      <c r="F79" s="17" t="s">
        <v>4798</v>
      </c>
      <c r="G79" s="17" t="s">
        <v>4799</v>
      </c>
      <c r="H79" s="17" t="s">
        <v>4807</v>
      </c>
    </row>
    <row r="80" customFormat="false" ht="15" hidden="false" customHeight="false" outlineLevel="0" collapsed="false">
      <c r="A80" s="17" t="s">
        <v>4759</v>
      </c>
      <c r="B80" s="17" t="s">
        <v>1070</v>
      </c>
      <c r="C80" s="17" t="s">
        <v>1071</v>
      </c>
      <c r="D80" s="17" t="s">
        <v>527</v>
      </c>
      <c r="E80" s="27" t="s">
        <v>4852</v>
      </c>
      <c r="F80" s="17" t="s">
        <v>123</v>
      </c>
      <c r="G80" s="17" t="s">
        <v>124</v>
      </c>
      <c r="H80" s="17" t="s">
        <v>4807</v>
      </c>
    </row>
    <row r="81" customFormat="false" ht="15" hidden="false" customHeight="false" outlineLevel="0" collapsed="false">
      <c r="A81" s="17" t="s">
        <v>4771</v>
      </c>
      <c r="B81" s="17" t="s">
        <v>1072</v>
      </c>
      <c r="C81" s="17" t="s">
        <v>1073</v>
      </c>
      <c r="D81" s="17" t="s">
        <v>528</v>
      </c>
      <c r="E81" s="27" t="s">
        <v>4853</v>
      </c>
      <c r="F81" s="17" t="s">
        <v>117</v>
      </c>
      <c r="G81" s="17" t="s">
        <v>4804</v>
      </c>
      <c r="H81" s="17" t="s">
        <v>4800</v>
      </c>
    </row>
    <row r="82" customFormat="false" ht="15" hidden="false" customHeight="false" outlineLevel="0" collapsed="false">
      <c r="A82" s="17" t="s">
        <v>4771</v>
      </c>
      <c r="B82" s="17" t="s">
        <v>1072</v>
      </c>
      <c r="C82" s="17" t="s">
        <v>1073</v>
      </c>
      <c r="D82" s="17" t="s">
        <v>528</v>
      </c>
      <c r="E82" s="27" t="s">
        <v>4853</v>
      </c>
      <c r="F82" s="17" t="s">
        <v>123</v>
      </c>
      <c r="G82" s="17" t="s">
        <v>124</v>
      </c>
      <c r="H82" s="17" t="s">
        <v>4800</v>
      </c>
    </row>
    <row r="83" customFormat="false" ht="15" hidden="false" customHeight="false" outlineLevel="0" collapsed="false">
      <c r="A83" s="17" t="s">
        <v>4774</v>
      </c>
      <c r="B83" s="17" t="s">
        <v>1074</v>
      </c>
      <c r="C83" s="17" t="s">
        <v>1076</v>
      </c>
      <c r="D83" s="17" t="s">
        <v>531</v>
      </c>
      <c r="E83" s="27" t="s">
        <v>4854</v>
      </c>
      <c r="F83" s="17" t="s">
        <v>125</v>
      </c>
      <c r="G83" s="17" t="s">
        <v>127</v>
      </c>
      <c r="H83" s="17" t="s">
        <v>4807</v>
      </c>
    </row>
    <row r="84" customFormat="false" ht="15" hidden="false" customHeight="false" outlineLevel="0" collapsed="false">
      <c r="A84" s="17" t="s">
        <v>4754</v>
      </c>
      <c r="B84" s="17" t="s">
        <v>1079</v>
      </c>
      <c r="C84" s="17" t="s">
        <v>1080</v>
      </c>
      <c r="D84" s="17" t="s">
        <v>531</v>
      </c>
      <c r="E84" s="27" t="s">
        <v>4855</v>
      </c>
      <c r="F84" s="17" t="s">
        <v>125</v>
      </c>
      <c r="G84" s="17" t="s">
        <v>127</v>
      </c>
      <c r="H84" s="17" t="s">
        <v>4807</v>
      </c>
    </row>
    <row r="85" customFormat="false" ht="15" hidden="false" customHeight="false" outlineLevel="0" collapsed="false">
      <c r="A85" s="17" t="s">
        <v>4766</v>
      </c>
      <c r="B85" s="17" t="s">
        <v>1096</v>
      </c>
      <c r="C85" s="17" t="s">
        <v>1097</v>
      </c>
      <c r="D85" s="17" t="s">
        <v>528</v>
      </c>
      <c r="E85" s="27" t="s">
        <v>4856</v>
      </c>
      <c r="F85" s="17" t="s">
        <v>117</v>
      </c>
      <c r="G85" s="17" t="s">
        <v>4804</v>
      </c>
      <c r="H85" s="17" t="s">
        <v>4800</v>
      </c>
    </row>
    <row r="86" customFormat="false" ht="15" hidden="false" customHeight="false" outlineLevel="0" collapsed="false">
      <c r="A86" s="17" t="s">
        <v>4762</v>
      </c>
      <c r="B86" s="17" t="s">
        <v>1108</v>
      </c>
      <c r="C86" s="17" t="s">
        <v>1109</v>
      </c>
      <c r="D86" s="17" t="s">
        <v>527</v>
      </c>
      <c r="E86" s="27"/>
      <c r="F86" s="17" t="s">
        <v>109</v>
      </c>
      <c r="G86" s="17" t="s">
        <v>111</v>
      </c>
      <c r="H86" s="17" t="s">
        <v>4800</v>
      </c>
    </row>
    <row r="87" customFormat="false" ht="15" hidden="false" customHeight="false" outlineLevel="0" collapsed="false">
      <c r="A87" s="17" t="s">
        <v>4772</v>
      </c>
      <c r="B87" s="17" t="s">
        <v>1120</v>
      </c>
      <c r="C87" s="17" t="s">
        <v>1122</v>
      </c>
      <c r="D87" s="17" t="s">
        <v>527</v>
      </c>
      <c r="E87" s="27" t="s">
        <v>4857</v>
      </c>
      <c r="F87" s="17" t="s">
        <v>4798</v>
      </c>
      <c r="G87" s="17" t="s">
        <v>4799</v>
      </c>
      <c r="H87" s="17" t="s">
        <v>4807</v>
      </c>
    </row>
    <row r="88" customFormat="false" ht="15" hidden="false" customHeight="false" outlineLevel="0" collapsed="false">
      <c r="A88" s="17" t="s">
        <v>4767</v>
      </c>
      <c r="B88" s="17" t="s">
        <v>1123</v>
      </c>
      <c r="C88" s="17" t="s">
        <v>1124</v>
      </c>
      <c r="D88" s="17" t="s">
        <v>528</v>
      </c>
      <c r="E88" s="27" t="s">
        <v>4858</v>
      </c>
      <c r="F88" s="17" t="s">
        <v>117</v>
      </c>
      <c r="G88" s="17" t="s">
        <v>4804</v>
      </c>
      <c r="H88" s="17" t="s">
        <v>4800</v>
      </c>
    </row>
    <row r="89" customFormat="false" ht="15" hidden="false" customHeight="false" outlineLevel="0" collapsed="false">
      <c r="A89" s="17" t="s">
        <v>4768</v>
      </c>
      <c r="B89" s="17" t="s">
        <v>1129</v>
      </c>
      <c r="C89" s="17" t="s">
        <v>1130</v>
      </c>
      <c r="D89" s="17" t="s">
        <v>527</v>
      </c>
      <c r="E89" s="27" t="s">
        <v>4859</v>
      </c>
      <c r="F89" s="17" t="s">
        <v>114</v>
      </c>
      <c r="G89" s="17" t="s">
        <v>4812</v>
      </c>
      <c r="H89" s="17" t="s">
        <v>4800</v>
      </c>
    </row>
    <row r="90" customFormat="false" ht="15" hidden="false" customHeight="false" outlineLevel="0" collapsed="false">
      <c r="A90" s="17" t="s">
        <v>4760</v>
      </c>
      <c r="B90" s="17" t="s">
        <v>1131</v>
      </c>
      <c r="C90" s="17" t="s">
        <v>1132</v>
      </c>
      <c r="D90" s="17" t="s">
        <v>527</v>
      </c>
      <c r="E90" s="27" t="s">
        <v>4860</v>
      </c>
      <c r="F90" s="17" t="s">
        <v>117</v>
      </c>
      <c r="G90" s="17" t="s">
        <v>4804</v>
      </c>
      <c r="H90" s="17" t="s">
        <v>4800</v>
      </c>
    </row>
    <row r="91" customFormat="false" ht="15" hidden="false" customHeight="false" outlineLevel="0" collapsed="false">
      <c r="A91" s="17" t="s">
        <v>4785</v>
      </c>
      <c r="B91" s="17" t="s">
        <v>1136</v>
      </c>
      <c r="C91" s="17" t="s">
        <v>1138</v>
      </c>
      <c r="D91" s="17" t="s">
        <v>531</v>
      </c>
      <c r="E91" s="27" t="s">
        <v>4861</v>
      </c>
      <c r="F91" s="17" t="s">
        <v>125</v>
      </c>
      <c r="G91" s="17" t="s">
        <v>127</v>
      </c>
      <c r="H91" s="17" t="s">
        <v>4807</v>
      </c>
    </row>
    <row r="92" customFormat="false" ht="15" hidden="false" customHeight="false" outlineLevel="0" collapsed="false">
      <c r="A92" s="17" t="s">
        <v>4781</v>
      </c>
      <c r="B92" s="17" t="s">
        <v>1143</v>
      </c>
      <c r="C92" s="17" t="s">
        <v>1145</v>
      </c>
      <c r="D92" s="17" t="s">
        <v>530</v>
      </c>
      <c r="E92" s="27"/>
      <c r="F92" s="17" t="s">
        <v>109</v>
      </c>
      <c r="G92" s="17" t="s">
        <v>111</v>
      </c>
      <c r="H92" s="17" t="s">
        <v>4807</v>
      </c>
    </row>
    <row r="93" customFormat="false" ht="15" hidden="false" customHeight="false" outlineLevel="0" collapsed="false">
      <c r="A93" s="17" t="s">
        <v>4762</v>
      </c>
      <c r="B93" s="17" t="s">
        <v>1161</v>
      </c>
      <c r="C93" s="17" t="s">
        <v>1162</v>
      </c>
      <c r="D93" s="17" t="s">
        <v>529</v>
      </c>
      <c r="E93" s="27"/>
      <c r="F93" s="17" t="s">
        <v>109</v>
      </c>
      <c r="G93" s="17" t="s">
        <v>111</v>
      </c>
      <c r="H93" s="17" t="s">
        <v>4800</v>
      </c>
    </row>
    <row r="94" customFormat="false" ht="15" hidden="false" customHeight="false" outlineLevel="0" collapsed="false">
      <c r="A94" s="17" t="s">
        <v>4762</v>
      </c>
      <c r="B94" s="17" t="s">
        <v>1161</v>
      </c>
      <c r="C94" s="17" t="s">
        <v>1162</v>
      </c>
      <c r="D94" s="17" t="s">
        <v>529</v>
      </c>
      <c r="E94" s="27"/>
      <c r="F94" s="17" t="s">
        <v>121</v>
      </c>
      <c r="G94" s="17" t="s">
        <v>4801</v>
      </c>
      <c r="H94" s="17" t="s">
        <v>4800</v>
      </c>
    </row>
    <row r="95" customFormat="false" ht="15" hidden="false" customHeight="false" outlineLevel="0" collapsed="false">
      <c r="A95" s="17" t="s">
        <v>4766</v>
      </c>
      <c r="B95" s="17" t="s">
        <v>1163</v>
      </c>
      <c r="C95" s="17" t="s">
        <v>1164</v>
      </c>
      <c r="D95" s="17" t="s">
        <v>529</v>
      </c>
      <c r="E95" s="27" t="s">
        <v>4862</v>
      </c>
      <c r="F95" s="17" t="s">
        <v>4798</v>
      </c>
      <c r="G95" s="17" t="s">
        <v>4799</v>
      </c>
      <c r="H95" s="17" t="s">
        <v>4800</v>
      </c>
    </row>
    <row r="96" customFormat="false" ht="15" hidden="false" customHeight="false" outlineLevel="0" collapsed="false">
      <c r="A96" s="17" t="s">
        <v>4777</v>
      </c>
      <c r="B96" s="17" t="s">
        <v>1165</v>
      </c>
      <c r="C96" s="17" t="s">
        <v>1166</v>
      </c>
      <c r="D96" s="17" t="s">
        <v>527</v>
      </c>
      <c r="E96" s="27" t="s">
        <v>4863</v>
      </c>
      <c r="F96" s="17" t="s">
        <v>4798</v>
      </c>
      <c r="G96" s="17" t="s">
        <v>4799</v>
      </c>
      <c r="H96" s="17" t="s">
        <v>4807</v>
      </c>
    </row>
    <row r="97" customFormat="false" ht="15" hidden="false" customHeight="false" outlineLevel="0" collapsed="false">
      <c r="A97" s="17" t="s">
        <v>4780</v>
      </c>
      <c r="B97" s="17" t="s">
        <v>1169</v>
      </c>
      <c r="C97" s="17" t="s">
        <v>1171</v>
      </c>
      <c r="D97" s="17" t="s">
        <v>527</v>
      </c>
      <c r="E97" s="27" t="s">
        <v>4864</v>
      </c>
      <c r="F97" s="17" t="s">
        <v>123</v>
      </c>
      <c r="G97" s="17" t="s">
        <v>124</v>
      </c>
      <c r="H97" s="17" t="s">
        <v>4807</v>
      </c>
    </row>
    <row r="98" customFormat="false" ht="15" hidden="false" customHeight="false" outlineLevel="0" collapsed="false">
      <c r="A98" s="17" t="s">
        <v>4757</v>
      </c>
      <c r="B98" s="17" t="s">
        <v>1172</v>
      </c>
      <c r="C98" s="17" t="s">
        <v>1173</v>
      </c>
      <c r="D98" s="17" t="s">
        <v>527</v>
      </c>
      <c r="E98" s="27" t="s">
        <v>4865</v>
      </c>
      <c r="F98" s="17" t="s">
        <v>4798</v>
      </c>
      <c r="G98" s="17" t="s">
        <v>4799</v>
      </c>
      <c r="H98" s="17" t="s">
        <v>4807</v>
      </c>
    </row>
    <row r="99" customFormat="false" ht="15" hidden="false" customHeight="false" outlineLevel="0" collapsed="false">
      <c r="A99" s="17" t="s">
        <v>4768</v>
      </c>
      <c r="B99" s="17" t="s">
        <v>1176</v>
      </c>
      <c r="C99" s="17" t="s">
        <v>1178</v>
      </c>
      <c r="D99" s="17" t="s">
        <v>526</v>
      </c>
      <c r="E99" s="27" t="s">
        <v>4866</v>
      </c>
      <c r="F99" s="17" t="s">
        <v>114</v>
      </c>
      <c r="G99" s="17" t="s">
        <v>4812</v>
      </c>
      <c r="H99" s="17" t="s">
        <v>4800</v>
      </c>
    </row>
    <row r="100" customFormat="false" ht="15" hidden="false" customHeight="false" outlineLevel="0" collapsed="false">
      <c r="A100" s="17" t="s">
        <v>4768</v>
      </c>
      <c r="B100" s="17" t="s">
        <v>1176</v>
      </c>
      <c r="C100" s="17" t="s">
        <v>1178</v>
      </c>
      <c r="D100" s="17" t="s">
        <v>526</v>
      </c>
      <c r="E100" s="27" t="s">
        <v>4866</v>
      </c>
      <c r="F100" s="17" t="s">
        <v>121</v>
      </c>
      <c r="G100" s="17" t="s">
        <v>4801</v>
      </c>
      <c r="H100" s="17" t="s">
        <v>4807</v>
      </c>
    </row>
    <row r="101" customFormat="false" ht="15" hidden="false" customHeight="false" outlineLevel="0" collapsed="false">
      <c r="A101" s="17" t="s">
        <v>4776</v>
      </c>
      <c r="B101" s="17" t="s">
        <v>1183</v>
      </c>
      <c r="C101" s="17" t="s">
        <v>1185</v>
      </c>
      <c r="D101" s="17" t="s">
        <v>531</v>
      </c>
      <c r="E101" s="27" t="s">
        <v>4867</v>
      </c>
      <c r="F101" s="17" t="s">
        <v>125</v>
      </c>
      <c r="G101" s="17" t="s">
        <v>127</v>
      </c>
      <c r="H101" s="17" t="s">
        <v>4807</v>
      </c>
    </row>
    <row r="102" customFormat="false" ht="15" hidden="false" customHeight="false" outlineLevel="0" collapsed="false">
      <c r="A102" s="17" t="s">
        <v>4776</v>
      </c>
      <c r="B102" s="17" t="s">
        <v>1195</v>
      </c>
      <c r="C102" s="17" t="s">
        <v>1197</v>
      </c>
      <c r="D102" s="17" t="s">
        <v>528</v>
      </c>
      <c r="E102" s="27" t="s">
        <v>4868</v>
      </c>
      <c r="F102" s="17" t="s">
        <v>117</v>
      </c>
      <c r="G102" s="17" t="s">
        <v>4804</v>
      </c>
      <c r="H102" s="17" t="s">
        <v>4800</v>
      </c>
    </row>
    <row r="103" customFormat="false" ht="15" hidden="false" customHeight="false" outlineLevel="0" collapsed="false">
      <c r="A103" s="17" t="s">
        <v>4786</v>
      </c>
      <c r="B103" s="17" t="s">
        <v>1198</v>
      </c>
      <c r="C103" s="17" t="s">
        <v>1199</v>
      </c>
      <c r="D103" s="17" t="s">
        <v>531</v>
      </c>
      <c r="E103" s="27" t="s">
        <v>4869</v>
      </c>
      <c r="F103" s="17" t="s">
        <v>125</v>
      </c>
      <c r="G103" s="17" t="s">
        <v>127</v>
      </c>
      <c r="H103" s="17" t="s">
        <v>4807</v>
      </c>
    </row>
    <row r="104" customFormat="false" ht="15" hidden="false" customHeight="false" outlineLevel="0" collapsed="false">
      <c r="A104" s="17" t="s">
        <v>4760</v>
      </c>
      <c r="B104" s="17" t="s">
        <v>1200</v>
      </c>
      <c r="C104" s="17" t="s">
        <v>1201</v>
      </c>
      <c r="D104" s="17" t="s">
        <v>528</v>
      </c>
      <c r="E104" s="27"/>
      <c r="F104" s="17" t="s">
        <v>109</v>
      </c>
      <c r="G104" s="17" t="s">
        <v>111</v>
      </c>
      <c r="H104" s="17" t="s">
        <v>4800</v>
      </c>
    </row>
    <row r="105" customFormat="false" ht="15" hidden="false" customHeight="false" outlineLevel="0" collapsed="false">
      <c r="A105" s="17" t="s">
        <v>4761</v>
      </c>
      <c r="B105" s="17" t="s">
        <v>1204</v>
      </c>
      <c r="C105" s="17" t="s">
        <v>1205</v>
      </c>
      <c r="D105" s="17" t="s">
        <v>527</v>
      </c>
      <c r="E105" s="27" t="s">
        <v>4870</v>
      </c>
      <c r="F105" s="17" t="s">
        <v>4798</v>
      </c>
      <c r="G105" s="17" t="s">
        <v>4799</v>
      </c>
      <c r="H105" s="17" t="s">
        <v>4807</v>
      </c>
    </row>
    <row r="106" customFormat="false" ht="15" hidden="false" customHeight="false" outlineLevel="0" collapsed="false">
      <c r="A106" s="17" t="s">
        <v>4761</v>
      </c>
      <c r="B106" s="17" t="s">
        <v>1204</v>
      </c>
      <c r="C106" s="17" t="s">
        <v>1205</v>
      </c>
      <c r="D106" s="17" t="s">
        <v>527</v>
      </c>
      <c r="E106" s="27" t="s">
        <v>4870</v>
      </c>
      <c r="F106" s="17" t="s">
        <v>121</v>
      </c>
      <c r="G106" s="17" t="s">
        <v>4801</v>
      </c>
      <c r="H106" s="17" t="s">
        <v>4807</v>
      </c>
    </row>
    <row r="107" customFormat="false" ht="15" hidden="false" customHeight="false" outlineLevel="0" collapsed="false">
      <c r="A107" s="17" t="s">
        <v>4782</v>
      </c>
      <c r="B107" s="17" t="s">
        <v>1208</v>
      </c>
      <c r="C107" s="17" t="s">
        <v>1209</v>
      </c>
      <c r="D107" s="17" t="s">
        <v>527</v>
      </c>
      <c r="E107" s="27" t="s">
        <v>4871</v>
      </c>
      <c r="F107" s="17" t="s">
        <v>114</v>
      </c>
      <c r="G107" s="17" t="s">
        <v>4812</v>
      </c>
      <c r="H107" s="17" t="s">
        <v>4800</v>
      </c>
    </row>
    <row r="108" customFormat="false" ht="15" hidden="false" customHeight="false" outlineLevel="0" collapsed="false">
      <c r="A108" s="17" t="s">
        <v>4758</v>
      </c>
      <c r="B108" s="17" t="s">
        <v>1212</v>
      </c>
      <c r="C108" s="17" t="s">
        <v>1213</v>
      </c>
      <c r="D108" s="17" t="s">
        <v>531</v>
      </c>
      <c r="E108" s="27"/>
      <c r="F108" s="17" t="s">
        <v>109</v>
      </c>
      <c r="G108" s="17" t="s">
        <v>111</v>
      </c>
      <c r="H108" s="17" t="s">
        <v>4807</v>
      </c>
    </row>
    <row r="109" customFormat="false" ht="15" hidden="false" customHeight="false" outlineLevel="0" collapsed="false">
      <c r="A109" s="17" t="s">
        <v>4754</v>
      </c>
      <c r="B109" s="17" t="s">
        <v>1214</v>
      </c>
      <c r="C109" s="17" t="s">
        <v>1216</v>
      </c>
      <c r="D109" s="17" t="s">
        <v>529</v>
      </c>
      <c r="E109" s="27" t="s">
        <v>4872</v>
      </c>
      <c r="F109" s="17" t="s">
        <v>4798</v>
      </c>
      <c r="G109" s="17" t="s">
        <v>4799</v>
      </c>
      <c r="H109" s="17" t="s">
        <v>4807</v>
      </c>
    </row>
    <row r="110" customFormat="false" ht="15" hidden="false" customHeight="false" outlineLevel="0" collapsed="false">
      <c r="A110" s="17" t="s">
        <v>4768</v>
      </c>
      <c r="B110" s="17" t="s">
        <v>1225</v>
      </c>
      <c r="C110" s="17" t="s">
        <v>1226</v>
      </c>
      <c r="D110" s="17" t="s">
        <v>528</v>
      </c>
      <c r="E110" s="27" t="s">
        <v>4873</v>
      </c>
      <c r="F110" s="17" t="s">
        <v>114</v>
      </c>
      <c r="G110" s="17" t="s">
        <v>4812</v>
      </c>
      <c r="H110" s="17" t="s">
        <v>4800</v>
      </c>
    </row>
    <row r="111" customFormat="false" ht="15" hidden="false" customHeight="false" outlineLevel="0" collapsed="false">
      <c r="A111" s="17" t="s">
        <v>4786</v>
      </c>
      <c r="B111" s="17" t="s">
        <v>1230</v>
      </c>
      <c r="C111" s="17" t="s">
        <v>1231</v>
      </c>
      <c r="D111" s="17" t="s">
        <v>527</v>
      </c>
      <c r="E111" s="27" t="s">
        <v>4874</v>
      </c>
      <c r="F111" s="17" t="s">
        <v>4798</v>
      </c>
      <c r="G111" s="17" t="s">
        <v>4799</v>
      </c>
      <c r="H111" s="17" t="s">
        <v>4807</v>
      </c>
    </row>
    <row r="112" customFormat="false" ht="15" hidden="false" customHeight="false" outlineLevel="0" collapsed="false">
      <c r="A112" s="17" t="s">
        <v>142</v>
      </c>
      <c r="B112" s="17" t="s">
        <v>1240</v>
      </c>
      <c r="C112" s="17" t="s">
        <v>1241</v>
      </c>
      <c r="D112" s="17" t="s">
        <v>531</v>
      </c>
      <c r="E112" s="27" t="s">
        <v>4875</v>
      </c>
      <c r="F112" s="17" t="s">
        <v>112</v>
      </c>
      <c r="G112" s="17" t="s">
        <v>113</v>
      </c>
      <c r="H112" s="17" t="s">
        <v>4800</v>
      </c>
    </row>
    <row r="113" customFormat="false" ht="15" hidden="false" customHeight="false" outlineLevel="0" collapsed="false">
      <c r="A113" s="17" t="s">
        <v>4777</v>
      </c>
      <c r="B113" s="17" t="s">
        <v>1250</v>
      </c>
      <c r="C113" s="17" t="s">
        <v>1251</v>
      </c>
      <c r="D113" s="17" t="s">
        <v>531</v>
      </c>
      <c r="E113" s="27" t="s">
        <v>4876</v>
      </c>
      <c r="F113" s="17" t="s">
        <v>125</v>
      </c>
      <c r="G113" s="17" t="s">
        <v>127</v>
      </c>
      <c r="H113" s="17" t="s">
        <v>4807</v>
      </c>
    </row>
    <row r="114" customFormat="false" ht="15" hidden="false" customHeight="false" outlineLevel="0" collapsed="false">
      <c r="A114" s="17" t="s">
        <v>4758</v>
      </c>
      <c r="B114" s="17" t="s">
        <v>1255</v>
      </c>
      <c r="C114" s="17" t="s">
        <v>1256</v>
      </c>
      <c r="D114" s="17" t="s">
        <v>529</v>
      </c>
      <c r="E114" s="27" t="s">
        <v>4877</v>
      </c>
      <c r="F114" s="17" t="s">
        <v>117</v>
      </c>
      <c r="G114" s="17" t="s">
        <v>4804</v>
      </c>
      <c r="H114" s="17" t="s">
        <v>4800</v>
      </c>
    </row>
    <row r="115" customFormat="false" ht="15" hidden="false" customHeight="false" outlineLevel="0" collapsed="false">
      <c r="A115" s="17" t="s">
        <v>4761</v>
      </c>
      <c r="B115" s="17" t="s">
        <v>1257</v>
      </c>
      <c r="C115" s="17" t="s">
        <v>679</v>
      </c>
      <c r="D115" s="17" t="s">
        <v>527</v>
      </c>
      <c r="E115" s="27" t="s">
        <v>4878</v>
      </c>
      <c r="F115" s="17" t="s">
        <v>4798</v>
      </c>
      <c r="G115" s="17" t="s">
        <v>4799</v>
      </c>
      <c r="H115" s="17" t="s">
        <v>4800</v>
      </c>
    </row>
    <row r="116" customFormat="false" ht="15" hidden="false" customHeight="false" outlineLevel="0" collapsed="false">
      <c r="A116" s="17" t="s">
        <v>4782</v>
      </c>
      <c r="B116" s="17" t="s">
        <v>1268</v>
      </c>
      <c r="C116" s="17" t="s">
        <v>1269</v>
      </c>
      <c r="D116" s="17" t="s">
        <v>527</v>
      </c>
      <c r="E116" s="27" t="s">
        <v>4879</v>
      </c>
      <c r="F116" s="17" t="s">
        <v>114</v>
      </c>
      <c r="G116" s="17" t="s">
        <v>4812</v>
      </c>
      <c r="H116" s="17" t="s">
        <v>4800</v>
      </c>
    </row>
    <row r="117" customFormat="false" ht="15" hidden="false" customHeight="false" outlineLevel="0" collapsed="false">
      <c r="A117" s="17" t="s">
        <v>4782</v>
      </c>
      <c r="B117" s="17" t="s">
        <v>1268</v>
      </c>
      <c r="C117" s="17" t="s">
        <v>1269</v>
      </c>
      <c r="D117" s="17" t="s">
        <v>527</v>
      </c>
      <c r="E117" s="27" t="s">
        <v>4879</v>
      </c>
      <c r="F117" s="17" t="s">
        <v>117</v>
      </c>
      <c r="G117" s="17" t="s">
        <v>4804</v>
      </c>
      <c r="H117" s="17" t="s">
        <v>4800</v>
      </c>
    </row>
    <row r="118" customFormat="false" ht="15" hidden="false" customHeight="false" outlineLevel="0" collapsed="false">
      <c r="A118" s="17" t="s">
        <v>4786</v>
      </c>
      <c r="B118" s="17" t="s">
        <v>1276</v>
      </c>
      <c r="C118" s="17" t="s">
        <v>1278</v>
      </c>
      <c r="D118" s="17" t="s">
        <v>531</v>
      </c>
      <c r="E118" s="27" t="s">
        <v>4880</v>
      </c>
      <c r="F118" s="17" t="s">
        <v>125</v>
      </c>
      <c r="G118" s="17" t="s">
        <v>127</v>
      </c>
      <c r="H118" s="17" t="s">
        <v>4807</v>
      </c>
    </row>
    <row r="119" customFormat="false" ht="15" hidden="false" customHeight="false" outlineLevel="0" collapsed="false">
      <c r="A119" s="17" t="s">
        <v>4760</v>
      </c>
      <c r="B119" s="17" t="s">
        <v>1294</v>
      </c>
      <c r="C119" s="17" t="s">
        <v>1295</v>
      </c>
      <c r="D119" s="17" t="s">
        <v>527</v>
      </c>
      <c r="E119" s="27"/>
      <c r="F119" s="17" t="s">
        <v>109</v>
      </c>
      <c r="G119" s="17" t="s">
        <v>111</v>
      </c>
      <c r="H119" s="17" t="s">
        <v>4800</v>
      </c>
    </row>
    <row r="120" customFormat="false" ht="15" hidden="false" customHeight="false" outlineLevel="0" collapsed="false">
      <c r="A120" s="17" t="s">
        <v>4763</v>
      </c>
      <c r="B120" s="17" t="s">
        <v>1302</v>
      </c>
      <c r="C120" s="17" t="s">
        <v>1303</v>
      </c>
      <c r="D120" s="17" t="s">
        <v>527</v>
      </c>
      <c r="E120" s="27"/>
      <c r="F120" s="17" t="s">
        <v>109</v>
      </c>
      <c r="G120" s="17" t="s">
        <v>111</v>
      </c>
      <c r="H120" s="17" t="s">
        <v>4807</v>
      </c>
    </row>
    <row r="121" customFormat="false" ht="15" hidden="false" customHeight="false" outlineLevel="0" collapsed="false">
      <c r="A121" s="17" t="s">
        <v>4763</v>
      </c>
      <c r="B121" s="17" t="s">
        <v>1302</v>
      </c>
      <c r="C121" s="17" t="s">
        <v>1303</v>
      </c>
      <c r="D121" s="17" t="s">
        <v>527</v>
      </c>
      <c r="E121" s="27"/>
      <c r="F121" s="17" t="s">
        <v>117</v>
      </c>
      <c r="G121" s="17" t="s">
        <v>4804</v>
      </c>
      <c r="H121" s="17" t="s">
        <v>4800</v>
      </c>
    </row>
    <row r="122" customFormat="false" ht="15" hidden="false" customHeight="false" outlineLevel="0" collapsed="false">
      <c r="A122" s="17" t="s">
        <v>4763</v>
      </c>
      <c r="B122" s="17" t="s">
        <v>1302</v>
      </c>
      <c r="C122" s="17" t="s">
        <v>1303</v>
      </c>
      <c r="D122" s="17" t="s">
        <v>527</v>
      </c>
      <c r="E122" s="27"/>
      <c r="F122" s="17" t="s">
        <v>123</v>
      </c>
      <c r="G122" s="17" t="s">
        <v>124</v>
      </c>
      <c r="H122" s="17" t="s">
        <v>4807</v>
      </c>
    </row>
    <row r="123" customFormat="false" ht="15" hidden="false" customHeight="false" outlineLevel="0" collapsed="false">
      <c r="A123" s="17" t="s">
        <v>4758</v>
      </c>
      <c r="B123" s="17" t="s">
        <v>1304</v>
      </c>
      <c r="C123" s="17" t="s">
        <v>1305</v>
      </c>
      <c r="D123" s="17" t="s">
        <v>531</v>
      </c>
      <c r="E123" s="27" t="s">
        <v>4881</v>
      </c>
      <c r="F123" s="17" t="s">
        <v>125</v>
      </c>
      <c r="G123" s="17" t="s">
        <v>127</v>
      </c>
      <c r="H123" s="17" t="s">
        <v>4807</v>
      </c>
    </row>
    <row r="124" customFormat="false" ht="15" hidden="false" customHeight="false" outlineLevel="0" collapsed="false">
      <c r="A124" s="17" t="s">
        <v>4757</v>
      </c>
      <c r="B124" s="17" t="s">
        <v>1311</v>
      </c>
      <c r="C124" s="17" t="s">
        <v>1312</v>
      </c>
      <c r="D124" s="17" t="s">
        <v>528</v>
      </c>
      <c r="E124" s="27" t="s">
        <v>4882</v>
      </c>
      <c r="F124" s="17" t="s">
        <v>117</v>
      </c>
      <c r="G124" s="17" t="s">
        <v>4804</v>
      </c>
      <c r="H124" s="17" t="s">
        <v>4800</v>
      </c>
    </row>
    <row r="125" customFormat="false" ht="15" hidden="false" customHeight="false" outlineLevel="0" collapsed="false">
      <c r="A125" s="17" t="s">
        <v>4761</v>
      </c>
      <c r="B125" s="17" t="s">
        <v>1317</v>
      </c>
      <c r="C125" s="17" t="s">
        <v>1318</v>
      </c>
      <c r="D125" s="17" t="s">
        <v>531</v>
      </c>
      <c r="E125" s="27" t="s">
        <v>4883</v>
      </c>
      <c r="F125" s="17" t="s">
        <v>125</v>
      </c>
      <c r="G125" s="17" t="s">
        <v>127</v>
      </c>
      <c r="H125" s="17" t="s">
        <v>4800</v>
      </c>
    </row>
    <row r="126" customFormat="false" ht="15" hidden="false" customHeight="false" outlineLevel="0" collapsed="false">
      <c r="A126" s="17" t="s">
        <v>4760</v>
      </c>
      <c r="B126" s="17" t="s">
        <v>1324</v>
      </c>
      <c r="C126" s="17" t="s">
        <v>1325</v>
      </c>
      <c r="D126" s="17" t="s">
        <v>528</v>
      </c>
      <c r="E126" s="27" t="s">
        <v>4884</v>
      </c>
      <c r="F126" s="17" t="s">
        <v>4798</v>
      </c>
      <c r="G126" s="17" t="s">
        <v>4799</v>
      </c>
      <c r="H126" s="17" t="s">
        <v>4800</v>
      </c>
    </row>
    <row r="127" customFormat="false" ht="15" hidden="false" customHeight="false" outlineLevel="0" collapsed="false">
      <c r="A127" s="17" t="s">
        <v>4760</v>
      </c>
      <c r="B127" s="17" t="s">
        <v>1324</v>
      </c>
      <c r="C127" s="17" t="s">
        <v>1325</v>
      </c>
      <c r="D127" s="17" t="s">
        <v>528</v>
      </c>
      <c r="E127" s="27" t="s">
        <v>4884</v>
      </c>
      <c r="F127" s="17" t="s">
        <v>123</v>
      </c>
      <c r="G127" s="17" t="s">
        <v>124</v>
      </c>
      <c r="H127" s="17" t="s">
        <v>4800</v>
      </c>
    </row>
    <row r="128" customFormat="false" ht="15" hidden="false" customHeight="false" outlineLevel="0" collapsed="false">
      <c r="A128" s="17" t="s">
        <v>4757</v>
      </c>
      <c r="B128" s="17" t="s">
        <v>1338</v>
      </c>
      <c r="C128" s="17" t="s">
        <v>1340</v>
      </c>
      <c r="D128" s="17" t="s">
        <v>529</v>
      </c>
      <c r="E128" s="27" t="s">
        <v>4885</v>
      </c>
      <c r="F128" s="17" t="s">
        <v>4798</v>
      </c>
      <c r="G128" s="17" t="s">
        <v>4799</v>
      </c>
      <c r="H128" s="17" t="s">
        <v>4807</v>
      </c>
    </row>
    <row r="129" customFormat="false" ht="15" hidden="false" customHeight="false" outlineLevel="0" collapsed="false">
      <c r="A129" s="17" t="s">
        <v>4775</v>
      </c>
      <c r="B129" s="17" t="s">
        <v>1352</v>
      </c>
      <c r="C129" s="17" t="s">
        <v>1354</v>
      </c>
      <c r="D129" s="17" t="s">
        <v>531</v>
      </c>
      <c r="E129" s="27" t="s">
        <v>4886</v>
      </c>
      <c r="F129" s="17" t="s">
        <v>125</v>
      </c>
      <c r="G129" s="17" t="s">
        <v>127</v>
      </c>
      <c r="H129" s="17" t="s">
        <v>4807</v>
      </c>
    </row>
    <row r="130" customFormat="false" ht="15" hidden="false" customHeight="false" outlineLevel="0" collapsed="false">
      <c r="A130" s="17" t="s">
        <v>4759</v>
      </c>
      <c r="B130" s="17" t="s">
        <v>1357</v>
      </c>
      <c r="C130" s="17" t="s">
        <v>1359</v>
      </c>
      <c r="D130" s="17" t="s">
        <v>528</v>
      </c>
      <c r="E130" s="27" t="s">
        <v>4840</v>
      </c>
      <c r="F130" s="17" t="s">
        <v>117</v>
      </c>
      <c r="G130" s="17" t="s">
        <v>4804</v>
      </c>
      <c r="H130" s="17" t="s">
        <v>4800</v>
      </c>
    </row>
    <row r="131" customFormat="false" ht="15" hidden="false" customHeight="false" outlineLevel="0" collapsed="false">
      <c r="A131" s="17" t="s">
        <v>4777</v>
      </c>
      <c r="B131" s="17" t="s">
        <v>1366</v>
      </c>
      <c r="C131" s="17" t="s">
        <v>1367</v>
      </c>
      <c r="D131" s="17" t="s">
        <v>527</v>
      </c>
      <c r="E131" s="27"/>
      <c r="F131" s="17" t="s">
        <v>109</v>
      </c>
      <c r="G131" s="17" t="s">
        <v>111</v>
      </c>
      <c r="H131" s="17" t="s">
        <v>4800</v>
      </c>
    </row>
    <row r="132" customFormat="false" ht="15" hidden="false" customHeight="false" outlineLevel="0" collapsed="false">
      <c r="A132" s="17" t="s">
        <v>4785</v>
      </c>
      <c r="B132" s="17" t="s">
        <v>1368</v>
      </c>
      <c r="C132" s="17" t="s">
        <v>1369</v>
      </c>
      <c r="D132" s="17" t="s">
        <v>526</v>
      </c>
      <c r="E132" s="27" t="s">
        <v>4887</v>
      </c>
      <c r="F132" s="17" t="s">
        <v>123</v>
      </c>
      <c r="G132" s="17" t="s">
        <v>124</v>
      </c>
      <c r="H132" s="17" t="s">
        <v>4800</v>
      </c>
    </row>
    <row r="133" customFormat="false" ht="15" hidden="false" customHeight="false" outlineLevel="0" collapsed="false">
      <c r="A133" s="17" t="s">
        <v>4785</v>
      </c>
      <c r="B133" s="17" t="s">
        <v>1370</v>
      </c>
      <c r="C133" s="17" t="s">
        <v>1371</v>
      </c>
      <c r="D133" s="17" t="s">
        <v>526</v>
      </c>
      <c r="E133" s="27" t="s">
        <v>4888</v>
      </c>
      <c r="F133" s="17" t="s">
        <v>117</v>
      </c>
      <c r="G133" s="17" t="s">
        <v>4804</v>
      </c>
      <c r="H133" s="17" t="s">
        <v>4800</v>
      </c>
    </row>
    <row r="134" customFormat="false" ht="15" hidden="false" customHeight="false" outlineLevel="0" collapsed="false">
      <c r="A134" s="17" t="s">
        <v>4761</v>
      </c>
      <c r="B134" s="17" t="s">
        <v>1372</v>
      </c>
      <c r="C134" s="17" t="s">
        <v>1373</v>
      </c>
      <c r="D134" s="17" t="s">
        <v>526</v>
      </c>
      <c r="E134" s="27" t="s">
        <v>4889</v>
      </c>
      <c r="F134" s="17" t="s">
        <v>117</v>
      </c>
      <c r="G134" s="17" t="s">
        <v>4804</v>
      </c>
      <c r="H134" s="17" t="s">
        <v>4800</v>
      </c>
    </row>
    <row r="135" customFormat="false" ht="15" hidden="false" customHeight="false" outlineLevel="0" collapsed="false">
      <c r="A135" s="17" t="s">
        <v>4761</v>
      </c>
      <c r="B135" s="17" t="s">
        <v>1372</v>
      </c>
      <c r="C135" s="17" t="s">
        <v>1373</v>
      </c>
      <c r="D135" s="17" t="s">
        <v>526</v>
      </c>
      <c r="E135" s="27" t="s">
        <v>4889</v>
      </c>
      <c r="F135" s="17" t="s">
        <v>4798</v>
      </c>
      <c r="G135" s="17" t="s">
        <v>4799</v>
      </c>
      <c r="H135" s="17" t="s">
        <v>4800</v>
      </c>
    </row>
    <row r="136" customFormat="false" ht="15" hidden="false" customHeight="false" outlineLevel="0" collapsed="false">
      <c r="A136" s="17" t="s">
        <v>4759</v>
      </c>
      <c r="B136" s="17" t="s">
        <v>1374</v>
      </c>
      <c r="C136" s="17" t="s">
        <v>1375</v>
      </c>
      <c r="D136" s="17" t="s">
        <v>529</v>
      </c>
      <c r="E136" s="27" t="s">
        <v>4890</v>
      </c>
      <c r="F136" s="17" t="s">
        <v>4798</v>
      </c>
      <c r="G136" s="17" t="s">
        <v>4799</v>
      </c>
      <c r="H136" s="17" t="s">
        <v>4800</v>
      </c>
    </row>
    <row r="137" customFormat="false" ht="15" hidden="false" customHeight="false" outlineLevel="0" collapsed="false">
      <c r="A137" s="17" t="s">
        <v>4780</v>
      </c>
      <c r="B137" s="17" t="s">
        <v>1376</v>
      </c>
      <c r="C137" s="17" t="s">
        <v>1377</v>
      </c>
      <c r="D137" s="17" t="s">
        <v>526</v>
      </c>
      <c r="E137" s="27" t="s">
        <v>4891</v>
      </c>
      <c r="F137" s="17" t="s">
        <v>123</v>
      </c>
      <c r="G137" s="17" t="s">
        <v>124</v>
      </c>
      <c r="H137" s="17" t="s">
        <v>4807</v>
      </c>
    </row>
    <row r="138" customFormat="false" ht="15" hidden="false" customHeight="false" outlineLevel="0" collapsed="false">
      <c r="A138" s="17" t="s">
        <v>4759</v>
      </c>
      <c r="B138" s="17" t="s">
        <v>1393</v>
      </c>
      <c r="C138" s="17" t="s">
        <v>1394</v>
      </c>
      <c r="D138" s="17" t="s">
        <v>528</v>
      </c>
      <c r="E138" s="27" t="s">
        <v>4892</v>
      </c>
      <c r="F138" s="17" t="s">
        <v>117</v>
      </c>
      <c r="G138" s="17" t="s">
        <v>4804</v>
      </c>
      <c r="H138" s="17" t="s">
        <v>4800</v>
      </c>
    </row>
    <row r="139" customFormat="false" ht="15" hidden="false" customHeight="false" outlineLevel="0" collapsed="false">
      <c r="A139" s="17" t="s">
        <v>4772</v>
      </c>
      <c r="B139" s="17" t="s">
        <v>1408</v>
      </c>
      <c r="C139" s="17" t="s">
        <v>1409</v>
      </c>
      <c r="D139" s="17" t="s">
        <v>531</v>
      </c>
      <c r="E139" s="27" t="s">
        <v>4893</v>
      </c>
      <c r="F139" s="17" t="s">
        <v>125</v>
      </c>
      <c r="G139" s="17" t="s">
        <v>127</v>
      </c>
      <c r="H139" s="17" t="s">
        <v>4807</v>
      </c>
    </row>
    <row r="140" customFormat="false" ht="15" hidden="false" customHeight="false" outlineLevel="0" collapsed="false">
      <c r="A140" s="17" t="s">
        <v>4762</v>
      </c>
      <c r="B140" s="17" t="s">
        <v>1416</v>
      </c>
      <c r="C140" s="17" t="s">
        <v>1417</v>
      </c>
      <c r="D140" s="17" t="s">
        <v>527</v>
      </c>
      <c r="E140" s="27" t="s">
        <v>4894</v>
      </c>
      <c r="F140" s="17" t="s">
        <v>117</v>
      </c>
      <c r="G140" s="17" t="s">
        <v>4804</v>
      </c>
      <c r="H140" s="17" t="s">
        <v>4800</v>
      </c>
    </row>
    <row r="141" customFormat="false" ht="15" hidden="false" customHeight="false" outlineLevel="0" collapsed="false">
      <c r="A141" s="17" t="s">
        <v>4762</v>
      </c>
      <c r="B141" s="17" t="s">
        <v>1416</v>
      </c>
      <c r="C141" s="17" t="s">
        <v>1417</v>
      </c>
      <c r="D141" s="17" t="s">
        <v>527</v>
      </c>
      <c r="E141" s="27" t="s">
        <v>4894</v>
      </c>
      <c r="F141" s="17" t="s">
        <v>4798</v>
      </c>
      <c r="G141" s="17" t="s">
        <v>4799</v>
      </c>
      <c r="H141" s="17" t="s">
        <v>4807</v>
      </c>
    </row>
    <row r="142" customFormat="false" ht="15" hidden="false" customHeight="false" outlineLevel="0" collapsed="false">
      <c r="A142" s="17" t="s">
        <v>4762</v>
      </c>
      <c r="B142" s="17" t="s">
        <v>1416</v>
      </c>
      <c r="C142" s="17" t="s">
        <v>1417</v>
      </c>
      <c r="D142" s="17" t="s">
        <v>527</v>
      </c>
      <c r="E142" s="27" t="s">
        <v>4894</v>
      </c>
      <c r="F142" s="17" t="s">
        <v>123</v>
      </c>
      <c r="G142" s="17" t="s">
        <v>124</v>
      </c>
      <c r="H142" s="17" t="s">
        <v>4807</v>
      </c>
    </row>
    <row r="143" customFormat="false" ht="15" hidden="false" customHeight="false" outlineLevel="0" collapsed="false">
      <c r="A143" s="17" t="s">
        <v>4782</v>
      </c>
      <c r="B143" s="17" t="s">
        <v>1418</v>
      </c>
      <c r="C143" s="17" t="s">
        <v>1420</v>
      </c>
      <c r="D143" s="17" t="s">
        <v>526</v>
      </c>
      <c r="E143" s="27" t="s">
        <v>4895</v>
      </c>
      <c r="F143" s="17" t="s">
        <v>114</v>
      </c>
      <c r="G143" s="17" t="s">
        <v>4812</v>
      </c>
      <c r="H143" s="17" t="s">
        <v>4800</v>
      </c>
    </row>
    <row r="144" customFormat="false" ht="15" hidden="false" customHeight="false" outlineLevel="0" collapsed="false">
      <c r="A144" s="17" t="s">
        <v>4761</v>
      </c>
      <c r="B144" s="17" t="s">
        <v>1421</v>
      </c>
      <c r="C144" s="17" t="s">
        <v>1422</v>
      </c>
      <c r="D144" s="17" t="s">
        <v>528</v>
      </c>
      <c r="E144" s="27" t="s">
        <v>4896</v>
      </c>
      <c r="F144" s="17" t="s">
        <v>4798</v>
      </c>
      <c r="G144" s="17" t="s">
        <v>4799</v>
      </c>
      <c r="H144" s="17" t="s">
        <v>4800</v>
      </c>
    </row>
    <row r="145" customFormat="false" ht="15" hidden="false" customHeight="false" outlineLevel="0" collapsed="false">
      <c r="A145" s="17" t="s">
        <v>4782</v>
      </c>
      <c r="B145" s="17" t="s">
        <v>1423</v>
      </c>
      <c r="C145" s="17" t="s">
        <v>1424</v>
      </c>
      <c r="D145" s="17" t="s">
        <v>529</v>
      </c>
      <c r="E145" s="27" t="s">
        <v>4897</v>
      </c>
      <c r="F145" s="17" t="s">
        <v>114</v>
      </c>
      <c r="G145" s="17" t="s">
        <v>4812</v>
      </c>
      <c r="H145" s="17" t="s">
        <v>4800</v>
      </c>
    </row>
    <row r="146" customFormat="false" ht="15" hidden="false" customHeight="false" outlineLevel="0" collapsed="false">
      <c r="A146" s="17" t="s">
        <v>142</v>
      </c>
      <c r="B146" s="17" t="s">
        <v>1428</v>
      </c>
      <c r="C146" s="17" t="s">
        <v>1429</v>
      </c>
      <c r="D146" s="17" t="s">
        <v>531</v>
      </c>
      <c r="E146" s="27" t="s">
        <v>4898</v>
      </c>
      <c r="F146" s="17" t="s">
        <v>112</v>
      </c>
      <c r="G146" s="17" t="s">
        <v>113</v>
      </c>
      <c r="H146" s="17" t="s">
        <v>4800</v>
      </c>
    </row>
    <row r="147" customFormat="false" ht="15" hidden="false" customHeight="false" outlineLevel="0" collapsed="false">
      <c r="A147" s="17" t="s">
        <v>142</v>
      </c>
      <c r="B147" s="17" t="s">
        <v>1428</v>
      </c>
      <c r="C147" s="17" t="s">
        <v>1429</v>
      </c>
      <c r="D147" s="17" t="s">
        <v>531</v>
      </c>
      <c r="E147" s="27" t="s">
        <v>4898</v>
      </c>
      <c r="F147" s="17" t="s">
        <v>125</v>
      </c>
      <c r="G147" s="17" t="s">
        <v>127</v>
      </c>
      <c r="H147" s="17" t="s">
        <v>4800</v>
      </c>
    </row>
    <row r="148" customFormat="false" ht="15" hidden="false" customHeight="false" outlineLevel="0" collapsed="false">
      <c r="A148" s="17" t="s">
        <v>4768</v>
      </c>
      <c r="B148" s="17" t="s">
        <v>1430</v>
      </c>
      <c r="C148" s="17" t="s">
        <v>1431</v>
      </c>
      <c r="D148" s="17" t="s">
        <v>527</v>
      </c>
      <c r="E148" s="27" t="s">
        <v>4899</v>
      </c>
      <c r="F148" s="17" t="s">
        <v>114</v>
      </c>
      <c r="G148" s="17" t="s">
        <v>4812</v>
      </c>
      <c r="H148" s="17" t="s">
        <v>4800</v>
      </c>
    </row>
    <row r="149" customFormat="false" ht="15" hidden="false" customHeight="false" outlineLevel="0" collapsed="false">
      <c r="A149" s="17" t="s">
        <v>4772</v>
      </c>
      <c r="B149" s="17" t="s">
        <v>1445</v>
      </c>
      <c r="C149" s="17" t="s">
        <v>1446</v>
      </c>
      <c r="D149" s="17" t="s">
        <v>526</v>
      </c>
      <c r="E149" s="27" t="s">
        <v>4900</v>
      </c>
      <c r="F149" s="17" t="s">
        <v>4798</v>
      </c>
      <c r="G149" s="17" t="s">
        <v>4799</v>
      </c>
      <c r="H149" s="17" t="s">
        <v>4807</v>
      </c>
    </row>
    <row r="150" customFormat="false" ht="15" hidden="false" customHeight="false" outlineLevel="0" collapsed="false">
      <c r="A150" s="17" t="s">
        <v>4761</v>
      </c>
      <c r="B150" s="17" t="s">
        <v>1452</v>
      </c>
      <c r="C150" s="17" t="s">
        <v>1453</v>
      </c>
      <c r="D150" s="17" t="s">
        <v>531</v>
      </c>
      <c r="E150" s="27"/>
      <c r="F150" s="17" t="s">
        <v>109</v>
      </c>
      <c r="G150" s="17" t="s">
        <v>111</v>
      </c>
      <c r="H150" s="17" t="s">
        <v>4800</v>
      </c>
    </row>
    <row r="151" customFormat="false" ht="15" hidden="false" customHeight="false" outlineLevel="0" collapsed="false">
      <c r="A151" s="17" t="s">
        <v>4766</v>
      </c>
      <c r="B151" s="17" t="s">
        <v>1454</v>
      </c>
      <c r="C151" s="17" t="s">
        <v>1455</v>
      </c>
      <c r="D151" s="17" t="s">
        <v>531</v>
      </c>
      <c r="E151" s="27" t="s">
        <v>4901</v>
      </c>
      <c r="F151" s="17" t="s">
        <v>125</v>
      </c>
      <c r="G151" s="17" t="s">
        <v>127</v>
      </c>
      <c r="H151" s="17" t="s">
        <v>4807</v>
      </c>
    </row>
    <row r="152" customFormat="false" ht="15" hidden="false" customHeight="false" outlineLevel="0" collapsed="false">
      <c r="A152" s="17" t="s">
        <v>4777</v>
      </c>
      <c r="B152" s="17" t="s">
        <v>1464</v>
      </c>
      <c r="C152" s="17" t="s">
        <v>1465</v>
      </c>
      <c r="D152" s="17" t="s">
        <v>528</v>
      </c>
      <c r="E152" s="27" t="s">
        <v>4902</v>
      </c>
      <c r="F152" s="17" t="s">
        <v>123</v>
      </c>
      <c r="G152" s="17" t="s">
        <v>124</v>
      </c>
      <c r="H152" s="17" t="s">
        <v>4807</v>
      </c>
    </row>
    <row r="153" customFormat="false" ht="15" hidden="false" customHeight="false" outlineLevel="0" collapsed="false">
      <c r="A153" s="17" t="s">
        <v>4757</v>
      </c>
      <c r="B153" s="17" t="s">
        <v>1466</v>
      </c>
      <c r="C153" s="17" t="s">
        <v>1467</v>
      </c>
      <c r="D153" s="17" t="s">
        <v>526</v>
      </c>
      <c r="E153" s="27" t="s">
        <v>4903</v>
      </c>
      <c r="F153" s="17" t="s">
        <v>4798</v>
      </c>
      <c r="G153" s="17" t="s">
        <v>4799</v>
      </c>
      <c r="H153" s="17" t="s">
        <v>4807</v>
      </c>
    </row>
    <row r="154" customFormat="false" ht="15" hidden="false" customHeight="false" outlineLevel="0" collapsed="false">
      <c r="A154" s="17" t="s">
        <v>4767</v>
      </c>
      <c r="B154" s="17" t="s">
        <v>1470</v>
      </c>
      <c r="C154" s="17" t="s">
        <v>1471</v>
      </c>
      <c r="D154" s="17" t="s">
        <v>531</v>
      </c>
      <c r="E154" s="27" t="s">
        <v>4904</v>
      </c>
      <c r="F154" s="17" t="s">
        <v>125</v>
      </c>
      <c r="G154" s="17" t="s">
        <v>127</v>
      </c>
      <c r="H154" s="17" t="s">
        <v>4807</v>
      </c>
    </row>
    <row r="155" customFormat="false" ht="15" hidden="false" customHeight="false" outlineLevel="0" collapsed="false">
      <c r="A155" s="17" t="s">
        <v>4754</v>
      </c>
      <c r="B155" s="17" t="s">
        <v>1478</v>
      </c>
      <c r="C155" s="17" t="s">
        <v>1479</v>
      </c>
      <c r="D155" s="17" t="s">
        <v>527</v>
      </c>
      <c r="E155" s="27" t="s">
        <v>4905</v>
      </c>
      <c r="F155" s="17" t="s">
        <v>121</v>
      </c>
      <c r="G155" s="17" t="s">
        <v>4801</v>
      </c>
      <c r="H155" s="17" t="s">
        <v>4800</v>
      </c>
    </row>
    <row r="156" customFormat="false" ht="15" hidden="false" customHeight="false" outlineLevel="0" collapsed="false">
      <c r="A156" s="17" t="s">
        <v>4768</v>
      </c>
      <c r="B156" s="17" t="s">
        <v>1491</v>
      </c>
      <c r="C156" s="17" t="s">
        <v>1493</v>
      </c>
      <c r="D156" s="17" t="s">
        <v>526</v>
      </c>
      <c r="E156" s="27" t="s">
        <v>4906</v>
      </c>
      <c r="F156" s="17" t="s">
        <v>114</v>
      </c>
      <c r="G156" s="17" t="s">
        <v>4812</v>
      </c>
      <c r="H156" s="17" t="s">
        <v>4800</v>
      </c>
    </row>
    <row r="157" customFormat="false" ht="15" hidden="false" customHeight="false" outlineLevel="0" collapsed="false">
      <c r="A157" s="17" t="s">
        <v>4783</v>
      </c>
      <c r="B157" s="17" t="s">
        <v>1496</v>
      </c>
      <c r="C157" s="17" t="s">
        <v>1497</v>
      </c>
      <c r="D157" s="17" t="s">
        <v>529</v>
      </c>
      <c r="E157" s="27" t="s">
        <v>4846</v>
      </c>
      <c r="F157" s="17" t="s">
        <v>109</v>
      </c>
      <c r="G157" s="17" t="s">
        <v>111</v>
      </c>
      <c r="H157" s="17" t="s">
        <v>4800</v>
      </c>
    </row>
    <row r="158" customFormat="false" ht="15" hidden="false" customHeight="false" outlineLevel="0" collapsed="false">
      <c r="A158" s="17" t="s">
        <v>4783</v>
      </c>
      <c r="B158" s="17" t="s">
        <v>1496</v>
      </c>
      <c r="C158" s="17" t="s">
        <v>1497</v>
      </c>
      <c r="D158" s="17" t="s">
        <v>529</v>
      </c>
      <c r="E158" s="27" t="s">
        <v>4846</v>
      </c>
      <c r="F158" s="17" t="s">
        <v>4798</v>
      </c>
      <c r="G158" s="17" t="s">
        <v>4799</v>
      </c>
      <c r="H158" s="17" t="s">
        <v>4800</v>
      </c>
    </row>
    <row r="159" customFormat="false" ht="15" hidden="false" customHeight="false" outlineLevel="0" collapsed="false">
      <c r="A159" s="17" t="s">
        <v>4775</v>
      </c>
      <c r="B159" s="17" t="s">
        <v>1500</v>
      </c>
      <c r="C159" s="17" t="s">
        <v>1501</v>
      </c>
      <c r="D159" s="17" t="s">
        <v>527</v>
      </c>
      <c r="E159" s="27" t="s">
        <v>4907</v>
      </c>
      <c r="F159" s="17" t="s">
        <v>117</v>
      </c>
      <c r="G159" s="17" t="s">
        <v>4804</v>
      </c>
      <c r="H159" s="17" t="s">
        <v>4800</v>
      </c>
    </row>
    <row r="160" customFormat="false" ht="15" hidden="false" customHeight="false" outlineLevel="0" collapsed="false">
      <c r="A160" s="17" t="s">
        <v>4775</v>
      </c>
      <c r="B160" s="17" t="s">
        <v>1505</v>
      </c>
      <c r="C160" s="17" t="s">
        <v>1506</v>
      </c>
      <c r="D160" s="17" t="s">
        <v>529</v>
      </c>
      <c r="E160" s="27" t="s">
        <v>4908</v>
      </c>
      <c r="F160" s="17" t="s">
        <v>4798</v>
      </c>
      <c r="G160" s="17" t="s">
        <v>4799</v>
      </c>
      <c r="H160" s="17" t="s">
        <v>4807</v>
      </c>
    </row>
    <row r="161" customFormat="false" ht="15" hidden="false" customHeight="false" outlineLevel="0" collapsed="false">
      <c r="A161" s="17" t="s">
        <v>4765</v>
      </c>
      <c r="B161" s="17" t="s">
        <v>1511</v>
      </c>
      <c r="C161" s="17" t="s">
        <v>1513</v>
      </c>
      <c r="D161" s="17" t="s">
        <v>531</v>
      </c>
      <c r="E161" s="27" t="s">
        <v>4909</v>
      </c>
      <c r="F161" s="17" t="s">
        <v>125</v>
      </c>
      <c r="G161" s="17" t="s">
        <v>127</v>
      </c>
      <c r="H161" s="17" t="s">
        <v>4807</v>
      </c>
    </row>
    <row r="162" customFormat="false" ht="15" hidden="false" customHeight="false" outlineLevel="0" collapsed="false">
      <c r="A162" s="17" t="s">
        <v>4760</v>
      </c>
      <c r="B162" s="17" t="s">
        <v>1516</v>
      </c>
      <c r="C162" s="17" t="s">
        <v>1517</v>
      </c>
      <c r="D162" s="17" t="s">
        <v>531</v>
      </c>
      <c r="E162" s="27" t="s">
        <v>4910</v>
      </c>
      <c r="F162" s="17" t="s">
        <v>125</v>
      </c>
      <c r="G162" s="17" t="s">
        <v>127</v>
      </c>
      <c r="H162" s="17" t="s">
        <v>4800</v>
      </c>
    </row>
    <row r="163" customFormat="false" ht="15" hidden="false" customHeight="false" outlineLevel="0" collapsed="false">
      <c r="A163" s="17" t="s">
        <v>4776</v>
      </c>
      <c r="B163" s="17" t="s">
        <v>1528</v>
      </c>
      <c r="C163" s="17" t="s">
        <v>1529</v>
      </c>
      <c r="D163" s="17" t="s">
        <v>527</v>
      </c>
      <c r="E163" s="27" t="s">
        <v>4911</v>
      </c>
      <c r="F163" s="17" t="s">
        <v>121</v>
      </c>
      <c r="G163" s="17" t="s">
        <v>4801</v>
      </c>
      <c r="H163" s="17" t="s">
        <v>4807</v>
      </c>
    </row>
    <row r="164" customFormat="false" ht="15" hidden="false" customHeight="false" outlineLevel="0" collapsed="false">
      <c r="A164" s="17" t="s">
        <v>4780</v>
      </c>
      <c r="B164" s="17" t="s">
        <v>1530</v>
      </c>
      <c r="C164" s="17" t="s">
        <v>1531</v>
      </c>
      <c r="D164" s="17" t="s">
        <v>527</v>
      </c>
      <c r="E164" s="27" t="s">
        <v>4912</v>
      </c>
      <c r="F164" s="17" t="s">
        <v>4798</v>
      </c>
      <c r="G164" s="17" t="s">
        <v>4799</v>
      </c>
      <c r="H164" s="17" t="s">
        <v>4807</v>
      </c>
    </row>
    <row r="165" customFormat="false" ht="15" hidden="false" customHeight="false" outlineLevel="0" collapsed="false">
      <c r="A165" s="17" t="s">
        <v>4784</v>
      </c>
      <c r="B165" s="17" t="s">
        <v>1536</v>
      </c>
      <c r="C165" s="17" t="s">
        <v>1537</v>
      </c>
      <c r="D165" s="17" t="s">
        <v>529</v>
      </c>
      <c r="E165" s="27"/>
      <c r="F165" s="17" t="s">
        <v>109</v>
      </c>
      <c r="G165" s="17" t="s">
        <v>111</v>
      </c>
      <c r="H165" s="17" t="s">
        <v>4807</v>
      </c>
    </row>
    <row r="166" customFormat="false" ht="15" hidden="false" customHeight="false" outlineLevel="0" collapsed="false">
      <c r="A166" s="17" t="s">
        <v>4784</v>
      </c>
      <c r="B166" s="17" t="s">
        <v>1536</v>
      </c>
      <c r="C166" s="17" t="s">
        <v>1537</v>
      </c>
      <c r="D166" s="17" t="s">
        <v>529</v>
      </c>
      <c r="E166" s="27"/>
      <c r="F166" s="17" t="s">
        <v>117</v>
      </c>
      <c r="G166" s="17" t="s">
        <v>4804</v>
      </c>
      <c r="H166" s="17" t="s">
        <v>4800</v>
      </c>
    </row>
    <row r="167" customFormat="false" ht="15" hidden="false" customHeight="false" outlineLevel="0" collapsed="false">
      <c r="A167" s="17" t="s">
        <v>142</v>
      </c>
      <c r="B167" s="17" t="s">
        <v>1542</v>
      </c>
      <c r="C167" s="17" t="s">
        <v>1543</v>
      </c>
      <c r="D167" s="17" t="s">
        <v>530</v>
      </c>
      <c r="E167" s="27"/>
      <c r="F167" s="17" t="s">
        <v>109</v>
      </c>
      <c r="G167" s="17" t="s">
        <v>111</v>
      </c>
      <c r="H167" s="17" t="s">
        <v>4807</v>
      </c>
    </row>
    <row r="168" customFormat="false" ht="15" hidden="false" customHeight="false" outlineLevel="0" collapsed="false">
      <c r="A168" s="17" t="s">
        <v>142</v>
      </c>
      <c r="B168" s="17" t="s">
        <v>1542</v>
      </c>
      <c r="C168" s="17" t="s">
        <v>1543</v>
      </c>
      <c r="D168" s="17" t="s">
        <v>530</v>
      </c>
      <c r="E168" s="27"/>
      <c r="F168" s="17" t="s">
        <v>112</v>
      </c>
      <c r="G168" s="17" t="s">
        <v>113</v>
      </c>
      <c r="H168" s="17" t="s">
        <v>4800</v>
      </c>
    </row>
    <row r="169" customFormat="false" ht="15" hidden="false" customHeight="false" outlineLevel="0" collapsed="false">
      <c r="A169" s="17" t="s">
        <v>4780</v>
      </c>
      <c r="B169" s="17" t="s">
        <v>1549</v>
      </c>
      <c r="C169" s="17" t="s">
        <v>1550</v>
      </c>
      <c r="D169" s="17" t="s">
        <v>527</v>
      </c>
      <c r="E169" s="27" t="s">
        <v>4913</v>
      </c>
      <c r="F169" s="17" t="s">
        <v>4798</v>
      </c>
      <c r="G169" s="17" t="s">
        <v>4799</v>
      </c>
      <c r="H169" s="17" t="s">
        <v>4807</v>
      </c>
    </row>
    <row r="170" customFormat="false" ht="15" hidden="false" customHeight="false" outlineLevel="0" collapsed="false">
      <c r="A170" s="17" t="s">
        <v>4754</v>
      </c>
      <c r="B170" s="17" t="s">
        <v>1551</v>
      </c>
      <c r="C170" s="17" t="s">
        <v>1552</v>
      </c>
      <c r="D170" s="17" t="s">
        <v>531</v>
      </c>
      <c r="E170" s="27" t="s">
        <v>4914</v>
      </c>
      <c r="F170" s="17" t="s">
        <v>125</v>
      </c>
      <c r="G170" s="17" t="s">
        <v>127</v>
      </c>
      <c r="H170" s="17" t="s">
        <v>4800</v>
      </c>
    </row>
    <row r="171" customFormat="false" ht="15" hidden="false" customHeight="false" outlineLevel="0" collapsed="false">
      <c r="A171" s="17" t="s">
        <v>4768</v>
      </c>
      <c r="B171" s="17" t="s">
        <v>1553</v>
      </c>
      <c r="C171" s="17" t="s">
        <v>1554</v>
      </c>
      <c r="D171" s="17" t="s">
        <v>527</v>
      </c>
      <c r="E171" s="27" t="s">
        <v>4915</v>
      </c>
      <c r="F171" s="17" t="s">
        <v>114</v>
      </c>
      <c r="G171" s="17" t="s">
        <v>4812</v>
      </c>
      <c r="H171" s="17" t="s">
        <v>4800</v>
      </c>
    </row>
    <row r="172" customFormat="false" ht="15" hidden="false" customHeight="false" outlineLevel="0" collapsed="false">
      <c r="A172" s="17" t="s">
        <v>4768</v>
      </c>
      <c r="B172" s="17" t="s">
        <v>1553</v>
      </c>
      <c r="C172" s="17" t="s">
        <v>1554</v>
      </c>
      <c r="D172" s="17" t="s">
        <v>527</v>
      </c>
      <c r="E172" s="27" t="s">
        <v>4915</v>
      </c>
      <c r="F172" s="17" t="s">
        <v>4798</v>
      </c>
      <c r="G172" s="17" t="s">
        <v>4799</v>
      </c>
      <c r="H172" s="17" t="s">
        <v>4800</v>
      </c>
    </row>
    <row r="173" customFormat="false" ht="15" hidden="false" customHeight="false" outlineLevel="0" collapsed="false">
      <c r="A173" s="17" t="s">
        <v>4777</v>
      </c>
      <c r="B173" s="17" t="s">
        <v>1562</v>
      </c>
      <c r="C173" s="17" t="s">
        <v>1563</v>
      </c>
      <c r="D173" s="17" t="s">
        <v>531</v>
      </c>
      <c r="E173" s="27" t="s">
        <v>4916</v>
      </c>
      <c r="F173" s="17" t="s">
        <v>125</v>
      </c>
      <c r="G173" s="17" t="s">
        <v>127</v>
      </c>
      <c r="H173" s="17" t="s">
        <v>4800</v>
      </c>
    </row>
    <row r="174" customFormat="false" ht="15" hidden="false" customHeight="false" outlineLevel="0" collapsed="false">
      <c r="A174" s="17" t="s">
        <v>4761</v>
      </c>
      <c r="B174" s="17" t="s">
        <v>1564</v>
      </c>
      <c r="C174" s="17" t="s">
        <v>1565</v>
      </c>
      <c r="D174" s="17" t="s">
        <v>527</v>
      </c>
      <c r="E174" s="27" t="s">
        <v>4917</v>
      </c>
      <c r="F174" s="17" t="s">
        <v>4798</v>
      </c>
      <c r="G174" s="17" t="s">
        <v>4799</v>
      </c>
      <c r="H174" s="17" t="s">
        <v>4807</v>
      </c>
    </row>
    <row r="175" customFormat="false" ht="15" hidden="false" customHeight="false" outlineLevel="0" collapsed="false">
      <c r="A175" s="17" t="s">
        <v>4754</v>
      </c>
      <c r="B175" s="17" t="s">
        <v>1566</v>
      </c>
      <c r="C175" s="17" t="s">
        <v>1567</v>
      </c>
      <c r="D175" s="17" t="s">
        <v>529</v>
      </c>
      <c r="E175" s="27" t="s">
        <v>4846</v>
      </c>
      <c r="F175" s="17" t="s">
        <v>109</v>
      </c>
      <c r="G175" s="17" t="s">
        <v>111</v>
      </c>
      <c r="H175" s="17" t="s">
        <v>4800</v>
      </c>
    </row>
    <row r="176" customFormat="false" ht="15" hidden="false" customHeight="false" outlineLevel="0" collapsed="false">
      <c r="A176" s="17" t="s">
        <v>4754</v>
      </c>
      <c r="B176" s="17" t="s">
        <v>1566</v>
      </c>
      <c r="C176" s="17" t="s">
        <v>1567</v>
      </c>
      <c r="D176" s="17" t="s">
        <v>529</v>
      </c>
      <c r="E176" s="27" t="s">
        <v>4846</v>
      </c>
      <c r="F176" s="17" t="s">
        <v>117</v>
      </c>
      <c r="G176" s="17" t="s">
        <v>4804</v>
      </c>
      <c r="H176" s="17" t="s">
        <v>4800</v>
      </c>
    </row>
    <row r="177" customFormat="false" ht="15" hidden="false" customHeight="false" outlineLevel="0" collapsed="false">
      <c r="A177" s="17" t="s">
        <v>4754</v>
      </c>
      <c r="B177" s="17" t="s">
        <v>1566</v>
      </c>
      <c r="C177" s="17" t="s">
        <v>1567</v>
      </c>
      <c r="D177" s="17" t="s">
        <v>529</v>
      </c>
      <c r="E177" s="27" t="s">
        <v>4846</v>
      </c>
      <c r="F177" s="17" t="s">
        <v>4798</v>
      </c>
      <c r="G177" s="17" t="s">
        <v>4799</v>
      </c>
      <c r="H177" s="17" t="s">
        <v>4800</v>
      </c>
    </row>
    <row r="178" customFormat="false" ht="15" hidden="false" customHeight="false" outlineLevel="0" collapsed="false">
      <c r="A178" s="17" t="s">
        <v>4754</v>
      </c>
      <c r="B178" s="17" t="s">
        <v>1566</v>
      </c>
      <c r="C178" s="17" t="s">
        <v>1567</v>
      </c>
      <c r="D178" s="17" t="s">
        <v>529</v>
      </c>
      <c r="E178" s="27" t="s">
        <v>4846</v>
      </c>
      <c r="F178" s="17" t="s">
        <v>121</v>
      </c>
      <c r="G178" s="17" t="s">
        <v>4801</v>
      </c>
      <c r="H178" s="17" t="s">
        <v>4800</v>
      </c>
    </row>
    <row r="179" customFormat="false" ht="15" hidden="false" customHeight="false" outlineLevel="0" collapsed="false">
      <c r="A179" s="17" t="s">
        <v>4762</v>
      </c>
      <c r="B179" s="17" t="s">
        <v>1568</v>
      </c>
      <c r="C179" s="17" t="s">
        <v>1569</v>
      </c>
      <c r="D179" s="17" t="s">
        <v>531</v>
      </c>
      <c r="E179" s="27"/>
      <c r="F179" s="17" t="s">
        <v>109</v>
      </c>
      <c r="G179" s="17" t="s">
        <v>111</v>
      </c>
      <c r="H179" s="17" t="s">
        <v>4800</v>
      </c>
    </row>
    <row r="180" customFormat="false" ht="15" hidden="false" customHeight="false" outlineLevel="0" collapsed="false">
      <c r="A180" s="17" t="s">
        <v>4761</v>
      </c>
      <c r="B180" s="17" t="s">
        <v>1577</v>
      </c>
      <c r="C180" s="17" t="s">
        <v>1578</v>
      </c>
      <c r="D180" s="17" t="s">
        <v>526</v>
      </c>
      <c r="E180" s="27"/>
      <c r="F180" s="17" t="s">
        <v>109</v>
      </c>
      <c r="G180" s="17" t="s">
        <v>111</v>
      </c>
      <c r="H180" s="17" t="s">
        <v>4807</v>
      </c>
    </row>
    <row r="181" customFormat="false" ht="15" hidden="false" customHeight="false" outlineLevel="0" collapsed="false">
      <c r="A181" s="17" t="s">
        <v>4761</v>
      </c>
      <c r="B181" s="17" t="s">
        <v>1577</v>
      </c>
      <c r="C181" s="17" t="s">
        <v>1578</v>
      </c>
      <c r="D181" s="17" t="s">
        <v>526</v>
      </c>
      <c r="E181" s="27"/>
      <c r="F181" s="17" t="s">
        <v>4798</v>
      </c>
      <c r="G181" s="17" t="s">
        <v>4799</v>
      </c>
      <c r="H181" s="17" t="s">
        <v>4807</v>
      </c>
    </row>
    <row r="182" customFormat="false" ht="15" hidden="false" customHeight="false" outlineLevel="0" collapsed="false">
      <c r="A182" s="17" t="s">
        <v>4765</v>
      </c>
      <c r="B182" s="17" t="s">
        <v>1587</v>
      </c>
      <c r="C182" s="17" t="s">
        <v>1588</v>
      </c>
      <c r="D182" s="17" t="s">
        <v>526</v>
      </c>
      <c r="E182" s="27" t="s">
        <v>4918</v>
      </c>
      <c r="F182" s="17" t="s">
        <v>4798</v>
      </c>
      <c r="G182" s="17" t="s">
        <v>4799</v>
      </c>
      <c r="H182" s="17" t="s">
        <v>4807</v>
      </c>
    </row>
    <row r="183" customFormat="false" ht="15" hidden="false" customHeight="false" outlineLevel="0" collapsed="false">
      <c r="A183" s="17" t="s">
        <v>4765</v>
      </c>
      <c r="B183" s="17" t="s">
        <v>1587</v>
      </c>
      <c r="C183" s="17" t="s">
        <v>1588</v>
      </c>
      <c r="D183" s="17" t="s">
        <v>526</v>
      </c>
      <c r="E183" s="27" t="s">
        <v>4918</v>
      </c>
      <c r="F183" s="17" t="s">
        <v>121</v>
      </c>
      <c r="G183" s="17" t="s">
        <v>4801</v>
      </c>
      <c r="H183" s="17" t="s">
        <v>4807</v>
      </c>
    </row>
    <row r="184" customFormat="false" ht="15" hidden="false" customHeight="false" outlineLevel="0" collapsed="false">
      <c r="A184" s="17" t="s">
        <v>4765</v>
      </c>
      <c r="B184" s="17" t="s">
        <v>1587</v>
      </c>
      <c r="C184" s="17" t="s">
        <v>1588</v>
      </c>
      <c r="D184" s="17" t="s">
        <v>526</v>
      </c>
      <c r="E184" s="27" t="s">
        <v>4918</v>
      </c>
      <c r="F184" s="17" t="s">
        <v>123</v>
      </c>
      <c r="G184" s="17" t="s">
        <v>124</v>
      </c>
      <c r="H184" s="17" t="s">
        <v>4807</v>
      </c>
    </row>
    <row r="185" customFormat="false" ht="15" hidden="false" customHeight="false" outlineLevel="0" collapsed="false">
      <c r="A185" s="17" t="s">
        <v>4768</v>
      </c>
      <c r="B185" s="17" t="s">
        <v>1591</v>
      </c>
      <c r="C185" s="17" t="s">
        <v>1592</v>
      </c>
      <c r="D185" s="17" t="s">
        <v>526</v>
      </c>
      <c r="E185" s="27" t="s">
        <v>4919</v>
      </c>
      <c r="F185" s="17" t="s">
        <v>114</v>
      </c>
      <c r="G185" s="17" t="s">
        <v>4812</v>
      </c>
      <c r="H185" s="17" t="s">
        <v>4800</v>
      </c>
    </row>
    <row r="186" customFormat="false" ht="15" hidden="false" customHeight="false" outlineLevel="0" collapsed="false">
      <c r="A186" s="17" t="s">
        <v>4768</v>
      </c>
      <c r="B186" s="17" t="s">
        <v>1591</v>
      </c>
      <c r="C186" s="17" t="s">
        <v>1592</v>
      </c>
      <c r="D186" s="17" t="s">
        <v>526</v>
      </c>
      <c r="E186" s="27" t="s">
        <v>4919</v>
      </c>
      <c r="F186" s="17" t="s">
        <v>4798</v>
      </c>
      <c r="G186" s="17" t="s">
        <v>4799</v>
      </c>
      <c r="H186" s="17" t="s">
        <v>4807</v>
      </c>
    </row>
    <row r="187" customFormat="false" ht="15" hidden="false" customHeight="false" outlineLevel="0" collapsed="false">
      <c r="A187" s="17" t="s">
        <v>4768</v>
      </c>
      <c r="B187" s="17" t="s">
        <v>1591</v>
      </c>
      <c r="C187" s="17" t="s">
        <v>1592</v>
      </c>
      <c r="D187" s="17" t="s">
        <v>526</v>
      </c>
      <c r="E187" s="27" t="s">
        <v>4919</v>
      </c>
      <c r="F187" s="17" t="s">
        <v>123</v>
      </c>
      <c r="G187" s="17" t="s">
        <v>124</v>
      </c>
      <c r="H187" s="17" t="s">
        <v>4807</v>
      </c>
    </row>
    <row r="188" customFormat="false" ht="15" hidden="false" customHeight="false" outlineLevel="0" collapsed="false">
      <c r="A188" s="17" t="s">
        <v>4785</v>
      </c>
      <c r="B188" s="17" t="s">
        <v>1593</v>
      </c>
      <c r="C188" s="17" t="s">
        <v>1594</v>
      </c>
      <c r="D188" s="17" t="s">
        <v>526</v>
      </c>
      <c r="E188" s="27" t="s">
        <v>4846</v>
      </c>
      <c r="F188" s="17" t="s">
        <v>109</v>
      </c>
      <c r="G188" s="17" t="s">
        <v>111</v>
      </c>
      <c r="H188" s="17" t="s">
        <v>4807</v>
      </c>
    </row>
    <row r="189" customFormat="false" ht="15" hidden="false" customHeight="false" outlineLevel="0" collapsed="false">
      <c r="A189" s="17" t="s">
        <v>4784</v>
      </c>
      <c r="B189" s="17" t="s">
        <v>1597</v>
      </c>
      <c r="C189" s="17" t="s">
        <v>1598</v>
      </c>
      <c r="D189" s="17" t="s">
        <v>526</v>
      </c>
      <c r="E189" s="27" t="s">
        <v>4920</v>
      </c>
      <c r="F189" s="17" t="s">
        <v>4798</v>
      </c>
      <c r="G189" s="17" t="s">
        <v>4799</v>
      </c>
      <c r="H189" s="17" t="s">
        <v>4807</v>
      </c>
    </row>
    <row r="190" customFormat="false" ht="15" hidden="false" customHeight="false" outlineLevel="0" collapsed="false">
      <c r="A190" s="17" t="s">
        <v>4768</v>
      </c>
      <c r="B190" s="17" t="s">
        <v>1603</v>
      </c>
      <c r="C190" s="17" t="s">
        <v>1604</v>
      </c>
      <c r="D190" s="17" t="s">
        <v>526</v>
      </c>
      <c r="E190" s="27" t="s">
        <v>4921</v>
      </c>
      <c r="F190" s="17" t="s">
        <v>114</v>
      </c>
      <c r="G190" s="17" t="s">
        <v>4812</v>
      </c>
      <c r="H190" s="17" t="s">
        <v>4800</v>
      </c>
    </row>
    <row r="191" customFormat="false" ht="15" hidden="false" customHeight="false" outlineLevel="0" collapsed="false">
      <c r="A191" s="17" t="s">
        <v>142</v>
      </c>
      <c r="B191" s="17" t="s">
        <v>1609</v>
      </c>
      <c r="C191" s="17" t="s">
        <v>1610</v>
      </c>
      <c r="D191" s="17" t="s">
        <v>531</v>
      </c>
      <c r="E191" s="27" t="s">
        <v>4922</v>
      </c>
      <c r="F191" s="17" t="s">
        <v>112</v>
      </c>
      <c r="G191" s="17" t="s">
        <v>113</v>
      </c>
      <c r="H191" s="17" t="s">
        <v>4800</v>
      </c>
    </row>
    <row r="192" customFormat="false" ht="15" hidden="false" customHeight="false" outlineLevel="0" collapsed="false">
      <c r="A192" s="17" t="s">
        <v>4783</v>
      </c>
      <c r="B192" s="17" t="s">
        <v>1614</v>
      </c>
      <c r="C192" s="17" t="s">
        <v>1615</v>
      </c>
      <c r="D192" s="17" t="s">
        <v>531</v>
      </c>
      <c r="E192" s="27" t="s">
        <v>4923</v>
      </c>
      <c r="F192" s="17" t="s">
        <v>125</v>
      </c>
      <c r="G192" s="17" t="s">
        <v>127</v>
      </c>
      <c r="H192" s="17" t="s">
        <v>4800</v>
      </c>
    </row>
    <row r="193" customFormat="false" ht="15" hidden="false" customHeight="false" outlineLevel="0" collapsed="false">
      <c r="A193" s="17" t="s">
        <v>4762</v>
      </c>
      <c r="B193" s="17" t="s">
        <v>1631</v>
      </c>
      <c r="C193" s="17" t="s">
        <v>1632</v>
      </c>
      <c r="D193" s="17" t="s">
        <v>528</v>
      </c>
      <c r="E193" s="27" t="s">
        <v>4924</v>
      </c>
      <c r="F193" s="17" t="s">
        <v>4798</v>
      </c>
      <c r="G193" s="17" t="s">
        <v>4799</v>
      </c>
      <c r="H193" s="17" t="s">
        <v>4800</v>
      </c>
    </row>
    <row r="194" customFormat="false" ht="15" hidden="false" customHeight="false" outlineLevel="0" collapsed="false">
      <c r="A194" s="17" t="s">
        <v>4768</v>
      </c>
      <c r="B194" s="17" t="s">
        <v>1635</v>
      </c>
      <c r="C194" s="17" t="s">
        <v>1636</v>
      </c>
      <c r="D194" s="17" t="s">
        <v>529</v>
      </c>
      <c r="E194" s="27" t="s">
        <v>4925</v>
      </c>
      <c r="F194" s="17" t="s">
        <v>114</v>
      </c>
      <c r="G194" s="17" t="s">
        <v>4812</v>
      </c>
      <c r="H194" s="17" t="s">
        <v>4800</v>
      </c>
    </row>
    <row r="195" customFormat="false" ht="15" hidden="false" customHeight="false" outlineLevel="0" collapsed="false">
      <c r="A195" s="17" t="s">
        <v>4780</v>
      </c>
      <c r="B195" s="17" t="s">
        <v>1638</v>
      </c>
      <c r="C195" s="17" t="s">
        <v>1639</v>
      </c>
      <c r="D195" s="17" t="s">
        <v>528</v>
      </c>
      <c r="E195" s="27" t="s">
        <v>4926</v>
      </c>
      <c r="F195" s="17" t="s">
        <v>4798</v>
      </c>
      <c r="G195" s="17" t="s">
        <v>4799</v>
      </c>
      <c r="H195" s="17" t="s">
        <v>4807</v>
      </c>
    </row>
    <row r="196" customFormat="false" ht="15" hidden="false" customHeight="false" outlineLevel="0" collapsed="false">
      <c r="A196" s="17" t="s">
        <v>4770</v>
      </c>
      <c r="B196" s="17" t="s">
        <v>1649</v>
      </c>
      <c r="C196" s="17" t="s">
        <v>1650</v>
      </c>
      <c r="D196" s="17" t="s">
        <v>531</v>
      </c>
      <c r="E196" s="27" t="s">
        <v>4846</v>
      </c>
      <c r="F196" s="17" t="s">
        <v>109</v>
      </c>
      <c r="G196" s="17" t="s">
        <v>111</v>
      </c>
      <c r="H196" s="17" t="s">
        <v>4807</v>
      </c>
    </row>
    <row r="197" customFormat="false" ht="15" hidden="false" customHeight="false" outlineLevel="0" collapsed="false">
      <c r="A197" s="17" t="s">
        <v>4777</v>
      </c>
      <c r="B197" s="17" t="s">
        <v>1651</v>
      </c>
      <c r="C197" s="17" t="s">
        <v>1048</v>
      </c>
      <c r="D197" s="17" t="s">
        <v>529</v>
      </c>
      <c r="E197" s="27" t="s">
        <v>4927</v>
      </c>
      <c r="F197" s="17" t="s">
        <v>4798</v>
      </c>
      <c r="G197" s="17" t="s">
        <v>4799</v>
      </c>
      <c r="H197" s="17" t="s">
        <v>4807</v>
      </c>
    </row>
    <row r="198" customFormat="false" ht="15" hidden="false" customHeight="false" outlineLevel="0" collapsed="false">
      <c r="A198" s="17" t="s">
        <v>4778</v>
      </c>
      <c r="B198" s="17" t="s">
        <v>1663</v>
      </c>
      <c r="C198" s="17" t="s">
        <v>1665</v>
      </c>
      <c r="D198" s="17" t="s">
        <v>531</v>
      </c>
      <c r="E198" s="27" t="s">
        <v>4928</v>
      </c>
      <c r="F198" s="17" t="s">
        <v>125</v>
      </c>
      <c r="G198" s="17" t="s">
        <v>127</v>
      </c>
      <c r="H198" s="17" t="s">
        <v>4807</v>
      </c>
    </row>
    <row r="199" customFormat="false" ht="15" hidden="false" customHeight="false" outlineLevel="0" collapsed="false">
      <c r="A199" s="17" t="s">
        <v>4780</v>
      </c>
      <c r="B199" s="17" t="s">
        <v>1671</v>
      </c>
      <c r="C199" s="17" t="s">
        <v>1672</v>
      </c>
      <c r="D199" s="17" t="s">
        <v>531</v>
      </c>
      <c r="E199" s="27" t="s">
        <v>4929</v>
      </c>
      <c r="F199" s="17" t="s">
        <v>125</v>
      </c>
      <c r="G199" s="17" t="s">
        <v>127</v>
      </c>
      <c r="H199" s="17" t="s">
        <v>4807</v>
      </c>
    </row>
    <row r="200" customFormat="false" ht="15" hidden="false" customHeight="false" outlineLevel="0" collapsed="false">
      <c r="A200" s="17" t="s">
        <v>4754</v>
      </c>
      <c r="B200" s="17" t="s">
        <v>1677</v>
      </c>
      <c r="C200" s="17" t="s">
        <v>1679</v>
      </c>
      <c r="D200" s="17" t="s">
        <v>526</v>
      </c>
      <c r="E200" s="27" t="s">
        <v>4930</v>
      </c>
      <c r="F200" s="17" t="s">
        <v>117</v>
      </c>
      <c r="G200" s="17" t="s">
        <v>4804</v>
      </c>
      <c r="H200" s="17" t="s">
        <v>4800</v>
      </c>
    </row>
    <row r="201" customFormat="false" ht="15" hidden="false" customHeight="false" outlineLevel="0" collapsed="false">
      <c r="A201" s="17" t="s">
        <v>4760</v>
      </c>
      <c r="B201" s="17" t="s">
        <v>1683</v>
      </c>
      <c r="C201" s="17" t="s">
        <v>1684</v>
      </c>
      <c r="D201" s="17" t="s">
        <v>527</v>
      </c>
      <c r="E201" s="27" t="s">
        <v>4931</v>
      </c>
      <c r="F201" s="17" t="s">
        <v>123</v>
      </c>
      <c r="G201" s="17" t="s">
        <v>124</v>
      </c>
      <c r="H201" s="17" t="s">
        <v>4800</v>
      </c>
    </row>
    <row r="202" customFormat="false" ht="15" hidden="false" customHeight="false" outlineLevel="0" collapsed="false">
      <c r="A202" s="17" t="s">
        <v>4768</v>
      </c>
      <c r="B202" s="17" t="s">
        <v>1688</v>
      </c>
      <c r="C202" s="17" t="s">
        <v>1690</v>
      </c>
      <c r="D202" s="17" t="s">
        <v>531</v>
      </c>
      <c r="E202" s="27"/>
      <c r="F202" s="17" t="s">
        <v>109</v>
      </c>
      <c r="G202" s="17" t="s">
        <v>111</v>
      </c>
      <c r="H202" s="17" t="s">
        <v>4807</v>
      </c>
    </row>
    <row r="203" customFormat="false" ht="15" hidden="false" customHeight="false" outlineLevel="0" collapsed="false">
      <c r="A203" s="17" t="s">
        <v>4766</v>
      </c>
      <c r="B203" s="17" t="s">
        <v>1691</v>
      </c>
      <c r="C203" s="17" t="s">
        <v>1693</v>
      </c>
      <c r="D203" s="17" t="s">
        <v>527</v>
      </c>
      <c r="E203" s="27"/>
      <c r="F203" s="17" t="s">
        <v>109</v>
      </c>
      <c r="G203" s="17" t="s">
        <v>111</v>
      </c>
      <c r="H203" s="17" t="s">
        <v>4807</v>
      </c>
    </row>
    <row r="204" customFormat="false" ht="15" hidden="false" customHeight="false" outlineLevel="0" collapsed="false">
      <c r="A204" s="17" t="s">
        <v>4766</v>
      </c>
      <c r="B204" s="17" t="s">
        <v>1691</v>
      </c>
      <c r="C204" s="17" t="s">
        <v>1693</v>
      </c>
      <c r="D204" s="17" t="s">
        <v>527</v>
      </c>
      <c r="E204" s="27"/>
      <c r="F204" s="17" t="s">
        <v>4798</v>
      </c>
      <c r="G204" s="17" t="s">
        <v>4799</v>
      </c>
      <c r="H204" s="17" t="s">
        <v>4807</v>
      </c>
    </row>
    <row r="205" customFormat="false" ht="15" hidden="false" customHeight="false" outlineLevel="0" collapsed="false">
      <c r="A205" s="17" t="s">
        <v>4763</v>
      </c>
      <c r="B205" s="17" t="s">
        <v>1696</v>
      </c>
      <c r="C205" s="17" t="s">
        <v>1698</v>
      </c>
      <c r="D205" s="17" t="s">
        <v>531</v>
      </c>
      <c r="E205" s="27" t="s">
        <v>4932</v>
      </c>
      <c r="F205" s="17" t="s">
        <v>125</v>
      </c>
      <c r="G205" s="17" t="s">
        <v>127</v>
      </c>
      <c r="H205" s="17" t="s">
        <v>4807</v>
      </c>
    </row>
    <row r="206" customFormat="false" ht="15" hidden="false" customHeight="false" outlineLevel="0" collapsed="false">
      <c r="A206" s="17" t="s">
        <v>4780</v>
      </c>
      <c r="B206" s="17" t="s">
        <v>1701</v>
      </c>
      <c r="C206" s="17" t="s">
        <v>1702</v>
      </c>
      <c r="D206" s="17" t="s">
        <v>529</v>
      </c>
      <c r="E206" s="27" t="s">
        <v>4933</v>
      </c>
      <c r="F206" s="17" t="s">
        <v>4798</v>
      </c>
      <c r="G206" s="17" t="s">
        <v>4799</v>
      </c>
      <c r="H206" s="17" t="s">
        <v>4807</v>
      </c>
    </row>
    <row r="207" customFormat="false" ht="15" hidden="false" customHeight="false" outlineLevel="0" collapsed="false">
      <c r="A207" s="17" t="s">
        <v>142</v>
      </c>
      <c r="B207" s="17" t="s">
        <v>1710</v>
      </c>
      <c r="C207" s="17" t="s">
        <v>1711</v>
      </c>
      <c r="D207" s="17" t="s">
        <v>530</v>
      </c>
      <c r="E207" s="27" t="s">
        <v>4934</v>
      </c>
      <c r="F207" s="17" t="s">
        <v>112</v>
      </c>
      <c r="G207" s="17" t="s">
        <v>113</v>
      </c>
      <c r="H207" s="17" t="s">
        <v>4800</v>
      </c>
    </row>
    <row r="208" customFormat="false" ht="15" hidden="false" customHeight="false" outlineLevel="0" collapsed="false">
      <c r="A208" s="17" t="s">
        <v>4782</v>
      </c>
      <c r="B208" s="17" t="s">
        <v>1712</v>
      </c>
      <c r="C208" s="17" t="s">
        <v>1713</v>
      </c>
      <c r="D208" s="17" t="s">
        <v>529</v>
      </c>
      <c r="E208" s="27" t="s">
        <v>4935</v>
      </c>
      <c r="F208" s="17" t="s">
        <v>114</v>
      </c>
      <c r="G208" s="17" t="s">
        <v>4812</v>
      </c>
      <c r="H208" s="17" t="s">
        <v>4800</v>
      </c>
    </row>
    <row r="209" customFormat="false" ht="15" hidden="false" customHeight="false" outlineLevel="0" collapsed="false">
      <c r="A209" s="17" t="s">
        <v>4766</v>
      </c>
      <c r="B209" s="17" t="s">
        <v>1725</v>
      </c>
      <c r="C209" s="17" t="s">
        <v>1726</v>
      </c>
      <c r="D209" s="17" t="s">
        <v>527</v>
      </c>
      <c r="E209" s="27" t="s">
        <v>4936</v>
      </c>
      <c r="F209" s="17" t="s">
        <v>121</v>
      </c>
      <c r="G209" s="17" t="s">
        <v>4801</v>
      </c>
      <c r="H209" s="17" t="s">
        <v>4807</v>
      </c>
    </row>
    <row r="210" customFormat="false" ht="15" hidden="false" customHeight="false" outlineLevel="0" collapsed="false">
      <c r="A210" s="17" t="s">
        <v>4766</v>
      </c>
      <c r="B210" s="17" t="s">
        <v>1731</v>
      </c>
      <c r="C210" s="17" t="s">
        <v>1732</v>
      </c>
      <c r="D210" s="17" t="s">
        <v>531</v>
      </c>
      <c r="E210" s="27" t="s">
        <v>4937</v>
      </c>
      <c r="F210" s="17" t="s">
        <v>125</v>
      </c>
      <c r="G210" s="17" t="s">
        <v>127</v>
      </c>
      <c r="H210" s="17" t="s">
        <v>4807</v>
      </c>
    </row>
    <row r="211" customFormat="false" ht="15" hidden="false" customHeight="false" outlineLevel="0" collapsed="false">
      <c r="A211" s="17" t="s">
        <v>4762</v>
      </c>
      <c r="B211" s="17" t="s">
        <v>1749</v>
      </c>
      <c r="C211" s="17" t="s">
        <v>1750</v>
      </c>
      <c r="D211" s="17" t="s">
        <v>526</v>
      </c>
      <c r="E211" s="27" t="s">
        <v>4938</v>
      </c>
      <c r="F211" s="17" t="s">
        <v>117</v>
      </c>
      <c r="G211" s="17" t="s">
        <v>4804</v>
      </c>
      <c r="H211" s="17" t="s">
        <v>4800</v>
      </c>
    </row>
    <row r="212" customFormat="false" ht="15" hidden="false" customHeight="false" outlineLevel="0" collapsed="false">
      <c r="A212" s="17" t="s">
        <v>4757</v>
      </c>
      <c r="B212" s="17" t="s">
        <v>1752</v>
      </c>
      <c r="C212" s="17" t="s">
        <v>1753</v>
      </c>
      <c r="D212" s="17" t="s">
        <v>531</v>
      </c>
      <c r="E212" s="27" t="s">
        <v>4939</v>
      </c>
      <c r="F212" s="17" t="s">
        <v>125</v>
      </c>
      <c r="G212" s="17" t="s">
        <v>127</v>
      </c>
      <c r="H212" s="17" t="s">
        <v>4800</v>
      </c>
    </row>
    <row r="213" customFormat="false" ht="15" hidden="false" customHeight="false" outlineLevel="0" collapsed="false">
      <c r="A213" s="17" t="s">
        <v>4780</v>
      </c>
      <c r="B213" s="17" t="s">
        <v>1754</v>
      </c>
      <c r="C213" s="17" t="s">
        <v>1756</v>
      </c>
      <c r="D213" s="17" t="s">
        <v>529</v>
      </c>
      <c r="E213" s="27" t="s">
        <v>4940</v>
      </c>
      <c r="F213" s="17" t="s">
        <v>4798</v>
      </c>
      <c r="G213" s="17" t="s">
        <v>4799</v>
      </c>
      <c r="H213" s="17" t="s">
        <v>4807</v>
      </c>
    </row>
    <row r="214" customFormat="false" ht="15" hidden="false" customHeight="false" outlineLevel="0" collapsed="false">
      <c r="A214" s="17" t="s">
        <v>4765</v>
      </c>
      <c r="B214" s="17" t="s">
        <v>1757</v>
      </c>
      <c r="C214" s="17" t="s">
        <v>1758</v>
      </c>
      <c r="D214" s="17" t="s">
        <v>531</v>
      </c>
      <c r="E214" s="27" t="s">
        <v>4941</v>
      </c>
      <c r="F214" s="17" t="s">
        <v>125</v>
      </c>
      <c r="G214" s="17" t="s">
        <v>127</v>
      </c>
      <c r="H214" s="17" t="s">
        <v>4807</v>
      </c>
    </row>
    <row r="215" customFormat="false" ht="15" hidden="false" customHeight="false" outlineLevel="0" collapsed="false">
      <c r="A215" s="17" t="s">
        <v>4762</v>
      </c>
      <c r="B215" s="17" t="s">
        <v>1767</v>
      </c>
      <c r="C215" s="17" t="s">
        <v>1768</v>
      </c>
      <c r="D215" s="17" t="s">
        <v>531</v>
      </c>
      <c r="E215" s="27" t="s">
        <v>4942</v>
      </c>
      <c r="F215" s="17" t="s">
        <v>125</v>
      </c>
      <c r="G215" s="17" t="s">
        <v>127</v>
      </c>
      <c r="H215" s="17" t="s">
        <v>4807</v>
      </c>
    </row>
    <row r="216" customFormat="false" ht="15" hidden="false" customHeight="false" outlineLevel="0" collapsed="false">
      <c r="A216" s="17" t="s">
        <v>4760</v>
      </c>
      <c r="B216" s="17" t="s">
        <v>1771</v>
      </c>
      <c r="C216" s="17" t="s">
        <v>1772</v>
      </c>
      <c r="D216" s="17" t="s">
        <v>527</v>
      </c>
      <c r="E216" s="27" t="s">
        <v>4943</v>
      </c>
      <c r="F216" s="17" t="s">
        <v>4798</v>
      </c>
      <c r="G216" s="17" t="s">
        <v>4799</v>
      </c>
      <c r="H216" s="17" t="s">
        <v>4800</v>
      </c>
    </row>
    <row r="217" customFormat="false" ht="15" hidden="false" customHeight="false" outlineLevel="0" collapsed="false">
      <c r="A217" s="17" t="s">
        <v>4768</v>
      </c>
      <c r="B217" s="17" t="s">
        <v>1778</v>
      </c>
      <c r="C217" s="17" t="s">
        <v>1779</v>
      </c>
      <c r="D217" s="17" t="s">
        <v>529</v>
      </c>
      <c r="E217" s="27" t="s">
        <v>4944</v>
      </c>
      <c r="F217" s="17" t="s">
        <v>114</v>
      </c>
      <c r="G217" s="17" t="s">
        <v>4812</v>
      </c>
      <c r="H217" s="17" t="s">
        <v>4800</v>
      </c>
    </row>
    <row r="218" customFormat="false" ht="15" hidden="false" customHeight="false" outlineLevel="0" collapsed="false">
      <c r="A218" s="17" t="s">
        <v>4768</v>
      </c>
      <c r="B218" s="17" t="s">
        <v>1778</v>
      </c>
      <c r="C218" s="17" t="s">
        <v>1779</v>
      </c>
      <c r="D218" s="17" t="s">
        <v>529</v>
      </c>
      <c r="E218" s="27" t="s">
        <v>4944</v>
      </c>
      <c r="F218" s="17" t="s">
        <v>4798</v>
      </c>
      <c r="G218" s="17" t="s">
        <v>4799</v>
      </c>
      <c r="H218" s="17" t="s">
        <v>4807</v>
      </c>
    </row>
    <row r="219" customFormat="false" ht="15" hidden="false" customHeight="false" outlineLevel="0" collapsed="false">
      <c r="A219" s="17" t="s">
        <v>142</v>
      </c>
      <c r="B219" s="17" t="s">
        <v>1782</v>
      </c>
      <c r="C219" s="17" t="s">
        <v>1783</v>
      </c>
      <c r="D219" s="17" t="s">
        <v>529</v>
      </c>
      <c r="E219" s="27" t="s">
        <v>4945</v>
      </c>
      <c r="F219" s="17" t="s">
        <v>112</v>
      </c>
      <c r="G219" s="17" t="s">
        <v>113</v>
      </c>
      <c r="H219" s="17" t="s">
        <v>4800</v>
      </c>
    </row>
    <row r="220" customFormat="false" ht="15" hidden="false" customHeight="false" outlineLevel="0" collapsed="false">
      <c r="A220" s="17" t="s">
        <v>142</v>
      </c>
      <c r="B220" s="17" t="s">
        <v>1782</v>
      </c>
      <c r="C220" s="17" t="s">
        <v>1783</v>
      </c>
      <c r="D220" s="17" t="s">
        <v>529</v>
      </c>
      <c r="E220" s="27" t="s">
        <v>4945</v>
      </c>
      <c r="F220" s="17" t="s">
        <v>4798</v>
      </c>
      <c r="G220" s="17" t="s">
        <v>4799</v>
      </c>
      <c r="H220" s="17" t="s">
        <v>4800</v>
      </c>
    </row>
    <row r="221" customFormat="false" ht="15" hidden="false" customHeight="false" outlineLevel="0" collapsed="false">
      <c r="A221" s="17" t="s">
        <v>142</v>
      </c>
      <c r="B221" s="17" t="s">
        <v>1782</v>
      </c>
      <c r="C221" s="17" t="s">
        <v>1783</v>
      </c>
      <c r="D221" s="17" t="s">
        <v>529</v>
      </c>
      <c r="E221" s="27" t="s">
        <v>4945</v>
      </c>
      <c r="F221" s="17" t="s">
        <v>121</v>
      </c>
      <c r="G221" s="17" t="s">
        <v>4801</v>
      </c>
      <c r="H221" s="17" t="s">
        <v>4800</v>
      </c>
    </row>
    <row r="222" customFormat="false" ht="15" hidden="false" customHeight="false" outlineLevel="0" collapsed="false">
      <c r="A222" s="17" t="s">
        <v>4761</v>
      </c>
      <c r="B222" s="17" t="s">
        <v>1786</v>
      </c>
      <c r="C222" s="17" t="s">
        <v>1787</v>
      </c>
      <c r="D222" s="17" t="s">
        <v>531</v>
      </c>
      <c r="E222" s="27" t="s">
        <v>4846</v>
      </c>
      <c r="F222" s="17" t="s">
        <v>109</v>
      </c>
      <c r="G222" s="17" t="s">
        <v>111</v>
      </c>
      <c r="H222" s="17" t="s">
        <v>4807</v>
      </c>
    </row>
    <row r="223" customFormat="false" ht="15" hidden="false" customHeight="false" outlineLevel="0" collapsed="false">
      <c r="A223" s="17" t="s">
        <v>142</v>
      </c>
      <c r="B223" s="17" t="s">
        <v>1788</v>
      </c>
      <c r="C223" s="17" t="s">
        <v>1789</v>
      </c>
      <c r="D223" s="17" t="s">
        <v>531</v>
      </c>
      <c r="E223" s="27" t="s">
        <v>4946</v>
      </c>
      <c r="F223" s="17" t="s">
        <v>112</v>
      </c>
      <c r="G223" s="17" t="s">
        <v>113</v>
      </c>
      <c r="H223" s="17" t="s">
        <v>4800</v>
      </c>
    </row>
    <row r="224" customFormat="false" ht="15" hidden="false" customHeight="false" outlineLevel="0" collapsed="false">
      <c r="A224" s="17" t="s">
        <v>142</v>
      </c>
      <c r="B224" s="17" t="s">
        <v>1788</v>
      </c>
      <c r="C224" s="17" t="s">
        <v>1789</v>
      </c>
      <c r="D224" s="17" t="s">
        <v>531</v>
      </c>
      <c r="E224" s="27" t="s">
        <v>4946</v>
      </c>
      <c r="F224" s="17" t="s">
        <v>125</v>
      </c>
      <c r="G224" s="17" t="s">
        <v>127</v>
      </c>
      <c r="H224" s="17" t="s">
        <v>4800</v>
      </c>
    </row>
    <row r="225" customFormat="false" ht="15" hidden="false" customHeight="false" outlineLevel="0" collapsed="false">
      <c r="A225" s="17" t="s">
        <v>4758</v>
      </c>
      <c r="B225" s="17" t="s">
        <v>1790</v>
      </c>
      <c r="C225" s="17" t="s">
        <v>1791</v>
      </c>
      <c r="D225" s="17" t="s">
        <v>529</v>
      </c>
      <c r="E225" s="27" t="s">
        <v>4947</v>
      </c>
      <c r="F225" s="17" t="s">
        <v>123</v>
      </c>
      <c r="G225" s="17" t="s">
        <v>124</v>
      </c>
      <c r="H225" s="17" t="s">
        <v>4807</v>
      </c>
    </row>
    <row r="226" customFormat="false" ht="15" hidden="false" customHeight="false" outlineLevel="0" collapsed="false">
      <c r="A226" s="17" t="s">
        <v>4780</v>
      </c>
      <c r="B226" s="17" t="s">
        <v>1792</v>
      </c>
      <c r="C226" s="17" t="s">
        <v>1793</v>
      </c>
      <c r="D226" s="17" t="s">
        <v>531</v>
      </c>
      <c r="E226" s="27" t="s">
        <v>4948</v>
      </c>
      <c r="F226" s="17" t="s">
        <v>125</v>
      </c>
      <c r="G226" s="17" t="s">
        <v>127</v>
      </c>
      <c r="H226" s="17" t="s">
        <v>4807</v>
      </c>
    </row>
    <row r="227" customFormat="false" ht="15" hidden="false" customHeight="false" outlineLevel="0" collapsed="false">
      <c r="A227" s="17" t="s">
        <v>4768</v>
      </c>
      <c r="B227" s="17" t="s">
        <v>1796</v>
      </c>
      <c r="C227" s="17" t="s">
        <v>1479</v>
      </c>
      <c r="D227" s="17" t="s">
        <v>529</v>
      </c>
      <c r="E227" s="27" t="s">
        <v>4949</v>
      </c>
      <c r="F227" s="17" t="s">
        <v>114</v>
      </c>
      <c r="G227" s="17" t="s">
        <v>4812</v>
      </c>
      <c r="H227" s="17" t="s">
        <v>4800</v>
      </c>
    </row>
    <row r="228" customFormat="false" ht="15" hidden="false" customHeight="false" outlineLevel="0" collapsed="false">
      <c r="A228" s="17" t="s">
        <v>142</v>
      </c>
      <c r="B228" s="17" t="s">
        <v>1801</v>
      </c>
      <c r="C228" s="17" t="s">
        <v>1802</v>
      </c>
      <c r="D228" s="17" t="s">
        <v>527</v>
      </c>
      <c r="E228" s="27" t="s">
        <v>4950</v>
      </c>
      <c r="F228" s="17" t="s">
        <v>112</v>
      </c>
      <c r="G228" s="17" t="s">
        <v>113</v>
      </c>
      <c r="H228" s="17" t="s">
        <v>4800</v>
      </c>
    </row>
    <row r="229" customFormat="false" ht="15" hidden="false" customHeight="false" outlineLevel="0" collapsed="false">
      <c r="A229" s="17" t="s">
        <v>4761</v>
      </c>
      <c r="B229" s="17" t="s">
        <v>1803</v>
      </c>
      <c r="C229" s="17" t="s">
        <v>1804</v>
      </c>
      <c r="D229" s="17" t="s">
        <v>529</v>
      </c>
      <c r="E229" s="27" t="s">
        <v>4951</v>
      </c>
      <c r="F229" s="17" t="s">
        <v>117</v>
      </c>
      <c r="G229" s="17" t="s">
        <v>4804</v>
      </c>
      <c r="H229" s="17" t="s">
        <v>4800</v>
      </c>
    </row>
    <row r="230" customFormat="false" ht="15" hidden="false" customHeight="false" outlineLevel="0" collapsed="false">
      <c r="A230" s="17" t="s">
        <v>4761</v>
      </c>
      <c r="B230" s="17" t="s">
        <v>1803</v>
      </c>
      <c r="C230" s="17" t="s">
        <v>1804</v>
      </c>
      <c r="D230" s="17" t="s">
        <v>529</v>
      </c>
      <c r="E230" s="27" t="s">
        <v>4951</v>
      </c>
      <c r="F230" s="17" t="s">
        <v>4798</v>
      </c>
      <c r="G230" s="17" t="s">
        <v>4799</v>
      </c>
      <c r="H230" s="17" t="s">
        <v>4800</v>
      </c>
    </row>
    <row r="231" customFormat="false" ht="15" hidden="false" customHeight="false" outlineLevel="0" collapsed="false">
      <c r="A231" s="17" t="s">
        <v>142</v>
      </c>
      <c r="B231" s="17" t="s">
        <v>1805</v>
      </c>
      <c r="C231" s="17" t="s">
        <v>1806</v>
      </c>
      <c r="D231" s="17" t="s">
        <v>530</v>
      </c>
      <c r="E231" s="27" t="s">
        <v>4952</v>
      </c>
      <c r="F231" s="17" t="s">
        <v>112</v>
      </c>
      <c r="G231" s="17" t="s">
        <v>113</v>
      </c>
      <c r="H231" s="17" t="s">
        <v>4800</v>
      </c>
    </row>
    <row r="232" customFormat="false" ht="15" hidden="false" customHeight="false" outlineLevel="0" collapsed="false">
      <c r="A232" s="17" t="s">
        <v>4772</v>
      </c>
      <c r="B232" s="17" t="s">
        <v>1811</v>
      </c>
      <c r="C232" s="17" t="s">
        <v>1812</v>
      </c>
      <c r="D232" s="17" t="s">
        <v>531</v>
      </c>
      <c r="E232" s="27" t="s">
        <v>4953</v>
      </c>
      <c r="F232" s="17" t="s">
        <v>125</v>
      </c>
      <c r="G232" s="17" t="s">
        <v>127</v>
      </c>
      <c r="H232" s="17" t="s">
        <v>4800</v>
      </c>
    </row>
    <row r="233" customFormat="false" ht="15" hidden="false" customHeight="false" outlineLevel="0" collapsed="false">
      <c r="A233" s="17" t="s">
        <v>4754</v>
      </c>
      <c r="B233" s="17" t="s">
        <v>1826</v>
      </c>
      <c r="C233" s="17" t="s">
        <v>1827</v>
      </c>
      <c r="D233" s="17" t="s">
        <v>526</v>
      </c>
      <c r="E233" s="27" t="s">
        <v>4954</v>
      </c>
      <c r="F233" s="17" t="s">
        <v>4798</v>
      </c>
      <c r="G233" s="17" t="s">
        <v>4799</v>
      </c>
      <c r="H233" s="17" t="s">
        <v>4807</v>
      </c>
    </row>
    <row r="234" customFormat="false" ht="15" hidden="false" customHeight="false" outlineLevel="0" collapsed="false">
      <c r="A234" s="17" t="s">
        <v>4757</v>
      </c>
      <c r="B234" s="17" t="s">
        <v>1836</v>
      </c>
      <c r="C234" s="17" t="s">
        <v>1837</v>
      </c>
      <c r="D234" s="17" t="s">
        <v>531</v>
      </c>
      <c r="E234" s="27" t="s">
        <v>4955</v>
      </c>
      <c r="F234" s="17" t="s">
        <v>125</v>
      </c>
      <c r="G234" s="17" t="s">
        <v>127</v>
      </c>
      <c r="H234" s="17" t="s">
        <v>4807</v>
      </c>
    </row>
    <row r="235" customFormat="false" ht="15" hidden="false" customHeight="false" outlineLevel="0" collapsed="false">
      <c r="A235" s="17" t="s">
        <v>4784</v>
      </c>
      <c r="B235" s="17" t="s">
        <v>1838</v>
      </c>
      <c r="C235" s="17" t="s">
        <v>1839</v>
      </c>
      <c r="D235" s="17" t="s">
        <v>531</v>
      </c>
      <c r="E235" s="27"/>
      <c r="F235" s="17" t="s">
        <v>109</v>
      </c>
      <c r="G235" s="17" t="s">
        <v>111</v>
      </c>
      <c r="H235" s="17" t="s">
        <v>4807</v>
      </c>
    </row>
    <row r="236" customFormat="false" ht="15" hidden="false" customHeight="false" outlineLevel="0" collapsed="false">
      <c r="A236" s="17" t="s">
        <v>4782</v>
      </c>
      <c r="B236" s="17" t="s">
        <v>1842</v>
      </c>
      <c r="C236" s="17" t="s">
        <v>1843</v>
      </c>
      <c r="D236" s="17" t="s">
        <v>527</v>
      </c>
      <c r="E236" s="27" t="s">
        <v>4846</v>
      </c>
      <c r="F236" s="17" t="s">
        <v>109</v>
      </c>
      <c r="G236" s="17" t="s">
        <v>111</v>
      </c>
      <c r="H236" s="17" t="s">
        <v>4800</v>
      </c>
    </row>
    <row r="237" customFormat="false" ht="15" hidden="false" customHeight="false" outlineLevel="0" collapsed="false">
      <c r="A237" s="17" t="s">
        <v>4782</v>
      </c>
      <c r="B237" s="17" t="s">
        <v>1842</v>
      </c>
      <c r="C237" s="17" t="s">
        <v>1843</v>
      </c>
      <c r="D237" s="17" t="s">
        <v>527</v>
      </c>
      <c r="E237" s="27" t="s">
        <v>4846</v>
      </c>
      <c r="F237" s="17" t="s">
        <v>114</v>
      </c>
      <c r="G237" s="17" t="s">
        <v>4812</v>
      </c>
      <c r="H237" s="17" t="s">
        <v>4800</v>
      </c>
    </row>
    <row r="238" customFormat="false" ht="15" hidden="false" customHeight="false" outlineLevel="0" collapsed="false">
      <c r="A238" s="17" t="s">
        <v>4782</v>
      </c>
      <c r="B238" s="17" t="s">
        <v>1842</v>
      </c>
      <c r="C238" s="17" t="s">
        <v>1843</v>
      </c>
      <c r="D238" s="17" t="s">
        <v>527</v>
      </c>
      <c r="E238" s="27" t="s">
        <v>4846</v>
      </c>
      <c r="F238" s="17" t="s">
        <v>117</v>
      </c>
      <c r="G238" s="17" t="s">
        <v>4804</v>
      </c>
      <c r="H238" s="17" t="s">
        <v>4800</v>
      </c>
    </row>
    <row r="239" customFormat="false" ht="15" hidden="false" customHeight="false" outlineLevel="0" collapsed="false">
      <c r="A239" s="17" t="s">
        <v>4758</v>
      </c>
      <c r="B239" s="17" t="s">
        <v>1846</v>
      </c>
      <c r="C239" s="17" t="s">
        <v>1847</v>
      </c>
      <c r="D239" s="17" t="s">
        <v>530</v>
      </c>
      <c r="E239" s="27" t="s">
        <v>4846</v>
      </c>
      <c r="F239" s="17" t="s">
        <v>109</v>
      </c>
      <c r="G239" s="17" t="s">
        <v>111</v>
      </c>
      <c r="H239" s="17" t="s">
        <v>4800</v>
      </c>
    </row>
    <row r="240" customFormat="false" ht="15" hidden="false" customHeight="false" outlineLevel="0" collapsed="false">
      <c r="A240" s="17" t="s">
        <v>142</v>
      </c>
      <c r="B240" s="17" t="s">
        <v>1859</v>
      </c>
      <c r="C240" s="17" t="s">
        <v>1860</v>
      </c>
      <c r="D240" s="17" t="s">
        <v>531</v>
      </c>
      <c r="E240" s="27" t="s">
        <v>4956</v>
      </c>
      <c r="F240" s="17" t="s">
        <v>112</v>
      </c>
      <c r="G240" s="17" t="s">
        <v>113</v>
      </c>
      <c r="H240" s="17" t="s">
        <v>4800</v>
      </c>
    </row>
    <row r="241" customFormat="false" ht="15" hidden="false" customHeight="false" outlineLevel="0" collapsed="false">
      <c r="A241" s="17" t="s">
        <v>4765</v>
      </c>
      <c r="B241" s="17" t="s">
        <v>1871</v>
      </c>
      <c r="C241" s="17" t="s">
        <v>1872</v>
      </c>
      <c r="D241" s="17" t="s">
        <v>526</v>
      </c>
      <c r="E241" s="27"/>
      <c r="F241" s="17" t="s">
        <v>109</v>
      </c>
      <c r="G241" s="17" t="s">
        <v>111</v>
      </c>
      <c r="H241" s="17" t="s">
        <v>4800</v>
      </c>
    </row>
    <row r="242" customFormat="false" ht="15" hidden="false" customHeight="false" outlineLevel="0" collapsed="false">
      <c r="A242" s="17" t="s">
        <v>4774</v>
      </c>
      <c r="B242" s="17" t="s">
        <v>1875</v>
      </c>
      <c r="C242" s="17" t="s">
        <v>1876</v>
      </c>
      <c r="D242" s="17" t="s">
        <v>526</v>
      </c>
      <c r="E242" s="27" t="s">
        <v>4957</v>
      </c>
      <c r="F242" s="17" t="s">
        <v>121</v>
      </c>
      <c r="G242" s="17" t="s">
        <v>4801</v>
      </c>
      <c r="H242" s="17" t="s">
        <v>4807</v>
      </c>
    </row>
    <row r="243" customFormat="false" ht="15" hidden="false" customHeight="false" outlineLevel="0" collapsed="false">
      <c r="A243" s="17" t="s">
        <v>4759</v>
      </c>
      <c r="B243" s="17" t="s">
        <v>1881</v>
      </c>
      <c r="C243" s="17" t="s">
        <v>1882</v>
      </c>
      <c r="D243" s="17" t="s">
        <v>531</v>
      </c>
      <c r="E243" s="27" t="s">
        <v>4958</v>
      </c>
      <c r="F243" s="17" t="s">
        <v>125</v>
      </c>
      <c r="G243" s="17" t="s">
        <v>127</v>
      </c>
      <c r="H243" s="17" t="s">
        <v>4800</v>
      </c>
    </row>
    <row r="244" customFormat="false" ht="15" hidden="false" customHeight="false" outlineLevel="0" collapsed="false">
      <c r="A244" s="17" t="s">
        <v>4768</v>
      </c>
      <c r="B244" s="17" t="s">
        <v>1885</v>
      </c>
      <c r="C244" s="17" t="s">
        <v>1886</v>
      </c>
      <c r="D244" s="17" t="s">
        <v>526</v>
      </c>
      <c r="E244" s="27" t="s">
        <v>4959</v>
      </c>
      <c r="F244" s="17" t="s">
        <v>114</v>
      </c>
      <c r="G244" s="17" t="s">
        <v>4812</v>
      </c>
      <c r="H244" s="17" t="s">
        <v>4800</v>
      </c>
    </row>
    <row r="245" customFormat="false" ht="15" hidden="false" customHeight="false" outlineLevel="0" collapsed="false">
      <c r="A245" s="17" t="s">
        <v>4783</v>
      </c>
      <c r="B245" s="17" t="s">
        <v>1891</v>
      </c>
      <c r="C245" s="17" t="s">
        <v>1892</v>
      </c>
      <c r="D245" s="17" t="s">
        <v>531</v>
      </c>
      <c r="E245" s="27" t="s">
        <v>4960</v>
      </c>
      <c r="F245" s="17" t="s">
        <v>125</v>
      </c>
      <c r="G245" s="17" t="s">
        <v>127</v>
      </c>
      <c r="H245" s="17" t="s">
        <v>4807</v>
      </c>
    </row>
    <row r="246" customFormat="false" ht="15" hidden="false" customHeight="false" outlineLevel="0" collapsed="false">
      <c r="A246" s="17" t="s">
        <v>4771</v>
      </c>
      <c r="B246" s="17" t="s">
        <v>1893</v>
      </c>
      <c r="C246" s="17" t="s">
        <v>1894</v>
      </c>
      <c r="D246" s="17" t="s">
        <v>526</v>
      </c>
      <c r="E246" s="27" t="s">
        <v>4961</v>
      </c>
      <c r="F246" s="17" t="s">
        <v>117</v>
      </c>
      <c r="G246" s="17" t="s">
        <v>4804</v>
      </c>
      <c r="H246" s="17" t="s">
        <v>4800</v>
      </c>
    </row>
    <row r="247" customFormat="false" ht="15" hidden="false" customHeight="false" outlineLevel="0" collapsed="false">
      <c r="A247" s="17" t="s">
        <v>4776</v>
      </c>
      <c r="B247" s="17" t="s">
        <v>1903</v>
      </c>
      <c r="C247" s="17" t="s">
        <v>1783</v>
      </c>
      <c r="D247" s="17" t="s">
        <v>528</v>
      </c>
      <c r="E247" s="27" t="s">
        <v>4846</v>
      </c>
      <c r="F247" s="17" t="s">
        <v>109</v>
      </c>
      <c r="G247" s="17" t="s">
        <v>111</v>
      </c>
      <c r="H247" s="17" t="s">
        <v>4800</v>
      </c>
    </row>
    <row r="248" customFormat="false" ht="15" hidden="false" customHeight="false" outlineLevel="0" collapsed="false">
      <c r="A248" s="17" t="s">
        <v>4786</v>
      </c>
      <c r="B248" s="17" t="s">
        <v>1908</v>
      </c>
      <c r="C248" s="17" t="s">
        <v>1909</v>
      </c>
      <c r="D248" s="17" t="s">
        <v>529</v>
      </c>
      <c r="E248" s="27" t="s">
        <v>4962</v>
      </c>
      <c r="F248" s="17" t="s">
        <v>117</v>
      </c>
      <c r="G248" s="17" t="s">
        <v>4804</v>
      </c>
      <c r="H248" s="17" t="s">
        <v>4800</v>
      </c>
    </row>
    <row r="249" customFormat="false" ht="15" hidden="false" customHeight="false" outlineLevel="0" collapsed="false">
      <c r="A249" s="17" t="s">
        <v>4779</v>
      </c>
      <c r="B249" s="17" t="s">
        <v>1914</v>
      </c>
      <c r="C249" s="17" t="s">
        <v>1916</v>
      </c>
      <c r="D249" s="17" t="s">
        <v>527</v>
      </c>
      <c r="E249" s="27" t="s">
        <v>4963</v>
      </c>
      <c r="F249" s="17" t="s">
        <v>4798</v>
      </c>
      <c r="G249" s="17" t="s">
        <v>4799</v>
      </c>
      <c r="H249" s="17" t="s">
        <v>4807</v>
      </c>
    </row>
    <row r="250" customFormat="false" ht="15" hidden="false" customHeight="false" outlineLevel="0" collapsed="false">
      <c r="A250" s="17" t="s">
        <v>4774</v>
      </c>
      <c r="B250" s="17" t="s">
        <v>1917</v>
      </c>
      <c r="C250" s="17" t="s">
        <v>1918</v>
      </c>
      <c r="D250" s="17" t="s">
        <v>529</v>
      </c>
      <c r="E250" s="27" t="s">
        <v>4964</v>
      </c>
      <c r="F250" s="17" t="s">
        <v>123</v>
      </c>
      <c r="G250" s="17" t="s">
        <v>124</v>
      </c>
      <c r="H250" s="17" t="s">
        <v>4807</v>
      </c>
    </row>
    <row r="251" customFormat="false" ht="15" hidden="false" customHeight="false" outlineLevel="0" collapsed="false">
      <c r="A251" s="17" t="s">
        <v>4768</v>
      </c>
      <c r="B251" s="17" t="s">
        <v>1935</v>
      </c>
      <c r="C251" s="17" t="s">
        <v>1936</v>
      </c>
      <c r="D251" s="17" t="s">
        <v>526</v>
      </c>
      <c r="E251" s="27" t="s">
        <v>4965</v>
      </c>
      <c r="F251" s="17" t="s">
        <v>114</v>
      </c>
      <c r="G251" s="17" t="s">
        <v>4812</v>
      </c>
      <c r="H251" s="17" t="s">
        <v>4800</v>
      </c>
    </row>
    <row r="252" customFormat="false" ht="15" hidden="false" customHeight="false" outlineLevel="0" collapsed="false">
      <c r="A252" s="17" t="s">
        <v>4770</v>
      </c>
      <c r="B252" s="17" t="s">
        <v>1939</v>
      </c>
      <c r="C252" s="17" t="s">
        <v>1940</v>
      </c>
      <c r="D252" s="17" t="s">
        <v>528</v>
      </c>
      <c r="E252" s="27" t="s">
        <v>4966</v>
      </c>
      <c r="F252" s="17" t="s">
        <v>4798</v>
      </c>
      <c r="G252" s="17" t="s">
        <v>4799</v>
      </c>
      <c r="H252" s="17" t="s">
        <v>4807</v>
      </c>
    </row>
    <row r="253" customFormat="false" ht="15" hidden="false" customHeight="false" outlineLevel="0" collapsed="false">
      <c r="A253" s="17" t="s">
        <v>4782</v>
      </c>
      <c r="B253" s="17" t="s">
        <v>1941</v>
      </c>
      <c r="C253" s="17" t="s">
        <v>1942</v>
      </c>
      <c r="D253" s="17" t="s">
        <v>528</v>
      </c>
      <c r="E253" s="27" t="s">
        <v>4967</v>
      </c>
      <c r="F253" s="17" t="s">
        <v>114</v>
      </c>
      <c r="G253" s="17" t="s">
        <v>4812</v>
      </c>
      <c r="H253" s="17" t="s">
        <v>4800</v>
      </c>
    </row>
    <row r="254" customFormat="false" ht="15" hidden="false" customHeight="false" outlineLevel="0" collapsed="false">
      <c r="A254" s="17" t="s">
        <v>4782</v>
      </c>
      <c r="B254" s="17" t="s">
        <v>1941</v>
      </c>
      <c r="C254" s="17" t="s">
        <v>1942</v>
      </c>
      <c r="D254" s="17" t="s">
        <v>528</v>
      </c>
      <c r="E254" s="27" t="s">
        <v>4967</v>
      </c>
      <c r="F254" s="17" t="s">
        <v>117</v>
      </c>
      <c r="G254" s="17" t="s">
        <v>4804</v>
      </c>
      <c r="H254" s="17" t="s">
        <v>4800</v>
      </c>
    </row>
    <row r="255" customFormat="false" ht="15" hidden="false" customHeight="false" outlineLevel="0" collapsed="false">
      <c r="A255" s="17" t="s">
        <v>4782</v>
      </c>
      <c r="B255" s="17" t="s">
        <v>1941</v>
      </c>
      <c r="C255" s="17" t="s">
        <v>1942</v>
      </c>
      <c r="D255" s="17" t="s">
        <v>528</v>
      </c>
      <c r="E255" s="27" t="s">
        <v>4967</v>
      </c>
      <c r="F255" s="17" t="s">
        <v>123</v>
      </c>
      <c r="G255" s="17" t="s">
        <v>124</v>
      </c>
      <c r="H255" s="17" t="s">
        <v>4800</v>
      </c>
    </row>
    <row r="256" customFormat="false" ht="15" hidden="false" customHeight="false" outlineLevel="0" collapsed="false">
      <c r="A256" s="17" t="s">
        <v>4758</v>
      </c>
      <c r="B256" s="17" t="s">
        <v>1948</v>
      </c>
      <c r="C256" s="17" t="s">
        <v>1949</v>
      </c>
      <c r="D256" s="17" t="s">
        <v>526</v>
      </c>
      <c r="E256" s="27" t="s">
        <v>4968</v>
      </c>
      <c r="F256" s="17" t="s">
        <v>4798</v>
      </c>
      <c r="G256" s="17" t="s">
        <v>4799</v>
      </c>
      <c r="H256" s="17" t="s">
        <v>4800</v>
      </c>
    </row>
    <row r="257" customFormat="false" ht="15" hidden="false" customHeight="false" outlineLevel="0" collapsed="false">
      <c r="A257" s="17" t="s">
        <v>4785</v>
      </c>
      <c r="B257" s="17" t="s">
        <v>1953</v>
      </c>
      <c r="C257" s="17" t="s">
        <v>1954</v>
      </c>
      <c r="D257" s="17" t="s">
        <v>531</v>
      </c>
      <c r="E257" s="27" t="s">
        <v>4969</v>
      </c>
      <c r="F257" s="17" t="s">
        <v>125</v>
      </c>
      <c r="G257" s="17" t="s">
        <v>127</v>
      </c>
      <c r="H257" s="17" t="s">
        <v>4800</v>
      </c>
    </row>
    <row r="258" customFormat="false" ht="15" hidden="false" customHeight="false" outlineLevel="0" collapsed="false">
      <c r="A258" s="17" t="s">
        <v>4778</v>
      </c>
      <c r="B258" s="17" t="s">
        <v>1965</v>
      </c>
      <c r="C258" s="17" t="s">
        <v>1966</v>
      </c>
      <c r="D258" s="17" t="s">
        <v>527</v>
      </c>
      <c r="E258" s="27" t="s">
        <v>4970</v>
      </c>
      <c r="F258" s="17" t="s">
        <v>4798</v>
      </c>
      <c r="G258" s="17" t="s">
        <v>4799</v>
      </c>
      <c r="H258" s="17" t="s">
        <v>4807</v>
      </c>
    </row>
    <row r="259" customFormat="false" ht="15" hidden="false" customHeight="false" outlineLevel="0" collapsed="false">
      <c r="A259" s="17" t="s">
        <v>4759</v>
      </c>
      <c r="B259" s="17" t="s">
        <v>1980</v>
      </c>
      <c r="C259" s="17" t="s">
        <v>1648</v>
      </c>
      <c r="D259" s="17" t="s">
        <v>527</v>
      </c>
      <c r="E259" s="27" t="s">
        <v>4846</v>
      </c>
      <c r="F259" s="17" t="s">
        <v>109</v>
      </c>
      <c r="G259" s="17" t="s">
        <v>111</v>
      </c>
      <c r="H259" s="17" t="s">
        <v>4800</v>
      </c>
    </row>
    <row r="260" customFormat="false" ht="15" hidden="false" customHeight="false" outlineLevel="0" collapsed="false">
      <c r="A260" s="17" t="s">
        <v>4760</v>
      </c>
      <c r="B260" s="17" t="s">
        <v>1981</v>
      </c>
      <c r="C260" s="17" t="s">
        <v>895</v>
      </c>
      <c r="D260" s="17" t="s">
        <v>529</v>
      </c>
      <c r="E260" s="27" t="s">
        <v>4971</v>
      </c>
      <c r="F260" s="17" t="s">
        <v>117</v>
      </c>
      <c r="G260" s="17" t="s">
        <v>4804</v>
      </c>
      <c r="H260" s="17" t="s">
        <v>4800</v>
      </c>
    </row>
    <row r="261" customFormat="false" ht="15" hidden="false" customHeight="false" outlineLevel="0" collapsed="false">
      <c r="A261" s="17" t="s">
        <v>4768</v>
      </c>
      <c r="B261" s="17" t="s">
        <v>1988</v>
      </c>
      <c r="C261" s="17" t="s">
        <v>1989</v>
      </c>
      <c r="D261" s="17" t="s">
        <v>528</v>
      </c>
      <c r="E261" s="27" t="s">
        <v>4972</v>
      </c>
      <c r="F261" s="17" t="s">
        <v>114</v>
      </c>
      <c r="G261" s="17" t="s">
        <v>4812</v>
      </c>
      <c r="H261" s="17" t="s">
        <v>4800</v>
      </c>
    </row>
    <row r="262" customFormat="false" ht="15" hidden="false" customHeight="false" outlineLevel="0" collapsed="false">
      <c r="A262" s="17" t="s">
        <v>4768</v>
      </c>
      <c r="B262" s="17" t="s">
        <v>1988</v>
      </c>
      <c r="C262" s="17" t="s">
        <v>1989</v>
      </c>
      <c r="D262" s="17" t="s">
        <v>528</v>
      </c>
      <c r="E262" s="27" t="s">
        <v>4972</v>
      </c>
      <c r="F262" s="17" t="s">
        <v>4798</v>
      </c>
      <c r="G262" s="17" t="s">
        <v>4799</v>
      </c>
      <c r="H262" s="17" t="s">
        <v>4807</v>
      </c>
    </row>
    <row r="263" customFormat="false" ht="15" hidden="false" customHeight="false" outlineLevel="0" collapsed="false">
      <c r="A263" s="17" t="s">
        <v>4760</v>
      </c>
      <c r="B263" s="17" t="s">
        <v>2000</v>
      </c>
      <c r="C263" s="17" t="s">
        <v>2001</v>
      </c>
      <c r="D263" s="17" t="s">
        <v>527</v>
      </c>
      <c r="E263" s="27" t="s">
        <v>4973</v>
      </c>
      <c r="F263" s="17" t="s">
        <v>4798</v>
      </c>
      <c r="G263" s="17" t="s">
        <v>4799</v>
      </c>
      <c r="H263" s="17" t="s">
        <v>4800</v>
      </c>
    </row>
    <row r="264" customFormat="false" ht="15" hidden="false" customHeight="false" outlineLevel="0" collapsed="false">
      <c r="A264" s="17" t="s">
        <v>4762</v>
      </c>
      <c r="B264" s="17" t="s">
        <v>2007</v>
      </c>
      <c r="C264" s="17" t="s">
        <v>2008</v>
      </c>
      <c r="D264" s="17" t="s">
        <v>531</v>
      </c>
      <c r="E264" s="27" t="s">
        <v>4846</v>
      </c>
      <c r="F264" s="17" t="s">
        <v>109</v>
      </c>
      <c r="G264" s="17" t="s">
        <v>111</v>
      </c>
      <c r="H264" s="17" t="s">
        <v>4800</v>
      </c>
    </row>
    <row r="265" customFormat="false" ht="15" hidden="false" customHeight="false" outlineLevel="0" collapsed="false">
      <c r="A265" s="17" t="s">
        <v>142</v>
      </c>
      <c r="B265" s="17" t="s">
        <v>2009</v>
      </c>
      <c r="C265" s="17" t="s">
        <v>1726</v>
      </c>
      <c r="D265" s="17" t="s">
        <v>531</v>
      </c>
      <c r="E265" s="27" t="s">
        <v>4974</v>
      </c>
      <c r="F265" s="17" t="s">
        <v>112</v>
      </c>
      <c r="G265" s="17" t="s">
        <v>113</v>
      </c>
      <c r="H265" s="17" t="s">
        <v>4800</v>
      </c>
    </row>
    <row r="266" customFormat="false" ht="15" hidden="false" customHeight="false" outlineLevel="0" collapsed="false">
      <c r="A266" s="17" t="s">
        <v>142</v>
      </c>
      <c r="B266" s="17" t="s">
        <v>2009</v>
      </c>
      <c r="C266" s="17" t="s">
        <v>1726</v>
      </c>
      <c r="D266" s="17" t="s">
        <v>531</v>
      </c>
      <c r="E266" s="27" t="s">
        <v>4974</v>
      </c>
      <c r="F266" s="17" t="s">
        <v>125</v>
      </c>
      <c r="G266" s="17" t="s">
        <v>127</v>
      </c>
      <c r="H266" s="17" t="s">
        <v>4807</v>
      </c>
    </row>
    <row r="267" customFormat="false" ht="15" hidden="false" customHeight="false" outlineLevel="0" collapsed="false">
      <c r="A267" s="17" t="s">
        <v>4782</v>
      </c>
      <c r="B267" s="17" t="s">
        <v>2016</v>
      </c>
      <c r="C267" s="17" t="s">
        <v>948</v>
      </c>
      <c r="D267" s="17" t="s">
        <v>527</v>
      </c>
      <c r="E267" s="27" t="s">
        <v>4975</v>
      </c>
      <c r="F267" s="17" t="s">
        <v>114</v>
      </c>
      <c r="G267" s="17" t="s">
        <v>4812</v>
      </c>
      <c r="H267" s="17" t="s">
        <v>4800</v>
      </c>
    </row>
    <row r="268" customFormat="false" ht="15" hidden="false" customHeight="false" outlineLevel="0" collapsed="false">
      <c r="A268" s="17" t="s">
        <v>4785</v>
      </c>
      <c r="B268" s="17" t="s">
        <v>2017</v>
      </c>
      <c r="C268" s="17" t="s">
        <v>2018</v>
      </c>
      <c r="D268" s="17" t="s">
        <v>526</v>
      </c>
      <c r="E268" s="27" t="s">
        <v>4976</v>
      </c>
      <c r="F268" s="17" t="s">
        <v>4798</v>
      </c>
      <c r="G268" s="17" t="s">
        <v>4799</v>
      </c>
      <c r="H268" s="17" t="s">
        <v>4800</v>
      </c>
    </row>
    <row r="269" customFormat="false" ht="15" hidden="false" customHeight="false" outlineLevel="0" collapsed="false">
      <c r="A269" s="17" t="s">
        <v>4781</v>
      </c>
      <c r="B269" s="17" t="s">
        <v>2025</v>
      </c>
      <c r="C269" s="17" t="s">
        <v>2026</v>
      </c>
      <c r="D269" s="17" t="s">
        <v>528</v>
      </c>
      <c r="E269" s="27" t="s">
        <v>4977</v>
      </c>
      <c r="F269" s="17" t="s">
        <v>4798</v>
      </c>
      <c r="G269" s="17" t="s">
        <v>4799</v>
      </c>
      <c r="H269" s="17" t="s">
        <v>4807</v>
      </c>
    </row>
    <row r="270" customFormat="false" ht="15" hidden="false" customHeight="false" outlineLevel="0" collapsed="false">
      <c r="A270" s="17" t="s">
        <v>4782</v>
      </c>
      <c r="B270" s="17" t="s">
        <v>2029</v>
      </c>
      <c r="C270" s="17" t="s">
        <v>2030</v>
      </c>
      <c r="D270" s="17" t="s">
        <v>528</v>
      </c>
      <c r="E270" s="27" t="s">
        <v>4978</v>
      </c>
      <c r="F270" s="17" t="s">
        <v>114</v>
      </c>
      <c r="G270" s="17" t="s">
        <v>4812</v>
      </c>
      <c r="H270" s="17" t="s">
        <v>4800</v>
      </c>
    </row>
    <row r="271" customFormat="false" ht="15" hidden="false" customHeight="false" outlineLevel="0" collapsed="false">
      <c r="A271" s="17" t="s">
        <v>4782</v>
      </c>
      <c r="B271" s="17" t="s">
        <v>2029</v>
      </c>
      <c r="C271" s="17" t="s">
        <v>2030</v>
      </c>
      <c r="D271" s="17" t="s">
        <v>528</v>
      </c>
      <c r="E271" s="27" t="s">
        <v>4978</v>
      </c>
      <c r="F271" s="17" t="s">
        <v>4798</v>
      </c>
      <c r="G271" s="17" t="s">
        <v>4799</v>
      </c>
      <c r="H271" s="17" t="s">
        <v>4807</v>
      </c>
    </row>
    <row r="272" customFormat="false" ht="15" hidden="false" customHeight="false" outlineLevel="0" collapsed="false">
      <c r="A272" s="17" t="s">
        <v>4774</v>
      </c>
      <c r="B272" s="17" t="s">
        <v>2033</v>
      </c>
      <c r="C272" s="17" t="s">
        <v>2034</v>
      </c>
      <c r="D272" s="17" t="s">
        <v>531</v>
      </c>
      <c r="E272" s="27" t="s">
        <v>4979</v>
      </c>
      <c r="F272" s="17" t="s">
        <v>125</v>
      </c>
      <c r="G272" s="17" t="s">
        <v>127</v>
      </c>
      <c r="H272" s="17" t="s">
        <v>4807</v>
      </c>
    </row>
    <row r="273" customFormat="false" ht="15" hidden="false" customHeight="false" outlineLevel="0" collapsed="false">
      <c r="A273" s="17" t="s">
        <v>4768</v>
      </c>
      <c r="B273" s="17" t="s">
        <v>2044</v>
      </c>
      <c r="C273" s="17" t="s">
        <v>2045</v>
      </c>
      <c r="D273" s="17" t="s">
        <v>528</v>
      </c>
      <c r="E273" s="27" t="s">
        <v>4980</v>
      </c>
      <c r="F273" s="17" t="s">
        <v>114</v>
      </c>
      <c r="G273" s="17" t="s">
        <v>4812</v>
      </c>
      <c r="H273" s="17" t="s">
        <v>4800</v>
      </c>
    </row>
    <row r="274" customFormat="false" ht="15" hidden="false" customHeight="false" outlineLevel="0" collapsed="false">
      <c r="A274" s="17" t="s">
        <v>4759</v>
      </c>
      <c r="B274" s="17" t="s">
        <v>2054</v>
      </c>
      <c r="C274" s="17" t="s">
        <v>2055</v>
      </c>
      <c r="D274" s="17" t="s">
        <v>529</v>
      </c>
      <c r="E274" s="27" t="s">
        <v>4981</v>
      </c>
      <c r="F274" s="17" t="s">
        <v>4798</v>
      </c>
      <c r="G274" s="17" t="s">
        <v>4799</v>
      </c>
      <c r="H274" s="17" t="s">
        <v>4807</v>
      </c>
    </row>
    <row r="275" customFormat="false" ht="15" hidden="false" customHeight="false" outlineLevel="0" collapsed="false">
      <c r="A275" s="17" t="s">
        <v>4763</v>
      </c>
      <c r="B275" s="17" t="s">
        <v>2060</v>
      </c>
      <c r="C275" s="17" t="s">
        <v>2061</v>
      </c>
      <c r="D275" s="17" t="s">
        <v>531</v>
      </c>
      <c r="E275" s="27" t="s">
        <v>4982</v>
      </c>
      <c r="F275" s="17" t="s">
        <v>125</v>
      </c>
      <c r="G275" s="17" t="s">
        <v>127</v>
      </c>
      <c r="H275" s="17" t="s">
        <v>4807</v>
      </c>
    </row>
    <row r="276" customFormat="false" ht="15" hidden="false" customHeight="false" outlineLevel="0" collapsed="false">
      <c r="A276" s="17" t="s">
        <v>4762</v>
      </c>
      <c r="B276" s="17" t="s">
        <v>2064</v>
      </c>
      <c r="C276" s="17" t="s">
        <v>2065</v>
      </c>
      <c r="D276" s="17" t="s">
        <v>528</v>
      </c>
      <c r="E276" s="27" t="s">
        <v>4983</v>
      </c>
      <c r="F276" s="17" t="s">
        <v>121</v>
      </c>
      <c r="G276" s="17" t="s">
        <v>4801</v>
      </c>
      <c r="H276" s="17" t="s">
        <v>4807</v>
      </c>
    </row>
    <row r="277" customFormat="false" ht="15" hidden="false" customHeight="false" outlineLevel="0" collapsed="false">
      <c r="A277" s="17" t="s">
        <v>4783</v>
      </c>
      <c r="B277" s="17" t="s">
        <v>2072</v>
      </c>
      <c r="C277" s="17" t="s">
        <v>2073</v>
      </c>
      <c r="D277" s="17" t="s">
        <v>527</v>
      </c>
      <c r="E277" s="27" t="s">
        <v>4984</v>
      </c>
      <c r="F277" s="17" t="s">
        <v>117</v>
      </c>
      <c r="G277" s="17" t="s">
        <v>4804</v>
      </c>
      <c r="H277" s="17" t="s">
        <v>4800</v>
      </c>
    </row>
    <row r="278" customFormat="false" ht="15" hidden="false" customHeight="false" outlineLevel="0" collapsed="false">
      <c r="A278" s="17" t="s">
        <v>4783</v>
      </c>
      <c r="B278" s="17" t="s">
        <v>2072</v>
      </c>
      <c r="C278" s="17" t="s">
        <v>2073</v>
      </c>
      <c r="D278" s="17" t="s">
        <v>527</v>
      </c>
      <c r="E278" s="27" t="s">
        <v>4984</v>
      </c>
      <c r="F278" s="17" t="s">
        <v>123</v>
      </c>
      <c r="G278" s="17" t="s">
        <v>124</v>
      </c>
      <c r="H278" s="17" t="s">
        <v>4800</v>
      </c>
    </row>
    <row r="279" customFormat="false" ht="15" hidden="false" customHeight="false" outlineLevel="0" collapsed="false">
      <c r="A279" s="17" t="s">
        <v>4783</v>
      </c>
      <c r="B279" s="17" t="s">
        <v>2078</v>
      </c>
      <c r="C279" s="17" t="s">
        <v>2079</v>
      </c>
      <c r="D279" s="17" t="s">
        <v>526</v>
      </c>
      <c r="E279" s="27" t="s">
        <v>4985</v>
      </c>
      <c r="F279" s="17" t="s">
        <v>123</v>
      </c>
      <c r="G279" s="17" t="s">
        <v>124</v>
      </c>
      <c r="H279" s="17" t="s">
        <v>4807</v>
      </c>
    </row>
    <row r="280" customFormat="false" ht="15" hidden="false" customHeight="false" outlineLevel="0" collapsed="false">
      <c r="A280" s="17" t="s">
        <v>142</v>
      </c>
      <c r="B280" s="17" t="s">
        <v>2081</v>
      </c>
      <c r="C280" s="17" t="s">
        <v>2082</v>
      </c>
      <c r="D280" s="17" t="s">
        <v>527</v>
      </c>
      <c r="E280" s="27" t="s">
        <v>4986</v>
      </c>
      <c r="F280" s="17" t="s">
        <v>112</v>
      </c>
      <c r="G280" s="17" t="s">
        <v>113</v>
      </c>
      <c r="H280" s="17" t="s">
        <v>4800</v>
      </c>
    </row>
    <row r="281" customFormat="false" ht="15" hidden="false" customHeight="false" outlineLevel="0" collapsed="false">
      <c r="A281" s="17" t="s">
        <v>142</v>
      </c>
      <c r="B281" s="17" t="s">
        <v>2081</v>
      </c>
      <c r="C281" s="17" t="s">
        <v>2082</v>
      </c>
      <c r="D281" s="17" t="s">
        <v>527</v>
      </c>
      <c r="E281" s="27" t="s">
        <v>4986</v>
      </c>
      <c r="F281" s="17" t="s">
        <v>117</v>
      </c>
      <c r="G281" s="17" t="s">
        <v>4804</v>
      </c>
      <c r="H281" s="17" t="s">
        <v>4800</v>
      </c>
    </row>
    <row r="282" customFormat="false" ht="15" hidden="false" customHeight="false" outlineLevel="0" collapsed="false">
      <c r="A282" s="17" t="s">
        <v>142</v>
      </c>
      <c r="B282" s="17" t="s">
        <v>2081</v>
      </c>
      <c r="C282" s="17" t="s">
        <v>2082</v>
      </c>
      <c r="D282" s="17" t="s">
        <v>527</v>
      </c>
      <c r="E282" s="27" t="s">
        <v>4986</v>
      </c>
      <c r="F282" s="17" t="s">
        <v>121</v>
      </c>
      <c r="G282" s="17" t="s">
        <v>4801</v>
      </c>
      <c r="H282" s="17" t="s">
        <v>4800</v>
      </c>
    </row>
    <row r="283" customFormat="false" ht="15" hidden="false" customHeight="false" outlineLevel="0" collapsed="false">
      <c r="A283" s="17" t="s">
        <v>4762</v>
      </c>
      <c r="B283" s="17" t="s">
        <v>2083</v>
      </c>
      <c r="C283" s="17" t="s">
        <v>2084</v>
      </c>
      <c r="D283" s="17" t="s">
        <v>531</v>
      </c>
      <c r="E283" s="27" t="s">
        <v>4987</v>
      </c>
      <c r="F283" s="17" t="s">
        <v>125</v>
      </c>
      <c r="G283" s="17" t="s">
        <v>127</v>
      </c>
      <c r="H283" s="17" t="s">
        <v>4807</v>
      </c>
    </row>
    <row r="284" customFormat="false" ht="15" hidden="false" customHeight="false" outlineLevel="0" collapsed="false">
      <c r="A284" s="17" t="s">
        <v>4776</v>
      </c>
      <c r="B284" s="17" t="s">
        <v>2090</v>
      </c>
      <c r="C284" s="17" t="s">
        <v>2091</v>
      </c>
      <c r="D284" s="17" t="s">
        <v>527</v>
      </c>
      <c r="E284" s="27" t="s">
        <v>4988</v>
      </c>
      <c r="F284" s="17" t="s">
        <v>4798</v>
      </c>
      <c r="G284" s="17" t="s">
        <v>4799</v>
      </c>
      <c r="H284" s="17" t="s">
        <v>4807</v>
      </c>
    </row>
    <row r="285" customFormat="false" ht="15" hidden="false" customHeight="false" outlineLevel="0" collapsed="false">
      <c r="A285" s="17" t="s">
        <v>4785</v>
      </c>
      <c r="B285" s="17" t="s">
        <v>2094</v>
      </c>
      <c r="C285" s="17" t="s">
        <v>2095</v>
      </c>
      <c r="D285" s="17" t="s">
        <v>528</v>
      </c>
      <c r="E285" s="27" t="s">
        <v>4989</v>
      </c>
      <c r="F285" s="17" t="s">
        <v>4798</v>
      </c>
      <c r="G285" s="17" t="s">
        <v>4799</v>
      </c>
      <c r="H285" s="17" t="s">
        <v>4807</v>
      </c>
    </row>
    <row r="286" customFormat="false" ht="15" hidden="false" customHeight="false" outlineLevel="0" collapsed="false">
      <c r="A286" s="17" t="s">
        <v>4761</v>
      </c>
      <c r="B286" s="17" t="s">
        <v>2110</v>
      </c>
      <c r="C286" s="17" t="s">
        <v>2111</v>
      </c>
      <c r="D286" s="17" t="s">
        <v>531</v>
      </c>
      <c r="E286" s="27"/>
      <c r="F286" s="17" t="s">
        <v>109</v>
      </c>
      <c r="G286" s="17" t="s">
        <v>111</v>
      </c>
      <c r="H286" s="17" t="s">
        <v>4800</v>
      </c>
    </row>
    <row r="287" customFormat="false" ht="15" hidden="false" customHeight="false" outlineLevel="0" collapsed="false">
      <c r="A287" s="17" t="s">
        <v>4761</v>
      </c>
      <c r="B287" s="17" t="s">
        <v>2112</v>
      </c>
      <c r="C287" s="17" t="s">
        <v>2113</v>
      </c>
      <c r="D287" s="17" t="s">
        <v>529</v>
      </c>
      <c r="E287" s="27" t="s">
        <v>4990</v>
      </c>
      <c r="F287" s="17" t="s">
        <v>4798</v>
      </c>
      <c r="G287" s="17" t="s">
        <v>4799</v>
      </c>
      <c r="H287" s="17" t="s">
        <v>4807</v>
      </c>
    </row>
    <row r="288" customFormat="false" ht="15" hidden="false" customHeight="false" outlineLevel="0" collapsed="false">
      <c r="A288" s="17" t="s">
        <v>4771</v>
      </c>
      <c r="B288" s="17" t="s">
        <v>2124</v>
      </c>
      <c r="C288" s="17" t="s">
        <v>2126</v>
      </c>
      <c r="D288" s="17" t="s">
        <v>528</v>
      </c>
      <c r="E288" s="27" t="s">
        <v>4991</v>
      </c>
      <c r="F288" s="17" t="s">
        <v>117</v>
      </c>
      <c r="G288" s="17" t="s">
        <v>4804</v>
      </c>
      <c r="H288" s="17" t="s">
        <v>4800</v>
      </c>
    </row>
    <row r="289" customFormat="false" ht="15" hidden="false" customHeight="false" outlineLevel="0" collapsed="false">
      <c r="A289" s="17" t="s">
        <v>4771</v>
      </c>
      <c r="B289" s="17" t="s">
        <v>2124</v>
      </c>
      <c r="C289" s="17" t="s">
        <v>2126</v>
      </c>
      <c r="D289" s="17" t="s">
        <v>528</v>
      </c>
      <c r="E289" s="27" t="s">
        <v>4991</v>
      </c>
      <c r="F289" s="17" t="s">
        <v>123</v>
      </c>
      <c r="G289" s="17" t="s">
        <v>124</v>
      </c>
      <c r="H289" s="17" t="s">
        <v>4807</v>
      </c>
    </row>
    <row r="290" customFormat="false" ht="15" hidden="false" customHeight="false" outlineLevel="0" collapsed="false">
      <c r="A290" s="17" t="s">
        <v>4775</v>
      </c>
      <c r="B290" s="17" t="s">
        <v>2127</v>
      </c>
      <c r="C290" s="17" t="s">
        <v>2128</v>
      </c>
      <c r="D290" s="17" t="s">
        <v>528</v>
      </c>
      <c r="E290" s="27" t="s">
        <v>4992</v>
      </c>
      <c r="F290" s="17" t="s">
        <v>121</v>
      </c>
      <c r="G290" s="17" t="s">
        <v>4801</v>
      </c>
      <c r="H290" s="17" t="s">
        <v>4807</v>
      </c>
    </row>
    <row r="291" customFormat="false" ht="15" hidden="false" customHeight="false" outlineLevel="0" collapsed="false">
      <c r="A291" s="17" t="s">
        <v>4775</v>
      </c>
      <c r="B291" s="17" t="s">
        <v>2140</v>
      </c>
      <c r="C291" s="17" t="s">
        <v>2141</v>
      </c>
      <c r="D291" s="17" t="s">
        <v>531</v>
      </c>
      <c r="E291" s="27" t="s">
        <v>4993</v>
      </c>
      <c r="F291" s="17" t="s">
        <v>125</v>
      </c>
      <c r="G291" s="17" t="s">
        <v>127</v>
      </c>
      <c r="H291" s="17" t="s">
        <v>4807</v>
      </c>
    </row>
    <row r="292" customFormat="false" ht="15" hidden="false" customHeight="false" outlineLevel="0" collapsed="false">
      <c r="A292" s="17" t="s">
        <v>4759</v>
      </c>
      <c r="B292" s="17" t="s">
        <v>2148</v>
      </c>
      <c r="C292" s="17" t="s">
        <v>2149</v>
      </c>
      <c r="D292" s="17" t="s">
        <v>531</v>
      </c>
      <c r="E292" s="27" t="s">
        <v>4994</v>
      </c>
      <c r="F292" s="17" t="s">
        <v>125</v>
      </c>
      <c r="G292" s="17" t="s">
        <v>127</v>
      </c>
      <c r="H292" s="17" t="s">
        <v>4800</v>
      </c>
    </row>
    <row r="293" customFormat="false" ht="15" hidden="false" customHeight="false" outlineLevel="0" collapsed="false">
      <c r="A293" s="17" t="s">
        <v>4754</v>
      </c>
      <c r="B293" s="17" t="s">
        <v>2157</v>
      </c>
      <c r="C293" s="17" t="s">
        <v>2158</v>
      </c>
      <c r="D293" s="17" t="s">
        <v>528</v>
      </c>
      <c r="E293" s="27" t="s">
        <v>4995</v>
      </c>
      <c r="F293" s="17" t="s">
        <v>117</v>
      </c>
      <c r="G293" s="17" t="s">
        <v>4804</v>
      </c>
      <c r="H293" s="17" t="s">
        <v>4800</v>
      </c>
    </row>
    <row r="294" customFormat="false" ht="15" hidden="false" customHeight="false" outlineLevel="0" collapsed="false">
      <c r="A294" s="17" t="s">
        <v>142</v>
      </c>
      <c r="B294" s="17" t="s">
        <v>2159</v>
      </c>
      <c r="C294" s="17" t="s">
        <v>2160</v>
      </c>
      <c r="D294" s="17" t="s">
        <v>528</v>
      </c>
      <c r="E294" s="27" t="s">
        <v>4996</v>
      </c>
      <c r="F294" s="17" t="s">
        <v>112</v>
      </c>
      <c r="G294" s="17" t="s">
        <v>113</v>
      </c>
      <c r="H294" s="17" t="s">
        <v>4800</v>
      </c>
    </row>
    <row r="295" customFormat="false" ht="15" hidden="false" customHeight="false" outlineLevel="0" collapsed="false">
      <c r="A295" s="17" t="s">
        <v>142</v>
      </c>
      <c r="B295" s="17" t="s">
        <v>2159</v>
      </c>
      <c r="C295" s="17" t="s">
        <v>2160</v>
      </c>
      <c r="D295" s="17" t="s">
        <v>528</v>
      </c>
      <c r="E295" s="27" t="s">
        <v>4996</v>
      </c>
      <c r="F295" s="17" t="s">
        <v>121</v>
      </c>
      <c r="G295" s="17" t="s">
        <v>4801</v>
      </c>
      <c r="H295" s="17" t="s">
        <v>4800</v>
      </c>
    </row>
    <row r="296" customFormat="false" ht="15" hidden="false" customHeight="false" outlineLevel="0" collapsed="false">
      <c r="A296" s="17" t="s">
        <v>4771</v>
      </c>
      <c r="B296" s="17" t="s">
        <v>2165</v>
      </c>
      <c r="C296" s="17" t="s">
        <v>2166</v>
      </c>
      <c r="D296" s="17" t="s">
        <v>529</v>
      </c>
      <c r="E296" s="27"/>
      <c r="F296" s="17" t="s">
        <v>109</v>
      </c>
      <c r="G296" s="17" t="s">
        <v>111</v>
      </c>
      <c r="H296" s="17" t="s">
        <v>4807</v>
      </c>
    </row>
    <row r="297" customFormat="false" ht="15" hidden="false" customHeight="false" outlineLevel="0" collapsed="false">
      <c r="A297" s="17" t="s">
        <v>4774</v>
      </c>
      <c r="B297" s="17" t="s">
        <v>2171</v>
      </c>
      <c r="C297" s="17" t="s">
        <v>2173</v>
      </c>
      <c r="D297" s="17" t="s">
        <v>529</v>
      </c>
      <c r="E297" s="27" t="s">
        <v>4997</v>
      </c>
      <c r="F297" s="17" t="s">
        <v>117</v>
      </c>
      <c r="G297" s="17" t="s">
        <v>4804</v>
      </c>
      <c r="H297" s="17" t="s">
        <v>4800</v>
      </c>
    </row>
    <row r="298" customFormat="false" ht="15" hidden="false" customHeight="false" outlineLevel="0" collapsed="false">
      <c r="A298" s="17" t="s">
        <v>4767</v>
      </c>
      <c r="B298" s="17" t="s">
        <v>2176</v>
      </c>
      <c r="C298" s="17" t="s">
        <v>2177</v>
      </c>
      <c r="D298" s="17" t="s">
        <v>526</v>
      </c>
      <c r="E298" s="27"/>
      <c r="F298" s="17" t="s">
        <v>109</v>
      </c>
      <c r="G298" s="17" t="s">
        <v>111</v>
      </c>
      <c r="H298" s="17" t="s">
        <v>4807</v>
      </c>
    </row>
    <row r="299" customFormat="false" ht="15" hidden="false" customHeight="false" outlineLevel="0" collapsed="false">
      <c r="A299" s="17" t="s">
        <v>4767</v>
      </c>
      <c r="B299" s="17" t="s">
        <v>2176</v>
      </c>
      <c r="C299" s="17" t="s">
        <v>2177</v>
      </c>
      <c r="D299" s="17" t="s">
        <v>526</v>
      </c>
      <c r="E299" s="27"/>
      <c r="F299" s="17" t="s">
        <v>4798</v>
      </c>
      <c r="G299" s="17" t="s">
        <v>4799</v>
      </c>
      <c r="H299" s="17" t="s">
        <v>4807</v>
      </c>
    </row>
    <row r="300" customFormat="false" ht="15" hidden="false" customHeight="false" outlineLevel="0" collapsed="false">
      <c r="A300" s="17" t="s">
        <v>4758</v>
      </c>
      <c r="B300" s="17" t="s">
        <v>2186</v>
      </c>
      <c r="C300" s="17" t="s">
        <v>2187</v>
      </c>
      <c r="D300" s="17" t="s">
        <v>531</v>
      </c>
      <c r="E300" s="27"/>
      <c r="F300" s="17" t="s">
        <v>109</v>
      </c>
      <c r="G300" s="17" t="s">
        <v>111</v>
      </c>
      <c r="H300" s="17" t="s">
        <v>4800</v>
      </c>
    </row>
    <row r="301" customFormat="false" ht="15" hidden="false" customHeight="false" outlineLevel="0" collapsed="false">
      <c r="A301" s="17" t="s">
        <v>142</v>
      </c>
      <c r="B301" s="17" t="s">
        <v>2188</v>
      </c>
      <c r="C301" s="17" t="s">
        <v>2189</v>
      </c>
      <c r="D301" s="17" t="s">
        <v>526</v>
      </c>
      <c r="E301" s="27" t="s">
        <v>4998</v>
      </c>
      <c r="F301" s="17" t="s">
        <v>112</v>
      </c>
      <c r="G301" s="17" t="s">
        <v>113</v>
      </c>
      <c r="H301" s="17" t="s">
        <v>4800</v>
      </c>
    </row>
    <row r="302" customFormat="false" ht="15" hidden="false" customHeight="false" outlineLevel="0" collapsed="false">
      <c r="A302" s="17" t="s">
        <v>4762</v>
      </c>
      <c r="B302" s="17" t="s">
        <v>2197</v>
      </c>
      <c r="C302" s="17" t="s">
        <v>2198</v>
      </c>
      <c r="D302" s="17" t="s">
        <v>526</v>
      </c>
      <c r="E302" s="27"/>
      <c r="F302" s="17" t="s">
        <v>109</v>
      </c>
      <c r="G302" s="17" t="s">
        <v>111</v>
      </c>
      <c r="H302" s="17" t="s">
        <v>4800</v>
      </c>
    </row>
    <row r="303" customFormat="false" ht="15" hidden="false" customHeight="false" outlineLevel="0" collapsed="false">
      <c r="A303" s="17" t="s">
        <v>4770</v>
      </c>
      <c r="B303" s="17" t="s">
        <v>2199</v>
      </c>
      <c r="C303" s="17" t="s">
        <v>2200</v>
      </c>
      <c r="D303" s="17" t="s">
        <v>531</v>
      </c>
      <c r="E303" s="27" t="s">
        <v>4999</v>
      </c>
      <c r="F303" s="17" t="s">
        <v>125</v>
      </c>
      <c r="G303" s="17" t="s">
        <v>127</v>
      </c>
      <c r="H303" s="17" t="s">
        <v>4807</v>
      </c>
    </row>
    <row r="304" customFormat="false" ht="15" hidden="false" customHeight="false" outlineLevel="0" collapsed="false">
      <c r="A304" s="17" t="s">
        <v>4757</v>
      </c>
      <c r="B304" s="17" t="s">
        <v>2207</v>
      </c>
      <c r="C304" s="17" t="s">
        <v>2208</v>
      </c>
      <c r="D304" s="17" t="s">
        <v>529</v>
      </c>
      <c r="E304" s="27"/>
      <c r="F304" s="17" t="s">
        <v>109</v>
      </c>
      <c r="G304" s="17" t="s">
        <v>111</v>
      </c>
      <c r="H304" s="17" t="s">
        <v>4807</v>
      </c>
    </row>
    <row r="305" customFormat="false" ht="15" hidden="false" customHeight="false" outlineLevel="0" collapsed="false">
      <c r="A305" s="17" t="s">
        <v>4757</v>
      </c>
      <c r="B305" s="17" t="s">
        <v>2207</v>
      </c>
      <c r="C305" s="17" t="s">
        <v>2208</v>
      </c>
      <c r="D305" s="17" t="s">
        <v>529</v>
      </c>
      <c r="E305" s="27"/>
      <c r="F305" s="17" t="s">
        <v>117</v>
      </c>
      <c r="G305" s="17" t="s">
        <v>4804</v>
      </c>
      <c r="H305" s="17" t="s">
        <v>4800</v>
      </c>
    </row>
    <row r="306" customFormat="false" ht="15" hidden="false" customHeight="false" outlineLevel="0" collapsed="false">
      <c r="A306" s="17" t="s">
        <v>142</v>
      </c>
      <c r="B306" s="17" t="s">
        <v>2211</v>
      </c>
      <c r="C306" s="17" t="s">
        <v>2212</v>
      </c>
      <c r="D306" s="17" t="s">
        <v>530</v>
      </c>
      <c r="E306" s="27" t="s">
        <v>5000</v>
      </c>
      <c r="F306" s="17" t="s">
        <v>112</v>
      </c>
      <c r="G306" s="17" t="s">
        <v>113</v>
      </c>
      <c r="H306" s="17" t="s">
        <v>4800</v>
      </c>
    </row>
    <row r="307" customFormat="false" ht="15" hidden="false" customHeight="false" outlineLevel="0" collapsed="false">
      <c r="A307" s="17" t="s">
        <v>4767</v>
      </c>
      <c r="B307" s="17" t="s">
        <v>2218</v>
      </c>
      <c r="C307" s="17" t="s">
        <v>2219</v>
      </c>
      <c r="D307" s="17" t="s">
        <v>527</v>
      </c>
      <c r="E307" s="27" t="s">
        <v>5001</v>
      </c>
      <c r="F307" s="17" t="s">
        <v>4798</v>
      </c>
      <c r="G307" s="17" t="s">
        <v>4799</v>
      </c>
      <c r="H307" s="17" t="s">
        <v>4807</v>
      </c>
    </row>
    <row r="308" customFormat="false" ht="15" hidden="false" customHeight="false" outlineLevel="0" collapsed="false">
      <c r="A308" s="17" t="s">
        <v>4770</v>
      </c>
      <c r="B308" s="17" t="s">
        <v>2220</v>
      </c>
      <c r="C308" s="17" t="s">
        <v>2221</v>
      </c>
      <c r="D308" s="17" t="s">
        <v>527</v>
      </c>
      <c r="E308" s="27" t="s">
        <v>5002</v>
      </c>
      <c r="F308" s="17" t="s">
        <v>117</v>
      </c>
      <c r="G308" s="17" t="s">
        <v>4804</v>
      </c>
      <c r="H308" s="17" t="s">
        <v>4800</v>
      </c>
    </row>
    <row r="309" customFormat="false" ht="15" hidden="false" customHeight="false" outlineLevel="0" collapsed="false">
      <c r="A309" s="17" t="s">
        <v>4770</v>
      </c>
      <c r="B309" s="17" t="s">
        <v>2220</v>
      </c>
      <c r="C309" s="17" t="s">
        <v>2221</v>
      </c>
      <c r="D309" s="17" t="s">
        <v>527</v>
      </c>
      <c r="E309" s="27" t="s">
        <v>5002</v>
      </c>
      <c r="F309" s="17" t="s">
        <v>123</v>
      </c>
      <c r="G309" s="17" t="s">
        <v>124</v>
      </c>
      <c r="H309" s="17" t="s">
        <v>4807</v>
      </c>
    </row>
    <row r="310" customFormat="false" ht="15" hidden="false" customHeight="false" outlineLevel="0" collapsed="false">
      <c r="A310" s="17" t="s">
        <v>4757</v>
      </c>
      <c r="B310" s="17" t="s">
        <v>2222</v>
      </c>
      <c r="C310" s="17" t="s">
        <v>2223</v>
      </c>
      <c r="D310" s="17" t="s">
        <v>528</v>
      </c>
      <c r="E310" s="27" t="s">
        <v>5003</v>
      </c>
      <c r="F310" s="17" t="s">
        <v>123</v>
      </c>
      <c r="G310" s="17" t="s">
        <v>124</v>
      </c>
      <c r="H310" s="17" t="s">
        <v>4800</v>
      </c>
    </row>
    <row r="311" customFormat="false" ht="15" hidden="false" customHeight="false" outlineLevel="0" collapsed="false">
      <c r="A311" s="17" t="s">
        <v>4759</v>
      </c>
      <c r="B311" s="17" t="s">
        <v>2225</v>
      </c>
      <c r="C311" s="17" t="s">
        <v>1853</v>
      </c>
      <c r="D311" s="17" t="s">
        <v>526</v>
      </c>
      <c r="E311" s="27" t="s">
        <v>5004</v>
      </c>
      <c r="F311" s="17" t="s">
        <v>121</v>
      </c>
      <c r="G311" s="17" t="s">
        <v>4801</v>
      </c>
      <c r="H311" s="17" t="s">
        <v>4800</v>
      </c>
    </row>
    <row r="312" customFormat="false" ht="15" hidden="false" customHeight="false" outlineLevel="0" collapsed="false">
      <c r="A312" s="17" t="s">
        <v>4768</v>
      </c>
      <c r="B312" s="17" t="s">
        <v>2238</v>
      </c>
      <c r="C312" s="17" t="s">
        <v>2239</v>
      </c>
      <c r="D312" s="17" t="s">
        <v>528</v>
      </c>
      <c r="E312" s="27" t="s">
        <v>5005</v>
      </c>
      <c r="F312" s="17" t="s">
        <v>114</v>
      </c>
      <c r="G312" s="17" t="s">
        <v>4812</v>
      </c>
      <c r="H312" s="17" t="s">
        <v>4800</v>
      </c>
    </row>
    <row r="313" customFormat="false" ht="15" hidden="false" customHeight="false" outlineLevel="0" collapsed="false">
      <c r="A313" s="17" t="s">
        <v>4768</v>
      </c>
      <c r="B313" s="17" t="s">
        <v>2240</v>
      </c>
      <c r="C313" s="17" t="s">
        <v>2241</v>
      </c>
      <c r="D313" s="17" t="s">
        <v>526</v>
      </c>
      <c r="E313" s="27" t="s">
        <v>5006</v>
      </c>
      <c r="F313" s="17" t="s">
        <v>114</v>
      </c>
      <c r="G313" s="17" t="s">
        <v>4812</v>
      </c>
      <c r="H313" s="17" t="s">
        <v>4800</v>
      </c>
    </row>
    <row r="314" customFormat="false" ht="15" hidden="false" customHeight="false" outlineLevel="0" collapsed="false">
      <c r="A314" s="17" t="s">
        <v>4768</v>
      </c>
      <c r="B314" s="17" t="s">
        <v>2240</v>
      </c>
      <c r="C314" s="17" t="s">
        <v>2241</v>
      </c>
      <c r="D314" s="17" t="s">
        <v>526</v>
      </c>
      <c r="E314" s="27" t="s">
        <v>5006</v>
      </c>
      <c r="F314" s="17" t="s">
        <v>123</v>
      </c>
      <c r="G314" s="17" t="s">
        <v>124</v>
      </c>
      <c r="H314" s="17" t="s">
        <v>4807</v>
      </c>
    </row>
    <row r="315" customFormat="false" ht="15" hidden="false" customHeight="false" outlineLevel="0" collapsed="false">
      <c r="A315" s="17" t="s">
        <v>4761</v>
      </c>
      <c r="B315" s="17" t="s">
        <v>2242</v>
      </c>
      <c r="C315" s="17" t="s">
        <v>2243</v>
      </c>
      <c r="D315" s="17" t="s">
        <v>527</v>
      </c>
      <c r="E315" s="27" t="s">
        <v>5007</v>
      </c>
      <c r="F315" s="17" t="s">
        <v>117</v>
      </c>
      <c r="G315" s="17" t="s">
        <v>4804</v>
      </c>
      <c r="H315" s="17" t="s">
        <v>4800</v>
      </c>
    </row>
    <row r="316" customFormat="false" ht="15" hidden="false" customHeight="false" outlineLevel="0" collapsed="false">
      <c r="A316" s="17" t="s">
        <v>4782</v>
      </c>
      <c r="B316" s="17" t="s">
        <v>2256</v>
      </c>
      <c r="C316" s="17" t="s">
        <v>2257</v>
      </c>
      <c r="D316" s="17" t="s">
        <v>528</v>
      </c>
      <c r="E316" s="27" t="s">
        <v>5008</v>
      </c>
      <c r="F316" s="17" t="s">
        <v>114</v>
      </c>
      <c r="G316" s="17" t="s">
        <v>4812</v>
      </c>
      <c r="H316" s="17" t="s">
        <v>4800</v>
      </c>
    </row>
    <row r="317" customFormat="false" ht="15" hidden="false" customHeight="false" outlineLevel="0" collapsed="false">
      <c r="A317" s="17" t="s">
        <v>4757</v>
      </c>
      <c r="B317" s="17" t="s">
        <v>2264</v>
      </c>
      <c r="C317" s="17" t="s">
        <v>2265</v>
      </c>
      <c r="D317" s="17" t="s">
        <v>530</v>
      </c>
      <c r="E317" s="27" t="s">
        <v>4846</v>
      </c>
      <c r="F317" s="17" t="s">
        <v>109</v>
      </c>
      <c r="G317" s="17" t="s">
        <v>111</v>
      </c>
      <c r="H317" s="17" t="s">
        <v>4800</v>
      </c>
    </row>
    <row r="318" customFormat="false" ht="15" hidden="false" customHeight="false" outlineLevel="0" collapsed="false">
      <c r="A318" s="17" t="s">
        <v>4767</v>
      </c>
      <c r="B318" s="17" t="s">
        <v>2266</v>
      </c>
      <c r="C318" s="17" t="s">
        <v>2267</v>
      </c>
      <c r="D318" s="17" t="s">
        <v>527</v>
      </c>
      <c r="E318" s="27" t="s">
        <v>5009</v>
      </c>
      <c r="F318" s="17" t="s">
        <v>117</v>
      </c>
      <c r="G318" s="17" t="s">
        <v>4804</v>
      </c>
      <c r="H318" s="17" t="s">
        <v>4800</v>
      </c>
    </row>
    <row r="319" customFormat="false" ht="15" hidden="false" customHeight="false" outlineLevel="0" collapsed="false">
      <c r="A319" s="17" t="s">
        <v>4760</v>
      </c>
      <c r="B319" s="17" t="s">
        <v>2272</v>
      </c>
      <c r="C319" s="17" t="s">
        <v>2273</v>
      </c>
      <c r="D319" s="17" t="s">
        <v>531</v>
      </c>
      <c r="E319" s="27"/>
      <c r="F319" s="17" t="s">
        <v>109</v>
      </c>
      <c r="G319" s="17" t="s">
        <v>111</v>
      </c>
      <c r="H319" s="17" t="s">
        <v>4807</v>
      </c>
    </row>
    <row r="320" customFormat="false" ht="15" hidden="false" customHeight="false" outlineLevel="0" collapsed="false">
      <c r="A320" s="17" t="s">
        <v>4770</v>
      </c>
      <c r="B320" s="17" t="s">
        <v>2281</v>
      </c>
      <c r="C320" s="17" t="s">
        <v>2282</v>
      </c>
      <c r="D320" s="17" t="s">
        <v>531</v>
      </c>
      <c r="E320" s="27"/>
      <c r="F320" s="17" t="s">
        <v>109</v>
      </c>
      <c r="G320" s="17" t="s">
        <v>111</v>
      </c>
      <c r="H320" s="17" t="s">
        <v>4807</v>
      </c>
    </row>
    <row r="321" customFormat="false" ht="15" hidden="false" customHeight="false" outlineLevel="0" collapsed="false">
      <c r="A321" s="17" t="s">
        <v>142</v>
      </c>
      <c r="B321" s="17" t="s">
        <v>2287</v>
      </c>
      <c r="C321" s="17" t="s">
        <v>2289</v>
      </c>
      <c r="D321" s="17" t="s">
        <v>530</v>
      </c>
      <c r="E321" s="27" t="s">
        <v>4846</v>
      </c>
      <c r="F321" s="17" t="s">
        <v>109</v>
      </c>
      <c r="G321" s="17" t="s">
        <v>111</v>
      </c>
      <c r="H321" s="17" t="s">
        <v>4807</v>
      </c>
    </row>
    <row r="322" customFormat="false" ht="15" hidden="false" customHeight="false" outlineLevel="0" collapsed="false">
      <c r="A322" s="17" t="s">
        <v>142</v>
      </c>
      <c r="B322" s="17" t="s">
        <v>2287</v>
      </c>
      <c r="C322" s="17" t="s">
        <v>2289</v>
      </c>
      <c r="D322" s="17" t="s">
        <v>530</v>
      </c>
      <c r="E322" s="27" t="s">
        <v>4846</v>
      </c>
      <c r="F322" s="17" t="s">
        <v>112</v>
      </c>
      <c r="G322" s="17" t="s">
        <v>113</v>
      </c>
      <c r="H322" s="17" t="s">
        <v>4800</v>
      </c>
    </row>
    <row r="323" customFormat="false" ht="15" hidden="false" customHeight="false" outlineLevel="0" collapsed="false">
      <c r="A323" s="17" t="s">
        <v>4766</v>
      </c>
      <c r="B323" s="17" t="s">
        <v>2298</v>
      </c>
      <c r="C323" s="17" t="s">
        <v>2299</v>
      </c>
      <c r="D323" s="17" t="s">
        <v>526</v>
      </c>
      <c r="E323" s="27"/>
      <c r="F323" s="17" t="s">
        <v>109</v>
      </c>
      <c r="G323" s="17" t="s">
        <v>111</v>
      </c>
      <c r="H323" s="17" t="s">
        <v>4807</v>
      </c>
    </row>
    <row r="324" customFormat="false" ht="15" hidden="false" customHeight="false" outlineLevel="0" collapsed="false">
      <c r="A324" s="17" t="s">
        <v>4766</v>
      </c>
      <c r="B324" s="17" t="s">
        <v>2298</v>
      </c>
      <c r="C324" s="17" t="s">
        <v>2299</v>
      </c>
      <c r="D324" s="17" t="s">
        <v>526</v>
      </c>
      <c r="E324" s="27"/>
      <c r="F324" s="17" t="s">
        <v>4798</v>
      </c>
      <c r="G324" s="17" t="s">
        <v>4799</v>
      </c>
      <c r="H324" s="17" t="s">
        <v>4807</v>
      </c>
    </row>
    <row r="325" customFormat="false" ht="15" hidden="false" customHeight="false" outlineLevel="0" collapsed="false">
      <c r="A325" s="17" t="s">
        <v>4759</v>
      </c>
      <c r="B325" s="17" t="s">
        <v>2303</v>
      </c>
      <c r="C325" s="17" t="s">
        <v>2305</v>
      </c>
      <c r="D325" s="17" t="s">
        <v>531</v>
      </c>
      <c r="E325" s="27" t="s">
        <v>4846</v>
      </c>
      <c r="F325" s="17" t="s">
        <v>109</v>
      </c>
      <c r="G325" s="17" t="s">
        <v>111</v>
      </c>
      <c r="H325" s="17" t="s">
        <v>4807</v>
      </c>
    </row>
    <row r="326" customFormat="false" ht="15" hidden="false" customHeight="false" outlineLevel="0" collapsed="false">
      <c r="A326" s="17" t="s">
        <v>142</v>
      </c>
      <c r="B326" s="17" t="s">
        <v>2306</v>
      </c>
      <c r="C326" s="17" t="s">
        <v>2307</v>
      </c>
      <c r="D326" s="17" t="s">
        <v>526</v>
      </c>
      <c r="E326" s="27" t="s">
        <v>5010</v>
      </c>
      <c r="F326" s="17" t="s">
        <v>112</v>
      </c>
      <c r="G326" s="17" t="s">
        <v>113</v>
      </c>
      <c r="H326" s="17" t="s">
        <v>4800</v>
      </c>
    </row>
    <row r="327" customFormat="false" ht="15" hidden="false" customHeight="false" outlineLevel="0" collapsed="false">
      <c r="A327" s="17" t="s">
        <v>4786</v>
      </c>
      <c r="B327" s="17" t="s">
        <v>2312</v>
      </c>
      <c r="C327" s="17" t="s">
        <v>2313</v>
      </c>
      <c r="D327" s="17" t="s">
        <v>531</v>
      </c>
      <c r="E327" s="27" t="s">
        <v>4846</v>
      </c>
      <c r="F327" s="17" t="s">
        <v>109</v>
      </c>
      <c r="G327" s="17" t="s">
        <v>111</v>
      </c>
      <c r="H327" s="17" t="s">
        <v>4807</v>
      </c>
    </row>
    <row r="328" customFormat="false" ht="15" hidden="false" customHeight="false" outlineLevel="0" collapsed="false">
      <c r="A328" s="17" t="s">
        <v>4758</v>
      </c>
      <c r="B328" s="17" t="s">
        <v>2319</v>
      </c>
      <c r="C328" s="17" t="s">
        <v>2320</v>
      </c>
      <c r="D328" s="17" t="s">
        <v>531</v>
      </c>
      <c r="E328" s="27" t="s">
        <v>5011</v>
      </c>
      <c r="F328" s="17" t="s">
        <v>125</v>
      </c>
      <c r="G328" s="17" t="s">
        <v>127</v>
      </c>
      <c r="H328" s="17" t="s">
        <v>4800</v>
      </c>
    </row>
    <row r="329" customFormat="false" ht="15" hidden="false" customHeight="false" outlineLevel="0" collapsed="false">
      <c r="A329" s="17" t="s">
        <v>4760</v>
      </c>
      <c r="B329" s="17" t="s">
        <v>2321</v>
      </c>
      <c r="C329" s="17" t="s">
        <v>2322</v>
      </c>
      <c r="D329" s="17" t="s">
        <v>528</v>
      </c>
      <c r="E329" s="27" t="s">
        <v>4846</v>
      </c>
      <c r="F329" s="17" t="s">
        <v>109</v>
      </c>
      <c r="G329" s="17" t="s">
        <v>111</v>
      </c>
      <c r="H329" s="17" t="s">
        <v>4800</v>
      </c>
    </row>
    <row r="330" customFormat="false" ht="15" hidden="false" customHeight="false" outlineLevel="0" collapsed="false">
      <c r="A330" s="17" t="s">
        <v>4782</v>
      </c>
      <c r="B330" s="17" t="s">
        <v>2327</v>
      </c>
      <c r="C330" s="17" t="s">
        <v>2277</v>
      </c>
      <c r="D330" s="17" t="s">
        <v>527</v>
      </c>
      <c r="E330" s="27"/>
      <c r="F330" s="17" t="s">
        <v>109</v>
      </c>
      <c r="G330" s="17" t="s">
        <v>111</v>
      </c>
      <c r="H330" s="17" t="s">
        <v>4800</v>
      </c>
    </row>
    <row r="331" customFormat="false" ht="15" hidden="false" customHeight="false" outlineLevel="0" collapsed="false">
      <c r="A331" s="17" t="s">
        <v>4782</v>
      </c>
      <c r="B331" s="17" t="s">
        <v>2327</v>
      </c>
      <c r="C331" s="17" t="s">
        <v>2277</v>
      </c>
      <c r="D331" s="17" t="s">
        <v>527</v>
      </c>
      <c r="E331" s="27"/>
      <c r="F331" s="17" t="s">
        <v>114</v>
      </c>
      <c r="G331" s="17" t="s">
        <v>4812</v>
      </c>
      <c r="H331" s="17" t="s">
        <v>4800</v>
      </c>
    </row>
    <row r="332" customFormat="false" ht="15" hidden="false" customHeight="false" outlineLevel="0" collapsed="false">
      <c r="A332" s="17" t="s">
        <v>4782</v>
      </c>
      <c r="B332" s="17" t="s">
        <v>2334</v>
      </c>
      <c r="C332" s="17" t="s">
        <v>2335</v>
      </c>
      <c r="D332" s="17" t="s">
        <v>528</v>
      </c>
      <c r="E332" s="27" t="s">
        <v>5012</v>
      </c>
      <c r="F332" s="17" t="s">
        <v>114</v>
      </c>
      <c r="G332" s="17" t="s">
        <v>4812</v>
      </c>
      <c r="H332" s="17" t="s">
        <v>4800</v>
      </c>
    </row>
    <row r="333" customFormat="false" ht="15" hidden="false" customHeight="false" outlineLevel="0" collapsed="false">
      <c r="A333" s="17" t="s">
        <v>4782</v>
      </c>
      <c r="B333" s="17" t="s">
        <v>2334</v>
      </c>
      <c r="C333" s="17" t="s">
        <v>2335</v>
      </c>
      <c r="D333" s="17" t="s">
        <v>528</v>
      </c>
      <c r="E333" s="27" t="s">
        <v>5012</v>
      </c>
      <c r="F333" s="17" t="s">
        <v>4798</v>
      </c>
      <c r="G333" s="17" t="s">
        <v>4799</v>
      </c>
      <c r="H333" s="17" t="s">
        <v>4807</v>
      </c>
    </row>
    <row r="334" customFormat="false" ht="15" hidden="false" customHeight="false" outlineLevel="0" collapsed="false">
      <c r="A334" s="17" t="s">
        <v>4768</v>
      </c>
      <c r="B334" s="17" t="s">
        <v>2345</v>
      </c>
      <c r="C334" s="17" t="s">
        <v>2346</v>
      </c>
      <c r="D334" s="17" t="s">
        <v>528</v>
      </c>
      <c r="E334" s="27" t="s">
        <v>5013</v>
      </c>
      <c r="F334" s="17" t="s">
        <v>114</v>
      </c>
      <c r="G334" s="17" t="s">
        <v>4812</v>
      </c>
      <c r="H334" s="17" t="s">
        <v>4800</v>
      </c>
    </row>
    <row r="335" customFormat="false" ht="15" hidden="false" customHeight="false" outlineLevel="0" collapsed="false">
      <c r="A335" s="17" t="s">
        <v>4777</v>
      </c>
      <c r="B335" s="17" t="s">
        <v>2350</v>
      </c>
      <c r="C335" s="17" t="s">
        <v>2351</v>
      </c>
      <c r="D335" s="17" t="s">
        <v>526</v>
      </c>
      <c r="E335" s="27" t="s">
        <v>5014</v>
      </c>
      <c r="F335" s="17" t="s">
        <v>117</v>
      </c>
      <c r="G335" s="17" t="s">
        <v>4804</v>
      </c>
      <c r="H335" s="17" t="s">
        <v>4800</v>
      </c>
    </row>
    <row r="336" customFormat="false" ht="15" hidden="false" customHeight="false" outlineLevel="0" collapsed="false">
      <c r="A336" s="17" t="s">
        <v>4768</v>
      </c>
      <c r="B336" s="17" t="s">
        <v>2353</v>
      </c>
      <c r="C336" s="17" t="s">
        <v>2354</v>
      </c>
      <c r="D336" s="17" t="s">
        <v>528</v>
      </c>
      <c r="E336" s="27" t="s">
        <v>5015</v>
      </c>
      <c r="F336" s="17" t="s">
        <v>114</v>
      </c>
      <c r="G336" s="17" t="s">
        <v>4812</v>
      </c>
      <c r="H336" s="17" t="s">
        <v>4800</v>
      </c>
    </row>
    <row r="337" customFormat="false" ht="15" hidden="false" customHeight="false" outlineLevel="0" collapsed="false">
      <c r="A337" s="17" t="s">
        <v>4776</v>
      </c>
      <c r="B337" s="17" t="s">
        <v>2355</v>
      </c>
      <c r="C337" s="17" t="s">
        <v>2356</v>
      </c>
      <c r="D337" s="17" t="s">
        <v>528</v>
      </c>
      <c r="E337" s="27" t="s">
        <v>5016</v>
      </c>
      <c r="F337" s="17" t="s">
        <v>123</v>
      </c>
      <c r="G337" s="17" t="s">
        <v>124</v>
      </c>
      <c r="H337" s="17" t="s">
        <v>4807</v>
      </c>
    </row>
    <row r="338" customFormat="false" ht="15" hidden="false" customHeight="false" outlineLevel="0" collapsed="false">
      <c r="A338" s="17" t="s">
        <v>4768</v>
      </c>
      <c r="B338" s="17" t="s">
        <v>2357</v>
      </c>
      <c r="C338" s="17" t="s">
        <v>2358</v>
      </c>
      <c r="D338" s="17" t="s">
        <v>527</v>
      </c>
      <c r="E338" s="27" t="s">
        <v>5017</v>
      </c>
      <c r="F338" s="17" t="s">
        <v>114</v>
      </c>
      <c r="G338" s="17" t="s">
        <v>4812</v>
      </c>
      <c r="H338" s="17" t="s">
        <v>4800</v>
      </c>
    </row>
    <row r="339" customFormat="false" ht="15" hidden="false" customHeight="false" outlineLevel="0" collapsed="false">
      <c r="A339" s="17" t="s">
        <v>4768</v>
      </c>
      <c r="B339" s="17" t="s">
        <v>2357</v>
      </c>
      <c r="C339" s="17" t="s">
        <v>2358</v>
      </c>
      <c r="D339" s="17" t="s">
        <v>527</v>
      </c>
      <c r="E339" s="27" t="s">
        <v>5017</v>
      </c>
      <c r="F339" s="17" t="s">
        <v>121</v>
      </c>
      <c r="G339" s="17" t="s">
        <v>4801</v>
      </c>
      <c r="H339" s="17" t="s">
        <v>4800</v>
      </c>
    </row>
    <row r="340" customFormat="false" ht="15" hidden="false" customHeight="false" outlineLevel="0" collapsed="false">
      <c r="A340" s="17" t="s">
        <v>4784</v>
      </c>
      <c r="B340" s="17" t="s">
        <v>2359</v>
      </c>
      <c r="C340" s="17" t="s">
        <v>2360</v>
      </c>
      <c r="D340" s="17" t="s">
        <v>531</v>
      </c>
      <c r="E340" s="27" t="s">
        <v>5018</v>
      </c>
      <c r="F340" s="17" t="s">
        <v>125</v>
      </c>
      <c r="G340" s="17" t="s">
        <v>127</v>
      </c>
      <c r="H340" s="17" t="s">
        <v>4807</v>
      </c>
    </row>
    <row r="341" customFormat="false" ht="15" hidden="false" customHeight="false" outlineLevel="0" collapsed="false">
      <c r="A341" s="17" t="s">
        <v>4759</v>
      </c>
      <c r="B341" s="17" t="s">
        <v>2361</v>
      </c>
      <c r="C341" s="17" t="s">
        <v>2362</v>
      </c>
      <c r="D341" s="17" t="s">
        <v>526</v>
      </c>
      <c r="E341" s="27" t="s">
        <v>5019</v>
      </c>
      <c r="F341" s="17" t="s">
        <v>4798</v>
      </c>
      <c r="G341" s="17" t="s">
        <v>4799</v>
      </c>
      <c r="H341" s="17" t="s">
        <v>4807</v>
      </c>
    </row>
    <row r="342" customFormat="false" ht="15" hidden="false" customHeight="false" outlineLevel="0" collapsed="false">
      <c r="A342" s="17" t="s">
        <v>4754</v>
      </c>
      <c r="B342" s="17" t="s">
        <v>2365</v>
      </c>
      <c r="C342" s="17" t="s">
        <v>2366</v>
      </c>
      <c r="D342" s="17" t="s">
        <v>526</v>
      </c>
      <c r="E342" s="27" t="s">
        <v>5020</v>
      </c>
      <c r="F342" s="17" t="s">
        <v>4798</v>
      </c>
      <c r="G342" s="17" t="s">
        <v>4799</v>
      </c>
      <c r="H342" s="17" t="s">
        <v>4800</v>
      </c>
    </row>
    <row r="343" customFormat="false" ht="15" hidden="false" customHeight="false" outlineLevel="0" collapsed="false">
      <c r="A343" s="17" t="s">
        <v>142</v>
      </c>
      <c r="B343" s="17" t="s">
        <v>2367</v>
      </c>
      <c r="C343" s="17" t="s">
        <v>2369</v>
      </c>
      <c r="D343" s="17" t="s">
        <v>531</v>
      </c>
      <c r="E343" s="27" t="s">
        <v>5021</v>
      </c>
      <c r="F343" s="17" t="s">
        <v>112</v>
      </c>
      <c r="G343" s="17" t="s">
        <v>113</v>
      </c>
      <c r="H343" s="17" t="s">
        <v>4800</v>
      </c>
    </row>
    <row r="344" customFormat="false" ht="15" hidden="false" customHeight="false" outlineLevel="0" collapsed="false">
      <c r="A344" s="17" t="s">
        <v>142</v>
      </c>
      <c r="B344" s="17" t="s">
        <v>2367</v>
      </c>
      <c r="C344" s="17" t="s">
        <v>2369</v>
      </c>
      <c r="D344" s="17" t="s">
        <v>531</v>
      </c>
      <c r="E344" s="27" t="s">
        <v>5021</v>
      </c>
      <c r="F344" s="17" t="s">
        <v>125</v>
      </c>
      <c r="G344" s="17" t="s">
        <v>127</v>
      </c>
      <c r="H344" s="17" t="s">
        <v>4807</v>
      </c>
    </row>
    <row r="345" customFormat="false" ht="15" hidden="false" customHeight="false" outlineLevel="0" collapsed="false">
      <c r="A345" s="17" t="s">
        <v>4776</v>
      </c>
      <c r="B345" s="17" t="s">
        <v>2375</v>
      </c>
      <c r="C345" s="17" t="s">
        <v>2376</v>
      </c>
      <c r="D345" s="17" t="s">
        <v>527</v>
      </c>
      <c r="E345" s="27" t="s">
        <v>5022</v>
      </c>
      <c r="F345" s="17" t="s">
        <v>123</v>
      </c>
      <c r="G345" s="17" t="s">
        <v>124</v>
      </c>
      <c r="H345" s="17" t="s">
        <v>4800</v>
      </c>
    </row>
    <row r="346" customFormat="false" ht="15" hidden="false" customHeight="false" outlineLevel="0" collapsed="false">
      <c r="A346" s="17" t="s">
        <v>4770</v>
      </c>
      <c r="B346" s="17" t="s">
        <v>2378</v>
      </c>
      <c r="C346" s="17" t="s">
        <v>2379</v>
      </c>
      <c r="D346" s="17" t="s">
        <v>529</v>
      </c>
      <c r="E346" s="27" t="s">
        <v>5023</v>
      </c>
      <c r="F346" s="17" t="s">
        <v>117</v>
      </c>
      <c r="G346" s="17" t="s">
        <v>4804</v>
      </c>
      <c r="H346" s="17" t="s">
        <v>4800</v>
      </c>
    </row>
    <row r="347" customFormat="false" ht="15" hidden="false" customHeight="false" outlineLevel="0" collapsed="false">
      <c r="A347" s="17" t="s">
        <v>4777</v>
      </c>
      <c r="B347" s="17" t="s">
        <v>2380</v>
      </c>
      <c r="C347" s="17" t="s">
        <v>2381</v>
      </c>
      <c r="D347" s="17" t="s">
        <v>530</v>
      </c>
      <c r="E347" s="27"/>
      <c r="F347" s="17" t="s">
        <v>109</v>
      </c>
      <c r="G347" s="17" t="s">
        <v>111</v>
      </c>
      <c r="H347" s="17" t="s">
        <v>4807</v>
      </c>
    </row>
    <row r="348" customFormat="false" ht="15" hidden="false" customHeight="false" outlineLevel="0" collapsed="false">
      <c r="A348" s="17" t="s">
        <v>4768</v>
      </c>
      <c r="B348" s="17" t="s">
        <v>2382</v>
      </c>
      <c r="C348" s="17" t="s">
        <v>2383</v>
      </c>
      <c r="D348" s="17" t="s">
        <v>528</v>
      </c>
      <c r="E348" s="27" t="s">
        <v>5024</v>
      </c>
      <c r="F348" s="17" t="s">
        <v>114</v>
      </c>
      <c r="G348" s="17" t="s">
        <v>4812</v>
      </c>
      <c r="H348" s="17" t="s">
        <v>4800</v>
      </c>
    </row>
    <row r="349" customFormat="false" ht="15" hidden="false" customHeight="false" outlineLevel="0" collapsed="false">
      <c r="A349" s="17" t="s">
        <v>4758</v>
      </c>
      <c r="B349" s="17" t="s">
        <v>2384</v>
      </c>
      <c r="C349" s="17" t="s">
        <v>2297</v>
      </c>
      <c r="D349" s="17" t="s">
        <v>527</v>
      </c>
      <c r="E349" s="27"/>
      <c r="F349" s="17" t="s">
        <v>109</v>
      </c>
      <c r="G349" s="17" t="s">
        <v>111</v>
      </c>
      <c r="H349" s="17" t="s">
        <v>4800</v>
      </c>
    </row>
    <row r="350" customFormat="false" ht="15" hidden="false" customHeight="false" outlineLevel="0" collapsed="false">
      <c r="A350" s="17" t="s">
        <v>4782</v>
      </c>
      <c r="B350" s="17" t="s">
        <v>2397</v>
      </c>
      <c r="C350" s="17" t="s">
        <v>2398</v>
      </c>
      <c r="D350" s="17" t="s">
        <v>526</v>
      </c>
      <c r="E350" s="27" t="s">
        <v>5025</v>
      </c>
      <c r="F350" s="17" t="s">
        <v>114</v>
      </c>
      <c r="G350" s="17" t="s">
        <v>4812</v>
      </c>
      <c r="H350" s="17" t="s">
        <v>4800</v>
      </c>
    </row>
    <row r="351" customFormat="false" ht="15" hidden="false" customHeight="false" outlineLevel="0" collapsed="false">
      <c r="A351" s="17" t="s">
        <v>4782</v>
      </c>
      <c r="B351" s="17" t="s">
        <v>2397</v>
      </c>
      <c r="C351" s="17" t="s">
        <v>2398</v>
      </c>
      <c r="D351" s="17" t="s">
        <v>526</v>
      </c>
      <c r="E351" s="27" t="s">
        <v>5025</v>
      </c>
      <c r="F351" s="17" t="s">
        <v>4798</v>
      </c>
      <c r="G351" s="17" t="s">
        <v>4799</v>
      </c>
      <c r="H351" s="17" t="s">
        <v>4807</v>
      </c>
    </row>
    <row r="352" customFormat="false" ht="15" hidden="false" customHeight="false" outlineLevel="0" collapsed="false">
      <c r="A352" s="17" t="s">
        <v>142</v>
      </c>
      <c r="B352" s="17" t="s">
        <v>2405</v>
      </c>
      <c r="C352" s="17" t="s">
        <v>2406</v>
      </c>
      <c r="D352" s="17" t="s">
        <v>531</v>
      </c>
      <c r="E352" s="27" t="s">
        <v>5026</v>
      </c>
      <c r="F352" s="17" t="s">
        <v>112</v>
      </c>
      <c r="G352" s="17" t="s">
        <v>113</v>
      </c>
      <c r="H352" s="17" t="s">
        <v>4800</v>
      </c>
    </row>
    <row r="353" customFormat="false" ht="15" hidden="false" customHeight="false" outlineLevel="0" collapsed="false">
      <c r="A353" s="17" t="s">
        <v>4770</v>
      </c>
      <c r="B353" s="17" t="s">
        <v>2407</v>
      </c>
      <c r="C353" s="17" t="s">
        <v>2408</v>
      </c>
      <c r="D353" s="17" t="s">
        <v>527</v>
      </c>
      <c r="E353" s="27" t="s">
        <v>4846</v>
      </c>
      <c r="F353" s="17" t="s">
        <v>109</v>
      </c>
      <c r="G353" s="17" t="s">
        <v>111</v>
      </c>
      <c r="H353" s="17" t="s">
        <v>4800</v>
      </c>
    </row>
    <row r="354" customFormat="false" ht="15" hidden="false" customHeight="false" outlineLevel="0" collapsed="false">
      <c r="A354" s="17" t="s">
        <v>4770</v>
      </c>
      <c r="B354" s="17" t="s">
        <v>2407</v>
      </c>
      <c r="C354" s="17" t="s">
        <v>2408</v>
      </c>
      <c r="D354" s="17" t="s">
        <v>527</v>
      </c>
      <c r="E354" s="27" t="s">
        <v>4846</v>
      </c>
      <c r="F354" s="17" t="s">
        <v>4798</v>
      </c>
      <c r="G354" s="17" t="s">
        <v>4799</v>
      </c>
      <c r="H354" s="17" t="s">
        <v>4800</v>
      </c>
    </row>
    <row r="355" customFormat="false" ht="15" hidden="false" customHeight="false" outlineLevel="0" collapsed="false">
      <c r="A355" s="17" t="s">
        <v>4771</v>
      </c>
      <c r="B355" s="17" t="s">
        <v>2438</v>
      </c>
      <c r="C355" s="17" t="s">
        <v>2440</v>
      </c>
      <c r="D355" s="17" t="s">
        <v>530</v>
      </c>
      <c r="E355" s="27"/>
      <c r="F355" s="17" t="s">
        <v>109</v>
      </c>
      <c r="G355" s="17" t="s">
        <v>111</v>
      </c>
      <c r="H355" s="17" t="s">
        <v>4807</v>
      </c>
    </row>
    <row r="356" customFormat="false" ht="15" hidden="false" customHeight="false" outlineLevel="0" collapsed="false">
      <c r="A356" s="17" t="s">
        <v>4762</v>
      </c>
      <c r="B356" s="17" t="s">
        <v>2450</v>
      </c>
      <c r="C356" s="17" t="s">
        <v>2451</v>
      </c>
      <c r="D356" s="17" t="s">
        <v>527</v>
      </c>
      <c r="E356" s="27" t="s">
        <v>5027</v>
      </c>
      <c r="F356" s="17" t="s">
        <v>117</v>
      </c>
      <c r="G356" s="17" t="s">
        <v>4804</v>
      </c>
      <c r="H356" s="17" t="s">
        <v>4800</v>
      </c>
    </row>
    <row r="357" customFormat="false" ht="15" hidden="false" customHeight="false" outlineLevel="0" collapsed="false">
      <c r="A357" s="17" t="s">
        <v>4762</v>
      </c>
      <c r="B357" s="17" t="s">
        <v>2450</v>
      </c>
      <c r="C357" s="17" t="s">
        <v>2451</v>
      </c>
      <c r="D357" s="17" t="s">
        <v>527</v>
      </c>
      <c r="E357" s="27" t="s">
        <v>5027</v>
      </c>
      <c r="F357" s="17" t="s">
        <v>4798</v>
      </c>
      <c r="G357" s="17" t="s">
        <v>4799</v>
      </c>
      <c r="H357" s="17" t="s">
        <v>4800</v>
      </c>
    </row>
    <row r="358" customFormat="false" ht="15" hidden="false" customHeight="false" outlineLevel="0" collapsed="false">
      <c r="A358" s="17" t="s">
        <v>4754</v>
      </c>
      <c r="B358" s="17" t="s">
        <v>2456</v>
      </c>
      <c r="C358" s="17" t="s">
        <v>2457</v>
      </c>
      <c r="D358" s="17" t="s">
        <v>527</v>
      </c>
      <c r="E358" s="27" t="s">
        <v>5028</v>
      </c>
      <c r="F358" s="17" t="s">
        <v>4798</v>
      </c>
      <c r="G358" s="17" t="s">
        <v>4799</v>
      </c>
      <c r="H358" s="17" t="s">
        <v>4800</v>
      </c>
    </row>
    <row r="359" customFormat="false" ht="15" hidden="false" customHeight="false" outlineLevel="0" collapsed="false">
      <c r="A359" s="17" t="s">
        <v>4774</v>
      </c>
      <c r="B359" s="17" t="s">
        <v>2463</v>
      </c>
      <c r="C359" s="17" t="s">
        <v>2464</v>
      </c>
      <c r="D359" s="17" t="s">
        <v>526</v>
      </c>
      <c r="E359" s="27" t="s">
        <v>5029</v>
      </c>
      <c r="F359" s="17" t="s">
        <v>123</v>
      </c>
      <c r="G359" s="17" t="s">
        <v>124</v>
      </c>
      <c r="H359" s="17" t="s">
        <v>4807</v>
      </c>
    </row>
    <row r="360" customFormat="false" ht="15" hidden="false" customHeight="false" outlineLevel="0" collapsed="false">
      <c r="A360" s="17" t="s">
        <v>142</v>
      </c>
      <c r="B360" s="17" t="s">
        <v>2472</v>
      </c>
      <c r="C360" s="17" t="s">
        <v>2473</v>
      </c>
      <c r="D360" s="17" t="s">
        <v>529</v>
      </c>
      <c r="E360" s="27"/>
      <c r="F360" s="17" t="s">
        <v>109</v>
      </c>
      <c r="G360" s="17" t="s">
        <v>111</v>
      </c>
      <c r="H360" s="17" t="s">
        <v>4800</v>
      </c>
    </row>
    <row r="361" customFormat="false" ht="15" hidden="false" customHeight="false" outlineLevel="0" collapsed="false">
      <c r="A361" s="17" t="s">
        <v>142</v>
      </c>
      <c r="B361" s="17" t="s">
        <v>2472</v>
      </c>
      <c r="C361" s="17" t="s">
        <v>2473</v>
      </c>
      <c r="D361" s="17" t="s">
        <v>529</v>
      </c>
      <c r="E361" s="27"/>
      <c r="F361" s="17" t="s">
        <v>112</v>
      </c>
      <c r="G361" s="17" t="s">
        <v>113</v>
      </c>
      <c r="H361" s="17" t="s">
        <v>4800</v>
      </c>
    </row>
    <row r="362" customFormat="false" ht="15" hidden="false" customHeight="false" outlineLevel="0" collapsed="false">
      <c r="A362" s="17" t="s">
        <v>142</v>
      </c>
      <c r="B362" s="17" t="s">
        <v>2472</v>
      </c>
      <c r="C362" s="17" t="s">
        <v>2473</v>
      </c>
      <c r="D362" s="17" t="s">
        <v>529</v>
      </c>
      <c r="E362" s="27"/>
      <c r="F362" s="17" t="s">
        <v>117</v>
      </c>
      <c r="G362" s="17" t="s">
        <v>4804</v>
      </c>
      <c r="H362" s="17" t="s">
        <v>4800</v>
      </c>
    </row>
    <row r="363" customFormat="false" ht="15" hidden="false" customHeight="false" outlineLevel="0" collapsed="false">
      <c r="A363" s="17" t="s">
        <v>4777</v>
      </c>
      <c r="B363" s="17" t="s">
        <v>2481</v>
      </c>
      <c r="C363" s="17" t="s">
        <v>2482</v>
      </c>
      <c r="D363" s="17" t="s">
        <v>531</v>
      </c>
      <c r="E363" s="27" t="s">
        <v>5030</v>
      </c>
      <c r="F363" s="17" t="s">
        <v>125</v>
      </c>
      <c r="G363" s="17" t="s">
        <v>127</v>
      </c>
      <c r="H363" s="17" t="s">
        <v>4800</v>
      </c>
    </row>
    <row r="364" customFormat="false" ht="15" hidden="false" customHeight="false" outlineLevel="0" collapsed="false">
      <c r="A364" s="17" t="s">
        <v>4758</v>
      </c>
      <c r="B364" s="17" t="s">
        <v>2487</v>
      </c>
      <c r="C364" s="17" t="s">
        <v>2489</v>
      </c>
      <c r="D364" s="17" t="s">
        <v>527</v>
      </c>
      <c r="E364" s="27" t="s">
        <v>5031</v>
      </c>
      <c r="F364" s="17" t="s">
        <v>117</v>
      </c>
      <c r="G364" s="17" t="s">
        <v>4804</v>
      </c>
      <c r="H364" s="17" t="s">
        <v>4800</v>
      </c>
    </row>
    <row r="365" customFormat="false" ht="15" hidden="false" customHeight="false" outlineLevel="0" collapsed="false">
      <c r="A365" s="17" t="s">
        <v>4778</v>
      </c>
      <c r="B365" s="17" t="s">
        <v>2490</v>
      </c>
      <c r="C365" s="17" t="s">
        <v>2491</v>
      </c>
      <c r="D365" s="17" t="s">
        <v>527</v>
      </c>
      <c r="E365" s="27" t="s">
        <v>5032</v>
      </c>
      <c r="F365" s="17" t="s">
        <v>4798</v>
      </c>
      <c r="G365" s="17" t="s">
        <v>4799</v>
      </c>
      <c r="H365" s="17" t="s">
        <v>4807</v>
      </c>
    </row>
    <row r="366" customFormat="false" ht="15" hidden="false" customHeight="false" outlineLevel="0" collapsed="false">
      <c r="A366" s="17" t="s">
        <v>4783</v>
      </c>
      <c r="B366" s="17" t="s">
        <v>2494</v>
      </c>
      <c r="C366" s="17" t="s">
        <v>2495</v>
      </c>
      <c r="D366" s="17" t="s">
        <v>528</v>
      </c>
      <c r="E366" s="27" t="s">
        <v>5033</v>
      </c>
      <c r="F366" s="17" t="s">
        <v>117</v>
      </c>
      <c r="G366" s="17" t="s">
        <v>4804</v>
      </c>
      <c r="H366" s="17" t="s">
        <v>4800</v>
      </c>
    </row>
    <row r="367" customFormat="false" ht="15" hidden="false" customHeight="false" outlineLevel="0" collapsed="false">
      <c r="A367" s="17" t="s">
        <v>4783</v>
      </c>
      <c r="B367" s="17" t="s">
        <v>2494</v>
      </c>
      <c r="C367" s="17" t="s">
        <v>2495</v>
      </c>
      <c r="D367" s="17" t="s">
        <v>528</v>
      </c>
      <c r="E367" s="27" t="s">
        <v>5033</v>
      </c>
      <c r="F367" s="17" t="s">
        <v>4798</v>
      </c>
      <c r="G367" s="17" t="s">
        <v>4799</v>
      </c>
      <c r="H367" s="17" t="s">
        <v>4807</v>
      </c>
    </row>
    <row r="368" customFormat="false" ht="15" hidden="false" customHeight="false" outlineLevel="0" collapsed="false">
      <c r="A368" s="17" t="s">
        <v>4781</v>
      </c>
      <c r="B368" s="17" t="s">
        <v>2496</v>
      </c>
      <c r="C368" s="17" t="s">
        <v>2497</v>
      </c>
      <c r="D368" s="17" t="s">
        <v>529</v>
      </c>
      <c r="E368" s="27" t="s">
        <v>5034</v>
      </c>
      <c r="F368" s="17" t="s">
        <v>4798</v>
      </c>
      <c r="G368" s="17" t="s">
        <v>4799</v>
      </c>
      <c r="H368" s="17" t="s">
        <v>4807</v>
      </c>
    </row>
    <row r="369" customFormat="false" ht="15" hidden="false" customHeight="false" outlineLevel="0" collapsed="false">
      <c r="A369" s="17" t="s">
        <v>4776</v>
      </c>
      <c r="B369" s="17" t="s">
        <v>2498</v>
      </c>
      <c r="C369" s="17" t="s">
        <v>2499</v>
      </c>
      <c r="D369" s="17" t="s">
        <v>531</v>
      </c>
      <c r="E369" s="27" t="s">
        <v>5035</v>
      </c>
      <c r="F369" s="17" t="s">
        <v>125</v>
      </c>
      <c r="G369" s="17" t="s">
        <v>127</v>
      </c>
      <c r="H369" s="17" t="s">
        <v>4807</v>
      </c>
    </row>
    <row r="370" customFormat="false" ht="15" hidden="false" customHeight="false" outlineLevel="0" collapsed="false">
      <c r="A370" s="17" t="s">
        <v>4768</v>
      </c>
      <c r="B370" s="17" t="s">
        <v>2503</v>
      </c>
      <c r="C370" s="17" t="s">
        <v>2504</v>
      </c>
      <c r="D370" s="17" t="s">
        <v>527</v>
      </c>
      <c r="E370" s="27" t="s">
        <v>5036</v>
      </c>
      <c r="F370" s="17" t="s">
        <v>114</v>
      </c>
      <c r="G370" s="17" t="s">
        <v>4812</v>
      </c>
      <c r="H370" s="17" t="s">
        <v>4800</v>
      </c>
    </row>
    <row r="371" customFormat="false" ht="15" hidden="false" customHeight="false" outlineLevel="0" collapsed="false">
      <c r="A371" s="17" t="s">
        <v>4754</v>
      </c>
      <c r="B371" s="17" t="s">
        <v>2507</v>
      </c>
      <c r="C371" s="17" t="s">
        <v>2508</v>
      </c>
      <c r="D371" s="17" t="s">
        <v>530</v>
      </c>
      <c r="E371" s="27"/>
      <c r="F371" s="17" t="s">
        <v>109</v>
      </c>
      <c r="G371" s="17" t="s">
        <v>111</v>
      </c>
      <c r="H371" s="17" t="s">
        <v>4800</v>
      </c>
    </row>
    <row r="372" customFormat="false" ht="15" hidden="false" customHeight="false" outlineLevel="0" collapsed="false">
      <c r="A372" s="17" t="s">
        <v>4777</v>
      </c>
      <c r="B372" s="17" t="s">
        <v>2509</v>
      </c>
      <c r="C372" s="17" t="s">
        <v>2510</v>
      </c>
      <c r="D372" s="17" t="s">
        <v>531</v>
      </c>
      <c r="E372" s="27" t="s">
        <v>5037</v>
      </c>
      <c r="F372" s="17" t="s">
        <v>125</v>
      </c>
      <c r="G372" s="17" t="s">
        <v>127</v>
      </c>
      <c r="H372" s="17" t="s">
        <v>4800</v>
      </c>
    </row>
    <row r="373" customFormat="false" ht="15" hidden="false" customHeight="false" outlineLevel="0" collapsed="false">
      <c r="A373" s="17" t="s">
        <v>4785</v>
      </c>
      <c r="B373" s="17" t="s">
        <v>2515</v>
      </c>
      <c r="C373" s="17" t="s">
        <v>2516</v>
      </c>
      <c r="D373" s="17" t="s">
        <v>530</v>
      </c>
      <c r="E373" s="27"/>
      <c r="F373" s="17" t="s">
        <v>109</v>
      </c>
      <c r="G373" s="17" t="s">
        <v>111</v>
      </c>
      <c r="H373" s="17" t="s">
        <v>4807</v>
      </c>
    </row>
    <row r="374" customFormat="false" ht="15" hidden="false" customHeight="false" outlineLevel="0" collapsed="false">
      <c r="A374" s="17" t="s">
        <v>4781</v>
      </c>
      <c r="B374" s="17" t="s">
        <v>2527</v>
      </c>
      <c r="C374" s="17" t="s">
        <v>2528</v>
      </c>
      <c r="D374" s="17" t="s">
        <v>531</v>
      </c>
      <c r="E374" s="27" t="s">
        <v>5038</v>
      </c>
      <c r="F374" s="17" t="s">
        <v>125</v>
      </c>
      <c r="G374" s="17" t="s">
        <v>127</v>
      </c>
      <c r="H374" s="17" t="s">
        <v>4807</v>
      </c>
    </row>
    <row r="375" customFormat="false" ht="15" hidden="false" customHeight="false" outlineLevel="0" collapsed="false">
      <c r="A375" s="17" t="s">
        <v>142</v>
      </c>
      <c r="B375" s="17" t="s">
        <v>2533</v>
      </c>
      <c r="C375" s="17" t="s">
        <v>1497</v>
      </c>
      <c r="D375" s="17" t="s">
        <v>527</v>
      </c>
      <c r="E375" s="27" t="s">
        <v>5039</v>
      </c>
      <c r="F375" s="17" t="s">
        <v>112</v>
      </c>
      <c r="G375" s="17" t="s">
        <v>113</v>
      </c>
      <c r="H375" s="17" t="s">
        <v>4800</v>
      </c>
    </row>
    <row r="376" customFormat="false" ht="15" hidden="false" customHeight="false" outlineLevel="0" collapsed="false">
      <c r="A376" s="17" t="s">
        <v>4763</v>
      </c>
      <c r="B376" s="17" t="s">
        <v>2537</v>
      </c>
      <c r="C376" s="17" t="s">
        <v>2491</v>
      </c>
      <c r="D376" s="17" t="s">
        <v>531</v>
      </c>
      <c r="E376" s="27" t="s">
        <v>5040</v>
      </c>
      <c r="F376" s="17" t="s">
        <v>125</v>
      </c>
      <c r="G376" s="17" t="s">
        <v>127</v>
      </c>
      <c r="H376" s="17" t="s">
        <v>4807</v>
      </c>
    </row>
    <row r="377" customFormat="false" ht="15" hidden="false" customHeight="false" outlineLevel="0" collapsed="false">
      <c r="A377" s="17" t="s">
        <v>4765</v>
      </c>
      <c r="B377" s="17" t="s">
        <v>2545</v>
      </c>
      <c r="C377" s="17" t="s">
        <v>2546</v>
      </c>
      <c r="D377" s="17" t="s">
        <v>530</v>
      </c>
      <c r="E377" s="27"/>
      <c r="F377" s="17" t="s">
        <v>109</v>
      </c>
      <c r="G377" s="17" t="s">
        <v>111</v>
      </c>
      <c r="H377" s="17" t="s">
        <v>4807</v>
      </c>
    </row>
    <row r="378" customFormat="false" ht="15" hidden="false" customHeight="false" outlineLevel="0" collapsed="false">
      <c r="A378" s="17" t="s">
        <v>4783</v>
      </c>
      <c r="B378" s="17" t="s">
        <v>2554</v>
      </c>
      <c r="C378" s="17" t="s">
        <v>2555</v>
      </c>
      <c r="D378" s="17" t="s">
        <v>531</v>
      </c>
      <c r="E378" s="27" t="s">
        <v>5041</v>
      </c>
      <c r="F378" s="17" t="s">
        <v>125</v>
      </c>
      <c r="G378" s="17" t="s">
        <v>127</v>
      </c>
      <c r="H378" s="17" t="s">
        <v>4807</v>
      </c>
    </row>
    <row r="379" customFormat="false" ht="15" hidden="false" customHeight="false" outlineLevel="0" collapsed="false">
      <c r="A379" s="17" t="s">
        <v>4760</v>
      </c>
      <c r="B379" s="17" t="s">
        <v>2556</v>
      </c>
      <c r="C379" s="17" t="s">
        <v>2557</v>
      </c>
      <c r="D379" s="17" t="s">
        <v>528</v>
      </c>
      <c r="E379" s="27"/>
      <c r="F379" s="17" t="s">
        <v>109</v>
      </c>
      <c r="G379" s="17" t="s">
        <v>111</v>
      </c>
      <c r="H379" s="17" t="s">
        <v>4800</v>
      </c>
    </row>
    <row r="380" customFormat="false" ht="15" hidden="false" customHeight="false" outlineLevel="0" collapsed="false">
      <c r="A380" s="17" t="s">
        <v>4760</v>
      </c>
      <c r="B380" s="17" t="s">
        <v>2562</v>
      </c>
      <c r="C380" s="17" t="s">
        <v>2563</v>
      </c>
      <c r="D380" s="17" t="s">
        <v>526</v>
      </c>
      <c r="E380" s="27" t="s">
        <v>5042</v>
      </c>
      <c r="F380" s="17" t="s">
        <v>121</v>
      </c>
      <c r="G380" s="17" t="s">
        <v>4801</v>
      </c>
      <c r="H380" s="17" t="s">
        <v>4800</v>
      </c>
    </row>
    <row r="381" customFormat="false" ht="15" hidden="false" customHeight="false" outlineLevel="0" collapsed="false">
      <c r="A381" s="17" t="s">
        <v>4757</v>
      </c>
      <c r="B381" s="17" t="s">
        <v>2564</v>
      </c>
      <c r="C381" s="17" t="s">
        <v>902</v>
      </c>
      <c r="D381" s="17" t="s">
        <v>531</v>
      </c>
      <c r="E381" s="27" t="s">
        <v>5043</v>
      </c>
      <c r="F381" s="17" t="s">
        <v>125</v>
      </c>
      <c r="G381" s="17" t="s">
        <v>127</v>
      </c>
      <c r="H381" s="17" t="s">
        <v>4800</v>
      </c>
    </row>
    <row r="382" customFormat="false" ht="15" hidden="false" customHeight="false" outlineLevel="0" collapsed="false">
      <c r="A382" s="17" t="s">
        <v>4783</v>
      </c>
      <c r="B382" s="17" t="s">
        <v>2565</v>
      </c>
      <c r="C382" s="17" t="s">
        <v>2566</v>
      </c>
      <c r="D382" s="17" t="s">
        <v>528</v>
      </c>
      <c r="E382" s="27" t="s">
        <v>5044</v>
      </c>
      <c r="F382" s="17" t="s">
        <v>117</v>
      </c>
      <c r="G382" s="17" t="s">
        <v>4804</v>
      </c>
      <c r="H382" s="17" t="s">
        <v>4800</v>
      </c>
    </row>
    <row r="383" customFormat="false" ht="15" hidden="false" customHeight="false" outlineLevel="0" collapsed="false">
      <c r="A383" s="17" t="s">
        <v>4777</v>
      </c>
      <c r="B383" s="17" t="s">
        <v>2569</v>
      </c>
      <c r="C383" s="17" t="s">
        <v>2570</v>
      </c>
      <c r="D383" s="17" t="s">
        <v>528</v>
      </c>
      <c r="E383" s="27" t="s">
        <v>5045</v>
      </c>
      <c r="F383" s="17" t="s">
        <v>4798</v>
      </c>
      <c r="G383" s="17" t="s">
        <v>4799</v>
      </c>
      <c r="H383" s="17" t="s">
        <v>4807</v>
      </c>
    </row>
    <row r="384" customFormat="false" ht="15" hidden="false" customHeight="false" outlineLevel="0" collapsed="false">
      <c r="A384" s="17" t="s">
        <v>142</v>
      </c>
      <c r="B384" s="17" t="s">
        <v>2571</v>
      </c>
      <c r="C384" s="17" t="s">
        <v>2572</v>
      </c>
      <c r="D384" s="17" t="s">
        <v>531</v>
      </c>
      <c r="E384" s="27" t="s">
        <v>5046</v>
      </c>
      <c r="F384" s="17" t="s">
        <v>112</v>
      </c>
      <c r="G384" s="17" t="s">
        <v>113</v>
      </c>
      <c r="H384" s="17" t="s">
        <v>4800</v>
      </c>
    </row>
    <row r="385" customFormat="false" ht="15" hidden="false" customHeight="false" outlineLevel="0" collapsed="false">
      <c r="A385" s="17" t="s">
        <v>142</v>
      </c>
      <c r="B385" s="17" t="s">
        <v>2571</v>
      </c>
      <c r="C385" s="17" t="s">
        <v>2572</v>
      </c>
      <c r="D385" s="17" t="s">
        <v>531</v>
      </c>
      <c r="E385" s="27" t="s">
        <v>5046</v>
      </c>
      <c r="F385" s="17" t="s">
        <v>125</v>
      </c>
      <c r="G385" s="17" t="s">
        <v>127</v>
      </c>
      <c r="H385" s="17" t="s">
        <v>4807</v>
      </c>
    </row>
    <row r="386" customFormat="false" ht="15" hidden="false" customHeight="false" outlineLevel="0" collapsed="false">
      <c r="A386" s="17" t="s">
        <v>4784</v>
      </c>
      <c r="B386" s="17" t="s">
        <v>2582</v>
      </c>
      <c r="C386" s="17" t="s">
        <v>1394</v>
      </c>
      <c r="D386" s="17" t="s">
        <v>526</v>
      </c>
      <c r="E386" s="27" t="s">
        <v>5047</v>
      </c>
      <c r="F386" s="17" t="s">
        <v>117</v>
      </c>
      <c r="G386" s="17" t="s">
        <v>4804</v>
      </c>
      <c r="H386" s="17" t="s">
        <v>4800</v>
      </c>
    </row>
    <row r="387" customFormat="false" ht="15" hidden="false" customHeight="false" outlineLevel="0" collapsed="false">
      <c r="A387" s="17" t="s">
        <v>4784</v>
      </c>
      <c r="B387" s="17" t="s">
        <v>2582</v>
      </c>
      <c r="C387" s="17" t="s">
        <v>1394</v>
      </c>
      <c r="D387" s="17" t="s">
        <v>526</v>
      </c>
      <c r="E387" s="27" t="s">
        <v>5047</v>
      </c>
      <c r="F387" s="17" t="s">
        <v>4798</v>
      </c>
      <c r="G387" s="17" t="s">
        <v>4799</v>
      </c>
      <c r="H387" s="17" t="s">
        <v>4800</v>
      </c>
    </row>
    <row r="388" customFormat="false" ht="15" hidden="false" customHeight="false" outlineLevel="0" collapsed="false">
      <c r="A388" s="17" t="s">
        <v>4762</v>
      </c>
      <c r="B388" s="17" t="s">
        <v>2583</v>
      </c>
      <c r="C388" s="17" t="s">
        <v>1804</v>
      </c>
      <c r="D388" s="17" t="s">
        <v>531</v>
      </c>
      <c r="E388" s="27" t="s">
        <v>4846</v>
      </c>
      <c r="F388" s="17" t="s">
        <v>109</v>
      </c>
      <c r="G388" s="17" t="s">
        <v>111</v>
      </c>
      <c r="H388" s="17" t="s">
        <v>4800</v>
      </c>
    </row>
    <row r="389" customFormat="false" ht="15" hidden="false" customHeight="false" outlineLevel="0" collapsed="false">
      <c r="A389" s="17" t="s">
        <v>4784</v>
      </c>
      <c r="B389" s="17" t="s">
        <v>2584</v>
      </c>
      <c r="C389" s="17" t="s">
        <v>1707</v>
      </c>
      <c r="D389" s="17" t="s">
        <v>528</v>
      </c>
      <c r="E389" s="27"/>
      <c r="F389" s="17" t="s">
        <v>109</v>
      </c>
      <c r="G389" s="17" t="s">
        <v>111</v>
      </c>
      <c r="H389" s="17" t="s">
        <v>4807</v>
      </c>
    </row>
    <row r="390" customFormat="false" ht="15" hidden="false" customHeight="false" outlineLevel="0" collapsed="false">
      <c r="A390" s="17" t="s">
        <v>4762</v>
      </c>
      <c r="B390" s="17" t="s">
        <v>2595</v>
      </c>
      <c r="C390" s="17" t="s">
        <v>2596</v>
      </c>
      <c r="D390" s="17" t="s">
        <v>528</v>
      </c>
      <c r="E390" s="27" t="s">
        <v>5048</v>
      </c>
      <c r="F390" s="17" t="s">
        <v>117</v>
      </c>
      <c r="G390" s="17" t="s">
        <v>4804</v>
      </c>
      <c r="H390" s="17" t="s">
        <v>4800</v>
      </c>
    </row>
  </sheetData>
  <autoFilter ref="A4:H39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B57"/>
    <pageSetUpPr fitToPage="false"/>
  </sheetPr>
  <dimension ref="A1:E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4" min="2" style="0" width="14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12</v>
      </c>
    </row>
    <row r="2" customFormat="false" ht="15" hidden="false" customHeight="false" outlineLevel="0" collapsed="false">
      <c r="A2" s="2" t="s">
        <v>5049</v>
      </c>
    </row>
    <row r="4" customFormat="false" ht="39.75" hidden="false" customHeight="true" outlineLevel="0" collapsed="false">
      <c r="A4" s="5" t="s">
        <v>5050</v>
      </c>
      <c r="B4" s="5" t="s">
        <v>5051</v>
      </c>
      <c r="C4" s="5" t="s">
        <v>5052</v>
      </c>
      <c r="D4" s="5" t="s">
        <v>5053</v>
      </c>
      <c r="E4" s="5" t="s">
        <v>5054</v>
      </c>
    </row>
    <row r="5" customFormat="false" ht="15" hidden="false" customHeight="false" outlineLevel="0" collapsed="false">
      <c r="A5" s="17" t="s">
        <v>5055</v>
      </c>
      <c r="B5" s="28" t="n">
        <f aca="false">COUNTA(Opps!$A$5:$A$954)</f>
        <v>950</v>
      </c>
      <c r="C5" s="29" t="n">
        <v>950</v>
      </c>
      <c r="D5" s="30" t="n">
        <f aca="false">ABS(B5-C5)</f>
        <v>0</v>
      </c>
      <c r="E5" s="31" t="b">
        <f aca="false">D5&lt;=0.000001</f>
        <v>1</v>
      </c>
    </row>
    <row r="6" customFormat="false" ht="15" hidden="false" customHeight="false" outlineLevel="0" collapsed="false">
      <c r="A6" s="17" t="s">
        <v>5056</v>
      </c>
      <c r="B6" s="28" t="n">
        <f aca="false">SUM(Opps!$O$5:$O$954)</f>
        <v>373</v>
      </c>
      <c r="C6" s="29" t="n">
        <v>373</v>
      </c>
      <c r="D6" s="30" t="n">
        <f aca="false">ABS(B6-C6)</f>
        <v>0</v>
      </c>
      <c r="E6" s="31" t="b">
        <f aca="false">D6&lt;=0.000001</f>
        <v>1</v>
      </c>
    </row>
    <row r="7" customFormat="false" ht="15" hidden="false" customHeight="false" outlineLevel="0" collapsed="false">
      <c r="A7" s="17" t="s">
        <v>22</v>
      </c>
      <c r="B7" s="28" t="n">
        <f aca="false">Dashboard_LoS!C10</f>
        <v>6815.802</v>
      </c>
      <c r="C7" s="29" t="n">
        <v>6815.802</v>
      </c>
      <c r="D7" s="30" t="n">
        <f aca="false">ABS(B7-C7)</f>
        <v>0</v>
      </c>
      <c r="E7" s="31" t="b">
        <f aca="false">D7&lt;=0.000001</f>
        <v>1</v>
      </c>
    </row>
    <row r="8" customFormat="false" ht="15" hidden="false" customHeight="false" outlineLevel="0" collapsed="false">
      <c r="A8" s="17" t="s">
        <v>23</v>
      </c>
      <c r="B8" s="28" t="n">
        <f aca="false">Dashboard_LoS!D10</f>
        <v>2718.3831</v>
      </c>
      <c r="C8" s="29" t="n">
        <v>2718.3831</v>
      </c>
      <c r="D8" s="30" t="n">
        <f aca="false">ABS(B8-C8)</f>
        <v>0</v>
      </c>
      <c r="E8" s="31" t="b">
        <f aca="false">D8&lt;=0.000001</f>
        <v>1</v>
      </c>
    </row>
    <row r="9" customFormat="false" ht="15" hidden="false" customHeight="false" outlineLevel="0" collapsed="false">
      <c r="A9" s="17" t="s">
        <v>5057</v>
      </c>
      <c r="B9" s="28" t="n">
        <f aca="false">Dashboard_LoS!G10</f>
        <v>1900.725</v>
      </c>
      <c r="C9" s="29" t="n">
        <v>1900.725</v>
      </c>
      <c r="D9" s="30" t="n">
        <f aca="false">ABS(B9-C9)</f>
        <v>0</v>
      </c>
      <c r="E9" s="31" t="b">
        <f aca="false">D9&lt;=0.000001</f>
        <v>1</v>
      </c>
    </row>
    <row r="10" customFormat="false" ht="15" hidden="false" customHeight="false" outlineLevel="0" collapsed="false">
      <c r="A10" s="17" t="s">
        <v>5058</v>
      </c>
      <c r="B10" s="28" t="n">
        <f aca="false">Dashboard_LoS!E10</f>
        <v>2698.6712</v>
      </c>
      <c r="C10" s="29" t="n">
        <v>2698.6712</v>
      </c>
      <c r="D10" s="30" t="n">
        <f aca="false">ABS(B10-C10)</f>
        <v>0</v>
      </c>
      <c r="E10" s="31" t="b">
        <f aca="false">D10&lt;=0.000001</f>
        <v>1</v>
      </c>
    </row>
    <row r="11" customFormat="false" ht="15" hidden="false" customHeight="false" outlineLevel="0" collapsed="false">
      <c r="A11" s="17" t="s">
        <v>5059</v>
      </c>
      <c r="B11" s="28" t="n">
        <f aca="false">Dashboard_LoS!L10</f>
        <v>0.374350086655113</v>
      </c>
      <c r="C11" s="29" t="n">
        <v>0.374350086655113</v>
      </c>
      <c r="D11" s="30" t="n">
        <f aca="false">ABS(B11-C11)</f>
        <v>0</v>
      </c>
      <c r="E11" s="31" t="b">
        <f aca="false">D11&lt;=0.000001</f>
        <v>1</v>
      </c>
    </row>
    <row r="12" customFormat="false" ht="15" hidden="false" customHeight="false" outlineLevel="0" collapsed="false">
      <c r="A12" s="17" t="s">
        <v>5060</v>
      </c>
      <c r="B12" s="28" t="n">
        <f aca="false">DQ_Scorecard!C5</f>
        <v>66</v>
      </c>
      <c r="C12" s="29" t="n">
        <v>66</v>
      </c>
      <c r="D12" s="30" t="n">
        <f aca="false">ABS(B12-C12)</f>
        <v>0</v>
      </c>
      <c r="E12" s="31" t="b">
        <f aca="false">D12&lt;=0.000001</f>
        <v>1</v>
      </c>
    </row>
    <row r="13" customFormat="false" ht="15" hidden="false" customHeight="false" outlineLevel="0" collapsed="false">
      <c r="A13" s="17" t="s">
        <v>5061</v>
      </c>
      <c r="B13" s="28" t="n">
        <f aca="false">DQ_Scorecard!C6</f>
        <v>27</v>
      </c>
      <c r="C13" s="29" t="n">
        <v>27</v>
      </c>
      <c r="D13" s="30" t="n">
        <f aca="false">ABS(B13-C13)</f>
        <v>0</v>
      </c>
      <c r="E13" s="31" t="b">
        <f aca="false">D13&lt;=0.000001</f>
        <v>1</v>
      </c>
    </row>
    <row r="14" customFormat="false" ht="15" hidden="false" customHeight="false" outlineLevel="0" collapsed="false">
      <c r="A14" s="17" t="s">
        <v>5062</v>
      </c>
      <c r="B14" s="28" t="n">
        <f aca="false">DQ_Scorecard!C7</f>
        <v>40</v>
      </c>
      <c r="C14" s="29" t="n">
        <v>40</v>
      </c>
      <c r="D14" s="30" t="n">
        <f aca="false">ABS(B14-C14)</f>
        <v>0</v>
      </c>
      <c r="E14" s="31" t="b">
        <f aca="false">D14&lt;=0.000001</f>
        <v>1</v>
      </c>
    </row>
    <row r="15" customFormat="false" ht="15" hidden="false" customHeight="false" outlineLevel="0" collapsed="false">
      <c r="A15" s="17" t="s">
        <v>5063</v>
      </c>
      <c r="B15" s="28" t="n">
        <f aca="false">DQ_Scorecard!C8</f>
        <v>56</v>
      </c>
      <c r="C15" s="29" t="n">
        <v>56</v>
      </c>
      <c r="D15" s="30" t="n">
        <f aca="false">ABS(B15-C15)</f>
        <v>0</v>
      </c>
      <c r="E15" s="31" t="b">
        <f aca="false">D15&lt;=0.000001</f>
        <v>1</v>
      </c>
    </row>
    <row r="16" customFormat="false" ht="15" hidden="false" customHeight="false" outlineLevel="0" collapsed="false">
      <c r="A16" s="17" t="s">
        <v>5064</v>
      </c>
      <c r="B16" s="28" t="n">
        <f aca="false">DQ_Scorecard!C9</f>
        <v>82</v>
      </c>
      <c r="C16" s="29" t="n">
        <v>82</v>
      </c>
      <c r="D16" s="30" t="n">
        <f aca="false">ABS(B16-C16)</f>
        <v>0</v>
      </c>
      <c r="E16" s="31" t="b">
        <f aca="false">D16&lt;=0.000001</f>
        <v>1</v>
      </c>
    </row>
    <row r="17" customFormat="false" ht="15" hidden="false" customHeight="false" outlineLevel="0" collapsed="false">
      <c r="A17" s="17" t="s">
        <v>5065</v>
      </c>
      <c r="B17" s="28" t="n">
        <f aca="false">DQ_Scorecard!C10</f>
        <v>22</v>
      </c>
      <c r="C17" s="29" t="n">
        <v>22</v>
      </c>
      <c r="D17" s="30" t="n">
        <f aca="false">ABS(B17-C17)</f>
        <v>0</v>
      </c>
      <c r="E17" s="31" t="b">
        <f aca="false">D17&lt;=0.000001</f>
        <v>1</v>
      </c>
    </row>
    <row r="18" customFormat="false" ht="15" hidden="false" customHeight="false" outlineLevel="0" collapsed="false">
      <c r="A18" s="17" t="s">
        <v>5066</v>
      </c>
      <c r="B18" s="28" t="n">
        <f aca="false">DQ_Scorecard!C11</f>
        <v>29</v>
      </c>
      <c r="C18" s="29" t="n">
        <v>29</v>
      </c>
      <c r="D18" s="30" t="n">
        <f aca="false">ABS(B18-C18)</f>
        <v>0</v>
      </c>
      <c r="E18" s="31" t="b">
        <f aca="false">D18&lt;=0.000001</f>
        <v>1</v>
      </c>
    </row>
    <row r="19" customFormat="false" ht="15" hidden="false" customHeight="false" outlineLevel="0" collapsed="false">
      <c r="A19" s="17" t="s">
        <v>5067</v>
      </c>
      <c r="B19" s="28" t="n">
        <f aca="false">DQ_Scorecard!C12</f>
        <v>64</v>
      </c>
      <c r="C19" s="29" t="n">
        <v>64</v>
      </c>
      <c r="D19" s="30" t="n">
        <f aca="false">ABS(B19-C19)</f>
        <v>0</v>
      </c>
      <c r="E19" s="31" t="b">
        <f aca="false">D19&lt;=0.000001</f>
        <v>1</v>
      </c>
    </row>
    <row r="20" customFormat="false" ht="15" hidden="false" customHeight="false" outlineLevel="0" collapsed="false">
      <c r="A20" s="17" t="s">
        <v>5068</v>
      </c>
      <c r="B20" s="28" t="n">
        <f aca="false">DQ_Scorecard!E17</f>
        <v>0.450402144772118</v>
      </c>
      <c r="C20" s="29" t="n">
        <v>0.450402144772118</v>
      </c>
      <c r="D20" s="30" t="n">
        <f aca="false">ABS(B20-C20)</f>
        <v>0</v>
      </c>
      <c r="E20" s="31" t="b">
        <f aca="false">D20&lt;=0.000001</f>
        <v>1</v>
      </c>
    </row>
    <row r="21" customFormat="false" ht="15" hidden="false" customHeight="false" outlineLevel="0" collapsed="false">
      <c r="A21" s="17" t="s">
        <v>5069</v>
      </c>
      <c r="B21" s="28" t="n">
        <f aca="false">DQ_Scorecard!C14</f>
        <v>17</v>
      </c>
      <c r="C21" s="29" t="n">
        <v>17</v>
      </c>
      <c r="D21" s="30" t="n">
        <f aca="false">ABS(B21-C21)</f>
        <v>0</v>
      </c>
      <c r="E21" s="31" t="b">
        <f aca="false">D21&lt;=0.000001</f>
        <v>1</v>
      </c>
    </row>
    <row r="22" customFormat="false" ht="15" hidden="false" customHeight="false" outlineLevel="0" collapsed="false">
      <c r="A22" s="17" t="s">
        <v>5070</v>
      </c>
      <c r="B22" s="28" t="n">
        <f aca="false">DQ_Scorecard!C15</f>
        <v>24</v>
      </c>
      <c r="C22" s="29" t="n">
        <v>24</v>
      </c>
      <c r="D22" s="30" t="n">
        <f aca="false">ABS(B22-C22)</f>
        <v>0</v>
      </c>
      <c r="E22" s="31" t="b">
        <f aca="false">D22&lt;=0.000001</f>
        <v>1</v>
      </c>
    </row>
    <row r="23" customFormat="false" ht="15" hidden="false" customHeight="false" outlineLevel="0" collapsed="false">
      <c r="A23" s="17" t="s">
        <v>5071</v>
      </c>
      <c r="B23" s="28" t="n">
        <f aca="false">Dashboard_LoS!D5</f>
        <v>351.31025</v>
      </c>
      <c r="C23" s="29" t="n">
        <v>351.31025</v>
      </c>
      <c r="D23" s="30" t="n">
        <f aca="false">ABS(B23-C23)</f>
        <v>0</v>
      </c>
      <c r="E23" s="31" t="b">
        <f aca="false">D23&lt;=0.000001</f>
        <v>1</v>
      </c>
    </row>
    <row r="24" customFormat="false" ht="15" hidden="false" customHeight="false" outlineLevel="0" collapsed="false">
      <c r="A24" s="17" t="s">
        <v>5072</v>
      </c>
      <c r="B24" s="28" t="n">
        <f aca="false">Dashboard_LoS!I5</f>
        <v>0.356401827541643</v>
      </c>
      <c r="C24" s="29" t="n">
        <v>0.356401827541643</v>
      </c>
      <c r="D24" s="30" t="n">
        <f aca="false">ABS(B24-C24)</f>
        <v>0</v>
      </c>
      <c r="E24" s="31" t="b">
        <f aca="false">D24&lt;=0.000001</f>
        <v>1</v>
      </c>
    </row>
    <row r="25" customFormat="false" ht="15" hidden="false" customHeight="false" outlineLevel="0" collapsed="false">
      <c r="A25" s="17" t="s">
        <v>5073</v>
      </c>
      <c r="B25" s="28" t="n">
        <f aca="false">Dashboard_LoS!L5</f>
        <v>0.327868852459016</v>
      </c>
      <c r="C25" s="29" t="n">
        <v>0.327868852459016</v>
      </c>
      <c r="D25" s="30" t="n">
        <f aca="false">ABS(B25-C25)</f>
        <v>0</v>
      </c>
      <c r="E25" s="31" t="b">
        <f aca="false">D25&lt;=0.000001</f>
        <v>1</v>
      </c>
    </row>
    <row r="26" customFormat="false" ht="15" hidden="false" customHeight="false" outlineLevel="0" collapsed="false">
      <c r="A26" s="17" t="s">
        <v>5074</v>
      </c>
      <c r="B26" s="28" t="n">
        <f aca="false">Dashboard_LoS!M5</f>
        <v>165.275</v>
      </c>
      <c r="C26" s="29" t="n">
        <v>165.275</v>
      </c>
      <c r="D26" s="30" t="n">
        <f aca="false">ABS(B26-C26)</f>
        <v>0</v>
      </c>
      <c r="E26" s="31" t="b">
        <f aca="false">D26&lt;=0.000001</f>
        <v>1</v>
      </c>
    </row>
    <row r="27" customFormat="false" ht="15" hidden="false" customHeight="false" outlineLevel="0" collapsed="false">
      <c r="A27" s="17" t="s">
        <v>5075</v>
      </c>
      <c r="B27" s="28" t="n">
        <f aca="false">Dashboard_LoS!N5</f>
        <v>0.476190476190476</v>
      </c>
      <c r="C27" s="29" t="n">
        <v>0.476190476190476</v>
      </c>
      <c r="D27" s="30" t="n">
        <f aca="false">ABS(B27-C27)</f>
        <v>0</v>
      </c>
      <c r="E27" s="31" t="b">
        <f aca="false">D27&lt;=0.000001</f>
        <v>1</v>
      </c>
    </row>
    <row r="28" customFormat="false" ht="15" hidden="false" customHeight="false" outlineLevel="0" collapsed="false">
      <c r="A28" s="17" t="s">
        <v>5076</v>
      </c>
      <c r="B28" s="28" t="n">
        <f aca="false">Dashboard_LoS!D6</f>
        <v>318.80875</v>
      </c>
      <c r="C28" s="29" t="n">
        <v>318.80875</v>
      </c>
      <c r="D28" s="30" t="n">
        <f aca="false">ABS(B28-C28)</f>
        <v>0</v>
      </c>
      <c r="E28" s="31" t="b">
        <f aca="false">D28&lt;=0.000001</f>
        <v>1</v>
      </c>
    </row>
    <row r="29" customFormat="false" ht="15" hidden="false" customHeight="false" outlineLevel="0" collapsed="false">
      <c r="A29" s="17" t="s">
        <v>5077</v>
      </c>
      <c r="B29" s="28" t="n">
        <f aca="false">Dashboard_LoS!I6</f>
        <v>0.255084800944238</v>
      </c>
      <c r="C29" s="29" t="n">
        <v>0.255084800944238</v>
      </c>
      <c r="D29" s="30" t="n">
        <f aca="false">ABS(B29-C29)</f>
        <v>0</v>
      </c>
      <c r="E29" s="31" t="b">
        <f aca="false">D29&lt;=0.000001</f>
        <v>1</v>
      </c>
    </row>
    <row r="30" customFormat="false" ht="15" hidden="false" customHeight="false" outlineLevel="0" collapsed="false">
      <c r="A30" s="17" t="s">
        <v>5078</v>
      </c>
      <c r="B30" s="28" t="n">
        <f aca="false">Dashboard_LoS!L6</f>
        <v>0.365269461077844</v>
      </c>
      <c r="C30" s="29" t="n">
        <v>0.365269461077844</v>
      </c>
      <c r="D30" s="30" t="n">
        <f aca="false">ABS(B30-C30)</f>
        <v>0</v>
      </c>
      <c r="E30" s="31" t="b">
        <f aca="false">D30&lt;=0.000001</f>
        <v>1</v>
      </c>
    </row>
    <row r="31" customFormat="false" ht="15" hidden="false" customHeight="false" outlineLevel="0" collapsed="false">
      <c r="A31" s="17" t="s">
        <v>5079</v>
      </c>
      <c r="B31" s="28" t="n">
        <f aca="false">Dashboard_LoS!M6</f>
        <v>164.44262295082</v>
      </c>
      <c r="C31" s="29" t="n">
        <v>164.44262295082</v>
      </c>
      <c r="D31" s="30" t="n">
        <f aca="false">ABS(B31-C31)</f>
        <v>0</v>
      </c>
      <c r="E31" s="31" t="b">
        <f aca="false">D31&lt;=0.000001</f>
        <v>1</v>
      </c>
    </row>
    <row r="32" customFormat="false" ht="15" hidden="false" customHeight="false" outlineLevel="0" collapsed="false">
      <c r="A32" s="17" t="s">
        <v>5080</v>
      </c>
      <c r="B32" s="28" t="n">
        <f aca="false">Dashboard_LoS!N6</f>
        <v>0.485148514851485</v>
      </c>
      <c r="C32" s="29" t="n">
        <v>0.485148514851485</v>
      </c>
      <c r="D32" s="30" t="n">
        <f aca="false">ABS(B32-C32)</f>
        <v>0</v>
      </c>
      <c r="E32" s="31" t="b">
        <f aca="false">D32&lt;=0.000001</f>
        <v>1</v>
      </c>
    </row>
    <row r="33" customFormat="false" ht="15" hidden="false" customHeight="false" outlineLevel="0" collapsed="false">
      <c r="A33" s="17" t="s">
        <v>5081</v>
      </c>
      <c r="B33" s="28" t="n">
        <f aca="false">Dashboard_LoS!D7</f>
        <v>924.6952</v>
      </c>
      <c r="C33" s="29" t="n">
        <v>924.6952</v>
      </c>
      <c r="D33" s="30" t="n">
        <f aca="false">ABS(B33-C33)</f>
        <v>0</v>
      </c>
      <c r="E33" s="31" t="b">
        <f aca="false">D33&lt;=0.000001</f>
        <v>1</v>
      </c>
    </row>
    <row r="34" customFormat="false" ht="15" hidden="false" customHeight="false" outlineLevel="0" collapsed="false">
      <c r="A34" s="17" t="s">
        <v>5082</v>
      </c>
      <c r="B34" s="28" t="n">
        <f aca="false">Dashboard_LoS!I7</f>
        <v>5.3193232741016</v>
      </c>
      <c r="C34" s="29" t="n">
        <v>5.3193232741016</v>
      </c>
      <c r="D34" s="30" t="n">
        <f aca="false">ABS(B34-C34)</f>
        <v>0</v>
      </c>
      <c r="E34" s="31" t="b">
        <f aca="false">D34&lt;=0.000001</f>
        <v>1</v>
      </c>
    </row>
    <row r="35" customFormat="false" ht="15" hidden="false" customHeight="false" outlineLevel="0" collapsed="false">
      <c r="A35" s="17" t="s">
        <v>5083</v>
      </c>
      <c r="B35" s="28" t="n">
        <f aca="false">Dashboard_LoS!L7</f>
        <v>0.469135802469136</v>
      </c>
      <c r="C35" s="29" t="n">
        <v>0.469135802469136</v>
      </c>
      <c r="D35" s="30" t="n">
        <f aca="false">ABS(B35-C35)</f>
        <v>0</v>
      </c>
      <c r="E35" s="31" t="b">
        <f aca="false">D35&lt;=0.000001</f>
        <v>1</v>
      </c>
    </row>
    <row r="36" customFormat="false" ht="15" hidden="false" customHeight="false" outlineLevel="0" collapsed="false">
      <c r="A36" s="17" t="s">
        <v>5084</v>
      </c>
      <c r="B36" s="28" t="n">
        <f aca="false">Dashboard_LoS!M7</f>
        <v>145</v>
      </c>
      <c r="C36" s="29" t="n">
        <v>145</v>
      </c>
      <c r="D36" s="30" t="n">
        <f aca="false">ABS(B36-C36)</f>
        <v>0</v>
      </c>
      <c r="E36" s="31" t="b">
        <f aca="false">D36&lt;=0.000001</f>
        <v>1</v>
      </c>
    </row>
    <row r="37" customFormat="false" ht="15" hidden="false" customHeight="false" outlineLevel="0" collapsed="false">
      <c r="A37" s="17" t="s">
        <v>5085</v>
      </c>
      <c r="B37" s="28" t="n">
        <f aca="false">Dashboard_LoS!N7</f>
        <v>0.349206349206349</v>
      </c>
      <c r="C37" s="29" t="n">
        <v>0.349206349206349</v>
      </c>
      <c r="D37" s="30" t="n">
        <f aca="false">ABS(B37-C37)</f>
        <v>0</v>
      </c>
      <c r="E37" s="31" t="b">
        <f aca="false">D37&lt;=0.000001</f>
        <v>1</v>
      </c>
    </row>
    <row r="38" customFormat="false" ht="15" hidden="false" customHeight="false" outlineLevel="0" collapsed="false">
      <c r="A38" s="17" t="s">
        <v>5086</v>
      </c>
      <c r="B38" s="28" t="n">
        <f aca="false">Dashboard_LoS!D8</f>
        <v>1025.7814</v>
      </c>
      <c r="C38" s="29" t="n">
        <v>1025.7814</v>
      </c>
      <c r="D38" s="30" t="n">
        <f aca="false">ABS(B38-C38)</f>
        <v>0</v>
      </c>
      <c r="E38" s="31" t="b">
        <f aca="false">D38&lt;=0.000001</f>
        <v>1</v>
      </c>
    </row>
    <row r="39" customFormat="false" ht="15" hidden="false" customHeight="false" outlineLevel="0" collapsed="false">
      <c r="A39" s="17" t="s">
        <v>5087</v>
      </c>
      <c r="B39" s="28" t="n">
        <f aca="false">Dashboard_LoS!I8</f>
        <v>0.769929501637784</v>
      </c>
      <c r="C39" s="29" t="n">
        <v>0.769929501637784</v>
      </c>
      <c r="D39" s="30" t="n">
        <f aca="false">ABS(B39-C39)</f>
        <v>0</v>
      </c>
      <c r="E39" s="31" t="b">
        <f aca="false">D39&lt;=0.000001</f>
        <v>1</v>
      </c>
    </row>
    <row r="40" customFormat="false" ht="15" hidden="false" customHeight="false" outlineLevel="0" collapsed="false">
      <c r="A40" s="17" t="s">
        <v>5088</v>
      </c>
      <c r="B40" s="28" t="n">
        <f aca="false">Dashboard_LoS!L8</f>
        <v>0.348684210526316</v>
      </c>
      <c r="C40" s="29" t="n">
        <v>0.348684210526316</v>
      </c>
      <c r="D40" s="30" t="n">
        <f aca="false">ABS(B40-C40)</f>
        <v>0</v>
      </c>
      <c r="E40" s="31" t="b">
        <f aca="false">D40&lt;=0.000001</f>
        <v>1</v>
      </c>
    </row>
    <row r="41" customFormat="false" ht="15" hidden="false" customHeight="false" outlineLevel="0" collapsed="false">
      <c r="A41" s="17" t="s">
        <v>5089</v>
      </c>
      <c r="B41" s="28" t="n">
        <f aca="false">Dashboard_LoS!M8</f>
        <v>159.660377358491</v>
      </c>
      <c r="C41" s="29" t="n">
        <v>159.660377358491</v>
      </c>
      <c r="D41" s="30" t="n">
        <f aca="false">ABS(B41-C41)</f>
        <v>0</v>
      </c>
      <c r="E41" s="31" t="b">
        <f aca="false">D41&lt;=0.000001</f>
        <v>1</v>
      </c>
    </row>
    <row r="42" customFormat="false" ht="15" hidden="false" customHeight="false" outlineLevel="0" collapsed="false">
      <c r="A42" s="17" t="s">
        <v>5090</v>
      </c>
      <c r="B42" s="28" t="n">
        <f aca="false">Dashboard_LoS!N8</f>
        <v>0.431578947368421</v>
      </c>
      <c r="C42" s="29" t="n">
        <v>0.431578947368421</v>
      </c>
      <c r="D42" s="30" t="n">
        <f aca="false">ABS(B42-C42)</f>
        <v>0</v>
      </c>
      <c r="E42" s="31" t="b">
        <f aca="false">D42&lt;=0.000001</f>
        <v>1</v>
      </c>
    </row>
    <row r="43" customFormat="false" ht="15" hidden="false" customHeight="false" outlineLevel="0" collapsed="false">
      <c r="A43" s="17" t="s">
        <v>5091</v>
      </c>
      <c r="B43" s="28" t="n">
        <f aca="false">Dashboard_LoS!D9</f>
        <v>97.7875</v>
      </c>
      <c r="C43" s="29" t="n">
        <v>97.7875</v>
      </c>
      <c r="D43" s="30" t="n">
        <f aca="false">ABS(B43-C43)</f>
        <v>0</v>
      </c>
      <c r="E43" s="31" t="b">
        <f aca="false">D43&lt;=0.000001</f>
        <v>1</v>
      </c>
    </row>
    <row r="44" customFormat="false" ht="15" hidden="false" customHeight="false" outlineLevel="0" collapsed="false">
      <c r="A44" s="17" t="s">
        <v>5092</v>
      </c>
      <c r="B44" s="28" t="n">
        <f aca="false">Dashboard_LoS!I9</f>
        <v>0.236766155060494</v>
      </c>
      <c r="C44" s="29" t="n">
        <v>0.236766155060494</v>
      </c>
      <c r="D44" s="30" t="n">
        <f aca="false">ABS(B44-C44)</f>
        <v>0</v>
      </c>
      <c r="E44" s="31" t="b">
        <f aca="false">D44&lt;=0.000001</f>
        <v>1</v>
      </c>
    </row>
    <row r="45" customFormat="false" ht="15" hidden="false" customHeight="false" outlineLevel="0" collapsed="false">
      <c r="A45" s="17" t="s">
        <v>5093</v>
      </c>
      <c r="B45" s="28" t="n">
        <f aca="false">Dashboard_LoS!L9</f>
        <v>0.436363636363636</v>
      </c>
      <c r="C45" s="29" t="n">
        <v>0.436363636363636</v>
      </c>
      <c r="D45" s="30" t="n">
        <f aca="false">ABS(B45-C45)</f>
        <v>0</v>
      </c>
      <c r="E45" s="31" t="b">
        <f aca="false">D45&lt;=0.000001</f>
        <v>1</v>
      </c>
    </row>
    <row r="46" customFormat="false" ht="15" hidden="false" customHeight="false" outlineLevel="0" collapsed="false">
      <c r="A46" s="17" t="s">
        <v>5094</v>
      </c>
      <c r="B46" s="28" t="n">
        <f aca="false">Dashboard_LoS!M9</f>
        <v>147.5</v>
      </c>
      <c r="C46" s="29" t="n">
        <v>147.5</v>
      </c>
      <c r="D46" s="30" t="n">
        <f aca="false">ABS(B46-C46)</f>
        <v>0</v>
      </c>
      <c r="E46" s="31" t="b">
        <f aca="false">D46&lt;=0.000001</f>
        <v>1</v>
      </c>
    </row>
    <row r="47" customFormat="false" ht="15" hidden="false" customHeight="false" outlineLevel="0" collapsed="false">
      <c r="A47" s="17" t="s">
        <v>5095</v>
      </c>
      <c r="B47" s="28" t="n">
        <f aca="false">Dashboard_LoS!N9</f>
        <v>0.533333333333333</v>
      </c>
      <c r="C47" s="29" t="n">
        <v>0.533333333333333</v>
      </c>
      <c r="D47" s="30" t="n">
        <f aca="false">ABS(B47-C47)</f>
        <v>0</v>
      </c>
      <c r="E47" s="31" t="b">
        <f aca="false">D47&lt;=0.000001</f>
        <v>1</v>
      </c>
    </row>
    <row r="48" customFormat="false" ht="15" hidden="false" customHeight="false" outlineLevel="0" collapsed="false">
      <c r="A48" s="17" t="s">
        <v>5096</v>
      </c>
      <c r="B48" s="28" t="n">
        <f aca="false">Dashboard_Industry!D5</f>
        <v>318.40885</v>
      </c>
      <c r="C48" s="29" t="n">
        <v>318.40885</v>
      </c>
      <c r="D48" s="30" t="n">
        <f aca="false">ABS(B48-C48)</f>
        <v>0</v>
      </c>
      <c r="E48" s="31" t="b">
        <f aca="false">D48&lt;=0.000001</f>
        <v>1</v>
      </c>
    </row>
    <row r="49" customFormat="false" ht="15" hidden="false" customHeight="false" outlineLevel="0" collapsed="false">
      <c r="A49" s="17" t="s">
        <v>5097</v>
      </c>
      <c r="B49" s="28" t="n">
        <f aca="false">Dashboard_Industry!D6</f>
        <v>265.83615</v>
      </c>
      <c r="C49" s="29" t="n">
        <v>265.83615</v>
      </c>
      <c r="D49" s="30" t="n">
        <f aca="false">ABS(B49-C49)</f>
        <v>0</v>
      </c>
      <c r="E49" s="31" t="b">
        <f aca="false">D49&lt;=0.000001</f>
        <v>1</v>
      </c>
    </row>
    <row r="50" customFormat="false" ht="15" hidden="false" customHeight="false" outlineLevel="0" collapsed="false">
      <c r="A50" s="17" t="s">
        <v>5098</v>
      </c>
      <c r="B50" s="28" t="n">
        <f aca="false">Dashboard_Industry!D7</f>
        <v>394.9023</v>
      </c>
      <c r="C50" s="29" t="n">
        <v>394.9023</v>
      </c>
      <c r="D50" s="30" t="n">
        <f aca="false">ABS(B50-C50)</f>
        <v>0</v>
      </c>
      <c r="E50" s="31" t="b">
        <f aca="false">D50&lt;=0.000001</f>
        <v>1</v>
      </c>
    </row>
    <row r="51" customFormat="false" ht="15" hidden="false" customHeight="false" outlineLevel="0" collapsed="false">
      <c r="A51" s="17" t="s">
        <v>5099</v>
      </c>
      <c r="B51" s="28" t="n">
        <f aca="false">Dashboard_Industry!D8</f>
        <v>603.7617</v>
      </c>
      <c r="C51" s="29" t="n">
        <v>603.7617</v>
      </c>
      <c r="D51" s="30" t="n">
        <f aca="false">ABS(B51-C51)</f>
        <v>0</v>
      </c>
      <c r="E51" s="31" t="b">
        <f aca="false">D51&lt;=0.000001</f>
        <v>1</v>
      </c>
    </row>
    <row r="52" customFormat="false" ht="15" hidden="false" customHeight="false" outlineLevel="0" collapsed="false">
      <c r="A52" s="17" t="s">
        <v>5100</v>
      </c>
      <c r="B52" s="28" t="n">
        <f aca="false">Dashboard_Industry!D9</f>
        <v>64.63045</v>
      </c>
      <c r="C52" s="29" t="n">
        <v>64.63045</v>
      </c>
      <c r="D52" s="30" t="n">
        <f aca="false">ABS(B52-C52)</f>
        <v>0</v>
      </c>
      <c r="E52" s="31" t="b">
        <f aca="false">D52&lt;=0.000001</f>
        <v>1</v>
      </c>
    </row>
    <row r="53" customFormat="false" ht="15" hidden="false" customHeight="false" outlineLevel="0" collapsed="false">
      <c r="A53" s="17" t="s">
        <v>5101</v>
      </c>
      <c r="B53" s="28" t="n">
        <f aca="false">Dashboard_Industry!D10</f>
        <v>220.68835</v>
      </c>
      <c r="C53" s="29" t="n">
        <v>220.68835</v>
      </c>
      <c r="D53" s="30" t="n">
        <f aca="false">ABS(B53-C53)</f>
        <v>0</v>
      </c>
      <c r="E53" s="31" t="b">
        <f aca="false">D53&lt;=0.000001</f>
        <v>1</v>
      </c>
    </row>
    <row r="54" customFormat="false" ht="15" hidden="false" customHeight="false" outlineLevel="0" collapsed="false">
      <c r="A54" s="17" t="s">
        <v>5102</v>
      </c>
      <c r="B54" s="28" t="n">
        <f aca="false">Dashboard_Industry!D11</f>
        <v>311.1257</v>
      </c>
      <c r="C54" s="29" t="n">
        <v>311.1257</v>
      </c>
      <c r="D54" s="30" t="n">
        <f aca="false">ABS(B54-C54)</f>
        <v>0</v>
      </c>
      <c r="E54" s="31" t="b">
        <f aca="false">D54&lt;=0.000001</f>
        <v>1</v>
      </c>
    </row>
    <row r="55" customFormat="false" ht="15" hidden="false" customHeight="false" outlineLevel="0" collapsed="false">
      <c r="A55" s="17" t="s">
        <v>5103</v>
      </c>
      <c r="B55" s="28" t="n">
        <f aca="false">Dashboard_Industry!D12</f>
        <v>443.7796</v>
      </c>
      <c r="C55" s="29" t="n">
        <v>443.7796</v>
      </c>
      <c r="D55" s="30" t="n">
        <f aca="false">ABS(B55-C55)</f>
        <v>0</v>
      </c>
      <c r="E55" s="31" t="b">
        <f aca="false">D55&lt;=0.000001</f>
        <v>1</v>
      </c>
    </row>
    <row r="56" customFormat="false" ht="15" hidden="false" customHeight="false" outlineLevel="0" collapsed="false">
      <c r="A56" s="17" t="s">
        <v>5104</v>
      </c>
      <c r="B56" s="28" t="n">
        <f aca="false">Dashboard_Industry!D13</f>
        <v>95.25</v>
      </c>
      <c r="C56" s="29" t="n">
        <v>95.25</v>
      </c>
      <c r="D56" s="30" t="n">
        <f aca="false">ABS(B56-C56)</f>
        <v>0</v>
      </c>
      <c r="E56" s="31" t="b">
        <f aca="false">D56&lt;=0.000001</f>
        <v>1</v>
      </c>
    </row>
    <row r="57" customFormat="false" ht="15" hidden="false" customHeight="false" outlineLevel="0" collapsed="false">
      <c r="A57" s="17" t="s">
        <v>5105</v>
      </c>
      <c r="B57" s="28" t="n">
        <f aca="false">Priority_Accounts!E47</f>
        <v>38</v>
      </c>
      <c r="C57" s="29" t="n">
        <v>38</v>
      </c>
      <c r="D57" s="30" t="n">
        <f aca="false">ABS(B57-C57)</f>
        <v>0</v>
      </c>
      <c r="E57" s="31" t="b">
        <f aca="false">D57&lt;=0.000001</f>
        <v>1</v>
      </c>
    </row>
    <row r="58" customFormat="false" ht="15" hidden="false" customHeight="false" outlineLevel="0" collapsed="false">
      <c r="A58" s="17" t="s">
        <v>5106</v>
      </c>
      <c r="B58" s="28" t="n">
        <f aca="false">Priority_Accounts!E48</f>
        <v>37</v>
      </c>
      <c r="C58" s="29" t="n">
        <v>37</v>
      </c>
      <c r="D58" s="30" t="n">
        <f aca="false">ABS(B58-C58)</f>
        <v>0</v>
      </c>
      <c r="E58" s="31" t="b">
        <f aca="false">D58&lt;=0.000001</f>
        <v>1</v>
      </c>
    </row>
    <row r="59" customFormat="false" ht="15" hidden="false" customHeight="false" outlineLevel="0" collapsed="false">
      <c r="A59" s="17" t="s">
        <v>5107</v>
      </c>
      <c r="B59" s="28" t="n">
        <f aca="false">Owner_Hygiene!H34</f>
        <v>271</v>
      </c>
      <c r="C59" s="29" t="n">
        <v>271</v>
      </c>
      <c r="D59" s="30" t="n">
        <f aca="false">ABS(B59-C59)</f>
        <v>0</v>
      </c>
      <c r="E59" s="31" t="b">
        <f aca="false">D59&lt;=0.000001</f>
        <v>1</v>
      </c>
    </row>
    <row r="60" customFormat="false" ht="15" hidden="false" customHeight="false" outlineLevel="0" collapsed="false">
      <c r="A60" s="17" t="s">
        <v>5108</v>
      </c>
      <c r="B60" s="28" t="n">
        <f aca="false">Feedback!N11</f>
        <v>3.63888888888889</v>
      </c>
      <c r="C60" s="29" t="n">
        <v>3.63888888888889</v>
      </c>
      <c r="D60" s="30" t="n">
        <f aca="false">ABS(B60-C60)</f>
        <v>0</v>
      </c>
      <c r="E60" s="31" t="b">
        <f aca="false">D60&lt;=0.000001</f>
        <v>1</v>
      </c>
    </row>
    <row r="61" customFormat="false" ht="15" hidden="false" customHeight="false" outlineLevel="0" collapsed="false">
      <c r="A61" s="17" t="s">
        <v>5109</v>
      </c>
      <c r="B61" s="28" t="n">
        <f aca="false">Feedback!P12</f>
        <v>43.3333333333333</v>
      </c>
      <c r="C61" s="29" t="n">
        <v>43.3333333333333</v>
      </c>
      <c r="D61" s="30" t="n">
        <f aca="false">ABS(B61-C61)</f>
        <v>0</v>
      </c>
      <c r="E61" s="31" t="b">
        <f aca="false">D61&lt;=0.000001</f>
        <v>1</v>
      </c>
    </row>
    <row r="62" customFormat="false" ht="15" hidden="false" customHeight="false" outlineLevel="0" collapsed="false">
      <c r="A62" s="17" t="s">
        <v>5110</v>
      </c>
      <c r="B62" s="28" t="n">
        <f aca="false">Dashboard_Industry!C14</f>
        <v>6815.802</v>
      </c>
      <c r="C62" s="29" t="n">
        <f aca="false">Dashboard_LoS!C10</f>
        <v>6815.802</v>
      </c>
      <c r="D62" s="30" t="n">
        <f aca="false">ABS(B62-C62)</f>
        <v>0</v>
      </c>
      <c r="E62" s="31" t="b">
        <f aca="false">D62&lt;=0.000001</f>
        <v>1</v>
      </c>
    </row>
    <row r="64" customFormat="false" ht="15" hidden="false" customHeight="false" outlineLevel="0" collapsed="false">
      <c r="A64" s="3" t="s">
        <v>5111</v>
      </c>
      <c r="E64" s="32" t="str">
        <f aca="false">IF(COUNTIF(E5:E62,TRUE())=58,"ALL CHECKS PASS","CHECK FAILURES")</f>
        <v>ALL CHECKS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2026-10-21T05:34:17Z</dcterms:created>
  <dc:creator>openpyxl</dc:creator>
  <dc:description/>
  <dc:language>en-US</dc:language>
  <cp:lastModifiedBy/>
  <dcterms:modified xsi:type="dcterms:W3CDTF">2026-10-21T05:34:18Z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